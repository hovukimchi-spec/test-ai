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Nhập mã cáp" sheetId="3" state="visible" r:id="rId3"/>
    <sheet xmlns:r="http://schemas.openxmlformats.org/officeDocument/2006/relationships" name="Nhập nhãn MX" sheetId="4" state="visible" r:id="rId4"/>
    <sheet xmlns:r="http://schemas.openxmlformats.org/officeDocument/2006/relationships" name="ODF CSG thực tế" sheetId="5" state="visible" r:id="rId5"/>
    <sheet xmlns:r="http://schemas.openxmlformats.org/officeDocument/2006/relationships" name="ODF AGG thực tế" sheetId="6" state="visible" r:id="rId6"/>
    <sheet xmlns:r="http://schemas.openxmlformats.org/officeDocument/2006/relationships" name="Hồ sơ cáp" sheetId="7" state="visible" r:id="rId7"/>
    <sheet xmlns:r="http://schemas.openxmlformats.org/officeDocument/2006/relationships" name="Tra cứu cáp" sheetId="8" state="visible" r:id="rId8"/>
    <sheet xmlns:r="http://schemas.openxmlformats.org/officeDocument/2006/relationships" name="Cân đối cáp" sheetId="9" state="visible" r:id="rId9"/>
    <sheet xmlns:r="http://schemas.openxmlformats.org/officeDocument/2006/relationships" name="Đường đi link" sheetId="10" state="visible" r:id="rId10"/>
    <sheet xmlns:r="http://schemas.openxmlformats.org/officeDocument/2006/relationships" name="Phối core từ đường đi" sheetId="11" state="visible" r:id="rId11"/>
    <sheet xmlns:r="http://schemas.openxmlformats.org/officeDocument/2006/relationships" name="Quỹ core" sheetId="12" state="visible" r:id="rId12"/>
    <sheet xmlns:r="http://schemas.openxmlformats.org/officeDocument/2006/relationships" name="Phối core MX" sheetId="13" state="visible" r:id="rId13"/>
    <sheet xmlns:r="http://schemas.openxmlformats.org/officeDocument/2006/relationships" name="Core theo trạm" sheetId="14" state="visible" r:id="rId14"/>
    <sheet xmlns:r="http://schemas.openxmlformats.org/officeDocument/2006/relationships" name="Cáp tại MX" sheetId="15" state="visible" r:id="rId15"/>
    <sheet xmlns:r="http://schemas.openxmlformats.org/officeDocument/2006/relationships" name="Core MX" sheetId="16" state="visible" r:id="rId16"/>
    <sheet xmlns:r="http://schemas.openxmlformats.org/officeDocument/2006/relationships" name="Cảnh báo phối core" sheetId="17" state="visible" r:id="rId17"/>
    <sheet xmlns:r="http://schemas.openxmlformats.org/officeDocument/2006/relationships" name="Ring" sheetId="18" state="visible" r:id="rId18"/>
    <sheet xmlns:r="http://schemas.openxmlformats.org/officeDocument/2006/relationships" name="Đoạn &amp; quỹ suy hao" sheetId="19" state="visible" r:id="rId19"/>
    <sheet xmlns:r="http://schemas.openxmlformats.org/officeDocument/2006/relationships" name="Sự cố đứt cáp" sheetId="20" state="visible" r:id="rId20"/>
    <sheet xmlns:r="http://schemas.openxmlformats.org/officeDocument/2006/relationships" name="Nút" sheetId="21" state="visible" r:id="rId21"/>
    <sheet xmlns:r="http://schemas.openxmlformats.org/officeDocument/2006/relationships" name="ODF CSG" sheetId="22" state="visible" r:id="rId22"/>
    <sheet xmlns:r="http://schemas.openxmlformats.org/officeDocument/2006/relationships" name="ODF chi tiết" sheetId="23" state="visible" r:id="rId23"/>
    <sheet xmlns:r="http://schemas.openxmlformats.org/officeDocument/2006/relationships" name="ODF AGG" sheetId="24" state="visible" r:id="rId24"/>
    <sheet xmlns:r="http://schemas.openxmlformats.org/officeDocument/2006/relationships" name="ODF-01 NBE12 cổng↔core" sheetId="25" state="visible" r:id="rId25"/>
    <sheet xmlns:r="http://schemas.openxmlformats.org/officeDocument/2006/relationships" name="Cáp" sheetId="26" state="visible" r:id="rId26"/>
    <sheet xmlns:r="http://schemas.openxmlformats.org/officeDocument/2006/relationships" name="Măng xông" sheetId="27" state="visible" r:id="rId27"/>
    <sheet xmlns:r="http://schemas.openxmlformats.org/officeDocument/2006/relationships" name="Hàn nối bổ sung" sheetId="28" state="visible" r:id="rId28"/>
    <sheet xmlns:r="http://schemas.openxmlformats.org/officeDocument/2006/relationships" name="Tuyến lề NVT" sheetId="29" state="visible" r:id="rId29"/>
    <sheet xmlns:r="http://schemas.openxmlformats.org/officeDocument/2006/relationships" name="Đối tác dùng core trống" sheetId="30" state="visible" r:id="rId30"/>
    <sheet xmlns:r="http://schemas.openxmlformats.org/officeDocument/2006/relationships" name="Dữ liệu cần xác nhận" sheetId="31" state="visible" r:id="rId31"/>
    <sheet xmlns:r="http://schemas.openxmlformats.org/officeDocument/2006/relationships" name="Khắc phục sự cố" sheetId="32" state="visible" r:id="rId32"/>
    <sheet xmlns:r="http://schemas.openxmlformats.org/officeDocument/2006/relationships" name="Vật tư" sheetId="33" state="visible" r:id="rId33"/>
    <sheet xmlns:r="http://schemas.openxmlformats.org/officeDocument/2006/relationships" name="Tra cứu" sheetId="34" state="visible" r:id="rId34"/>
    <sheet xmlns:r="http://schemas.openxmlformats.org/officeDocument/2006/relationships" name="Tham số" sheetId="35" state="visible" r:id="rId35"/>
  </sheets>
  <definedNames>
    <definedName name="_xlnm._FilterDatabase" localSheetId="1" hidden="1">'Việc còn thiếu'!$A$4:$E$104</definedName>
    <definedName name="_xlnm._FilterDatabase" localSheetId="3" hidden="1">'Nhập nhãn MX'!$A$4:$H$196</definedName>
    <definedName name="_xlnm._FilterDatabase" localSheetId="4" hidden="1">'ODF CSG thực tế'!$A$4:$L$492</definedName>
    <definedName name="_xlnm._FilterDatabase" localSheetId="5" hidden="1">'ODF AGG thực tế'!$A$4:$I$100</definedName>
    <definedName name="_xlnm._FilterDatabase" localSheetId="6" hidden="1">'Hồ sơ cáp'!$A$4:$P$80</definedName>
    <definedName name="_xlnm._FilterDatabase" localSheetId="8" hidden="1">'Cân đối cáp'!$A$4:$K$80</definedName>
    <definedName name="_xlnm._FilterDatabase" localSheetId="10" hidden="1">'Phối core từ đường đi'!$A$4:$I$210</definedName>
    <definedName name="_xlnm._FilterDatabase" localSheetId="11" hidden="1">'Quỹ core'!$A$83:$H$867</definedName>
    <definedName name="_xlnm._FilterDatabase" localSheetId="12" hidden="1">'Phối core MX'!$A$4:$L$196</definedName>
    <definedName name="_xlnm._FilterDatabase" localSheetId="13" hidden="1">'Core theo trạm'!$A$4:$F$102</definedName>
    <definedName name="_xlnm._FilterDatabase" localSheetId="14" hidden="1">'Cáp tại MX'!$A$4:$J$76</definedName>
    <definedName name="_xlnm._FilterDatabase" localSheetId="15" hidden="1">'Core MX'!$A$4:$G$810</definedName>
    <definedName name="_xlnm._FilterDatabase" localSheetId="18" hidden="1">'Đoạn &amp; quỹ suy hao'!$A$4:$U$41</definedName>
    <definedName name="_xlnm._FilterDatabase" localSheetId="22" hidden="1">'ODF chi tiết'!$A$3:$G$351</definedName>
    <definedName name="_xlnm._FilterDatabase" localSheetId="25"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7">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0" fillId="23" borderId="1" pivotButton="0" quotePrefix="0" xfId="0"/>
    <xf numFmtId="0" fontId="0" fillId="22" borderId="1" pivotButton="0" quotePrefix="0" xfId="0"/>
    <xf numFmtId="0" fontId="0" fillId="21" borderId="1" pivotButton="0" quotePrefix="0" xfId="0"/>
    <xf numFmtId="0" fontId="0" fillId="20" borderId="1"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9" fontId="0" fillId="0" borderId="1" pivotButton="0" quotePrefix="0" xfId="0"/>
    <xf numFmtId="166" fontId="0" fillId="0" borderId="1" pivotButton="0" quotePrefix="0" xfId="0"/>
    <xf numFmtId="0" fontId="4"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nhận'!A4:A24)</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54" customWidth="1" min="3" max="3"/>
    <col width="5" customWidth="1" min="4" max="4"/>
    <col width="24" customWidth="1" min="5" max="5"/>
    <col width="26" customWidth="1" min="6" max="6"/>
    <col width="14" customWidth="1" min="7" max="7"/>
    <col width="14" customWidth="1" min="8" max="8"/>
    <col width="12" customWidth="1" min="9" max="9"/>
  </cols>
  <sheetData>
    <row r="1">
      <c r="A1" s="1" t="inlineStr">
        <is>
          <t>Nhập mã cáp, chỉ số mét, chiều dài</t>
        </is>
      </c>
    </row>
    <row r="2">
      <c r="A2" s="2" t="inlineStr">
        <is>
          <t>Điền vào ô vàng rồi gửi lại file này: công cụ đọc lại (import_inputs.py) và dựng lại Excel + HTML. Ô trống = giữ nguyên.</t>
        </is>
      </c>
    </row>
    <row r="4" ht="32" customHeight="1">
      <c r="A4" s="3" t="inlineStr">
        <is>
          <t>Mã nội bộ</t>
        </is>
      </c>
      <c r="B4" s="3" t="inlineStr">
        <is>
          <t>Cáp</t>
        </is>
      </c>
      <c r="C4" s="3" t="inlineStr">
        <is>
          <t>Tuyến</t>
        </is>
      </c>
      <c r="D4" s="3" t="inlineStr">
        <is>
          <t>FO</t>
        </is>
      </c>
      <c r="E4" s="3" t="inlineStr">
        <is>
          <t>Mã cáp hiện có</t>
        </is>
      </c>
      <c r="F4" s="3" t="inlineStr">
        <is>
          <t>Mã cáp (nhập)</t>
        </is>
      </c>
      <c r="G4" s="3" t="inlineStr">
        <is>
          <t>cs đầu (nhập)</t>
        </is>
      </c>
      <c r="H4" s="3" t="inlineStr">
        <is>
          <t>cs cuối (nhập)</t>
        </is>
      </c>
      <c r="I4" s="3" t="inlineStr">
        <is>
          <t>Dài m (nhập)</t>
        </is>
      </c>
    </row>
    <row r="5">
      <c r="A5" s="4" t="inlineStr">
        <is>
          <t>C01</t>
        </is>
      </c>
      <c r="B5" s="4" t="inlineStr">
        <is>
          <t>ADSS 9/2009</t>
        </is>
      </c>
      <c r="C5" s="4" t="inlineStr">
        <is>
          <t>VNPT Long Thới (ODF-02 NBE12) → MX nhập đài Long Thới–NVT</t>
        </is>
      </c>
      <c r="D5" s="4" t="n">
        <v>24</v>
      </c>
      <c r="E5" s="4" t="inlineStr">
        <is>
          <t>ADSS 9/2009</t>
        </is>
      </c>
      <c r="F5" s="9" t="n"/>
      <c r="G5" s="9" t="n"/>
      <c r="H5" s="9" t="n"/>
      <c r="I5" s="9" t="n"/>
    </row>
    <row r="6">
      <c r="A6" s="4" t="inlineStr">
        <is>
          <t>C02</t>
        </is>
      </c>
      <c r="B6" s="4" t="inlineStr">
        <is>
          <t>SACOM 8/2014</t>
        </is>
      </c>
      <c r="C6" s="4" t="inlineStr">
        <is>
          <t>MX nhập đài Long Thới–NVT → MX_NVT_01</t>
        </is>
      </c>
      <c r="D6" s="4" t="n">
        <v>12</v>
      </c>
      <c r="E6" s="4" t="inlineStr">
        <is>
          <t>SACOM 8/2014</t>
        </is>
      </c>
      <c r="F6" s="9" t="n"/>
      <c r="G6" s="9" t="n"/>
      <c r="H6" s="9" t="n"/>
      <c r="I6" s="9" t="n"/>
    </row>
    <row r="7">
      <c r="A7" s="4" t="inlineStr">
        <is>
          <t>C03</t>
        </is>
      </c>
      <c r="B7" s="4" t="inlineStr">
        <is>
          <t>FOCAL 9/2020 (vào HNB054)</t>
        </is>
      </c>
      <c r="C7" s="4" t="inlineStr">
        <is>
          <t>MX_NVT_01 → HNB054</t>
        </is>
      </c>
      <c r="D7" s="4" t="n">
        <v>12</v>
      </c>
      <c r="E7" s="4" t="inlineStr">
        <is>
          <t>FOCAL 9/2020</t>
        </is>
      </c>
      <c r="F7" s="9" t="n"/>
      <c r="G7" s="9" t="n"/>
      <c r="H7" s="9" t="n"/>
      <c r="I7" s="9" t="n"/>
    </row>
    <row r="8">
      <c r="A8" s="4" t="inlineStr">
        <is>
          <t>C04</t>
        </is>
      </c>
      <c r="B8" s="4" t="inlineStr">
        <is>
          <t>FOCAL 9/2020 trục (gồm 175 m ngầm)</t>
        </is>
      </c>
      <c r="C8" s="4" t="inlineStr">
        <is>
          <t>MX_NVT_01 → MX_NVT_02A</t>
        </is>
      </c>
      <c r="D8" s="4" t="n">
        <v>12</v>
      </c>
      <c r="E8" s="4" t="inlineStr">
        <is>
          <t>FOCAL 9/2020</t>
        </is>
      </c>
      <c r="F8" s="9" t="n"/>
      <c r="G8" s="9" t="n"/>
      <c r="H8" s="9" t="n"/>
      <c r="I8" s="9" t="n"/>
    </row>
    <row r="9">
      <c r="A9" s="4" t="inlineStr">
        <is>
          <t>C05</t>
        </is>
      </c>
      <c r="B9" s="4" t="inlineStr">
        <is>
          <t>12FO vào HNB006</t>
        </is>
      </c>
      <c r="C9" s="4" t="inlineStr">
        <is>
          <t>MX_NVT_02A → HNB006</t>
        </is>
      </c>
      <c r="D9" s="4" t="n">
        <v>12</v>
      </c>
      <c r="E9" s="4" t="inlineStr"/>
      <c r="F9" s="9" t="n"/>
      <c r="G9" s="9" t="n"/>
      <c r="H9" s="9" t="n"/>
      <c r="I9" s="9" t="n"/>
    </row>
    <row r="10">
      <c r="A10" s="4" t="inlineStr">
        <is>
          <t>C06</t>
        </is>
      </c>
      <c r="B10" s="4" t="inlineStr">
        <is>
          <t>12FO NVT_02A → NVT_03A</t>
        </is>
      </c>
      <c r="C10" s="4" t="inlineStr">
        <is>
          <t>MX_NVT_02A → MX_NVT_03A</t>
        </is>
      </c>
      <c r="D10" s="4" t="n">
        <v>12</v>
      </c>
      <c r="E10" s="4" t="inlineStr"/>
      <c r="F10" s="9" t="n"/>
      <c r="G10" s="9" t="n"/>
      <c r="H10" s="9" t="n"/>
      <c r="I10" s="9" t="n"/>
    </row>
    <row r="11">
      <c r="A11" s="4" t="inlineStr">
        <is>
          <t>C07</t>
        </is>
      </c>
      <c r="B11" s="4" t="inlineStr">
        <is>
          <t>FOCAL 2020 vào HNB091 (6FO #1)</t>
        </is>
      </c>
      <c r="C11" s="4" t="inlineStr">
        <is>
          <t>MX_NVT_03A → HNB091</t>
        </is>
      </c>
      <c r="D11" s="4" t="n">
        <v>6</v>
      </c>
      <c r="E11" s="4" t="inlineStr">
        <is>
          <t>FOCAL 2020</t>
        </is>
      </c>
      <c r="F11" s="9" t="n"/>
      <c r="G11" s="9" t="n"/>
      <c r="H11" s="9" t="n"/>
      <c r="I11" s="9" t="n"/>
    </row>
    <row r="12">
      <c r="A12" s="4" t="inlineStr">
        <is>
          <t>C08</t>
        </is>
      </c>
      <c r="B12" s="4" t="inlineStr">
        <is>
          <t>FOCAL 2020 ra HNB091 (6FO #2)</t>
        </is>
      </c>
      <c r="C12" s="4" t="inlineStr">
        <is>
          <t>HNB091 → MX_NVT_03B</t>
        </is>
      </c>
      <c r="D12" s="4" t="n">
        <v>6</v>
      </c>
      <c r="E12" s="4" t="inlineStr">
        <is>
          <t>FOCAL 2020</t>
        </is>
      </c>
      <c r="F12" s="9" t="n"/>
      <c r="G12" s="9" t="n"/>
      <c r="H12" s="9" t="n"/>
      <c r="I12" s="9" t="n"/>
    </row>
    <row r="13">
      <c r="A13" s="4" t="inlineStr">
        <is>
          <t>C09</t>
        </is>
      </c>
      <c r="B13" s="4" t="inlineStr">
        <is>
          <t>12FO NVT_03B → NVT_02B</t>
        </is>
      </c>
      <c r="C13" s="4" t="inlineStr">
        <is>
          <t>MX_NVT_03B → MX_NVT_02B</t>
        </is>
      </c>
      <c r="D13" s="4" t="n">
        <v>12</v>
      </c>
      <c r="E13" s="4" t="inlineStr"/>
      <c r="F13" s="9" t="n"/>
      <c r="G13" s="9" t="n"/>
      <c r="H13" s="9" t="n"/>
      <c r="I13" s="9" t="n"/>
    </row>
    <row r="14">
      <c r="A14" s="4" t="inlineStr">
        <is>
          <t>C10</t>
        </is>
      </c>
      <c r="B14" s="4" t="inlineStr">
        <is>
          <t>TPKL 12FO trục NVT_02B → LVL-05 (qua MX thẳng nối dài)</t>
        </is>
      </c>
      <c r="C14" s="4" t="inlineStr">
        <is>
          <t>MX_NVT_02B → MX_LVL-05</t>
        </is>
      </c>
      <c r="D14" s="4" t="n">
        <v>12</v>
      </c>
      <c r="E14" s="4" t="inlineStr">
        <is>
          <t>TPKL</t>
        </is>
      </c>
      <c r="F14" s="9" t="n"/>
      <c r="G14" s="9" t="n"/>
      <c r="H14" s="9" t="n"/>
      <c r="I14" s="9" t="n"/>
    </row>
    <row r="15">
      <c r="A15" s="4" t="inlineStr">
        <is>
          <t>C11</t>
        </is>
      </c>
      <c r="B15" s="4" t="inlineStr">
        <is>
          <t>TPKL POSTEF 11/2016</t>
        </is>
      </c>
      <c r="C15" s="4" t="inlineStr">
        <is>
          <t>MX_LVL-05 → MX_NB-01</t>
        </is>
      </c>
      <c r="D15" s="4" t="n">
        <v>24</v>
      </c>
      <c r="E15" s="4" t="inlineStr">
        <is>
          <t>TPKL Postef 11/2016</t>
        </is>
      </c>
      <c r="F15" s="9" t="n"/>
      <c r="G15" s="9" t="n"/>
      <c r="H15" s="9" t="n"/>
      <c r="I15" s="9" t="n"/>
    </row>
    <row r="16">
      <c r="A16" s="4" t="inlineStr">
        <is>
          <t>C12</t>
        </is>
      </c>
      <c r="B16" s="4" t="inlineStr">
        <is>
          <t>12FO NB-01 → NB-02</t>
        </is>
      </c>
      <c r="C16" s="4" t="inlineStr">
        <is>
          <t>MX_NB-01 → MX_NB-02</t>
        </is>
      </c>
      <c r="D16" s="4" t="n">
        <v>12</v>
      </c>
      <c r="E16" s="4" t="inlineStr"/>
      <c r="F16" s="9" t="n"/>
      <c r="G16" s="9" t="n"/>
      <c r="H16" s="9" t="n"/>
      <c r="I16" s="9" t="n"/>
    </row>
    <row r="17">
      <c r="A17" s="4" t="inlineStr">
        <is>
          <t>C13</t>
        </is>
      </c>
      <c r="B17" s="4" t="inlineStr">
        <is>
          <t>12FO NB-02 → NB-03</t>
        </is>
      </c>
      <c r="C17" s="4" t="inlineStr">
        <is>
          <t>MX_NB-02 → MX_NB-03</t>
        </is>
      </c>
      <c r="D17" s="4" t="n">
        <v>12</v>
      </c>
      <c r="E17" s="4" t="inlineStr"/>
      <c r="F17" s="9" t="n"/>
      <c r="G17" s="9" t="n"/>
      <c r="H17" s="9" t="n"/>
      <c r="I17" s="9" t="n"/>
    </row>
    <row r="18">
      <c r="A18" s="4" t="inlineStr">
        <is>
          <t>C14</t>
        </is>
      </c>
      <c r="B18" s="4" t="inlineStr">
        <is>
          <t>12FO NB-03 → NB-04</t>
        </is>
      </c>
      <c r="C18" s="4" t="inlineStr">
        <is>
          <t>MX_NB-03 → MX_NB-04</t>
        </is>
      </c>
      <c r="D18" s="4" t="n">
        <v>12</v>
      </c>
      <c r="E18" s="4" t="inlineStr"/>
      <c r="F18" s="9" t="n"/>
      <c r="G18" s="9" t="n"/>
      <c r="H18" s="9" t="n"/>
      <c r="I18" s="9" t="n"/>
    </row>
    <row r="19">
      <c r="A19" s="4" t="inlineStr">
        <is>
          <t>C15</t>
        </is>
      </c>
      <c r="B19" s="4" t="inlineStr">
        <is>
          <t>12FO NB-04 → MX thẳng HTP</t>
        </is>
      </c>
      <c r="C19" s="4" t="inlineStr">
        <is>
          <t>MX_NB-04 → MX thẳng HTP</t>
        </is>
      </c>
      <c r="D19" s="4" t="n">
        <v>12</v>
      </c>
      <c r="E19" s="4" t="inlineStr"/>
      <c r="F19" s="9" t="n"/>
      <c r="G19" s="9" t="n"/>
      <c r="H19" s="9" t="n"/>
      <c r="I19" s="9" t="n"/>
    </row>
    <row r="20">
      <c r="A20" s="4" t="inlineStr">
        <is>
          <t>C16</t>
        </is>
      </c>
      <c r="B20" s="4" t="inlineStr">
        <is>
          <t>12FO MX thẳng HTP → HTP-03B</t>
        </is>
      </c>
      <c r="C20" s="4" t="inlineStr">
        <is>
          <t>MX thẳng HTP → MX_HTP-03B</t>
        </is>
      </c>
      <c r="D20" s="4" t="n">
        <v>12</v>
      </c>
      <c r="E20" s="4" t="inlineStr"/>
      <c r="F20" s="9" t="n"/>
      <c r="G20" s="9" t="n"/>
      <c r="H20" s="9" t="n"/>
      <c r="I20" s="9" t="n"/>
    </row>
    <row r="21">
      <c r="A21" s="4" t="inlineStr">
        <is>
          <t>C17</t>
        </is>
      </c>
      <c r="B21" s="4" t="inlineStr">
        <is>
          <t>POSTEF 24FO nhập đài (cs 1550→1288)</t>
        </is>
      </c>
      <c r="C21" s="4" t="inlineStr">
        <is>
          <t>MX_HTP-03B → ODF-02 NBE22</t>
        </is>
      </c>
      <c r="D21" s="4" t="n">
        <v>24</v>
      </c>
      <c r="E21" s="4" t="inlineStr">
        <is>
          <t>POSTEF</t>
        </is>
      </c>
      <c r="F21" s="9" t="n"/>
      <c r="G21" s="9" t="n"/>
      <c r="H21" s="9" t="n"/>
      <c r="I21" s="9" t="n"/>
    </row>
    <row r="22">
      <c r="A22" s="4" t="inlineStr">
        <is>
          <t>C18</t>
        </is>
      </c>
      <c r="B22" s="4" t="inlineStr">
        <is>
          <t>FOCAL 2020 vào HNB059 (6FO)</t>
        </is>
      </c>
      <c r="C22" s="4" t="inlineStr">
        <is>
          <t>MX_NVT_03A → HNB059</t>
        </is>
      </c>
      <c r="D22" s="4" t="n">
        <v>6</v>
      </c>
      <c r="E22" s="4" t="inlineStr">
        <is>
          <t>FOCAL 2020</t>
        </is>
      </c>
      <c r="F22" s="9" t="n"/>
      <c r="G22" s="9" t="n"/>
      <c r="H22" s="9" t="n"/>
      <c r="I22" s="9" t="n"/>
    </row>
    <row r="23">
      <c r="A23" s="4" t="inlineStr">
        <is>
          <t>C19</t>
        </is>
      </c>
      <c r="B23" s="4" t="inlineStr">
        <is>
          <t>FOCAL 2020 HNB059 → HNB060 (6FO)</t>
        </is>
      </c>
      <c r="C23" s="4" t="inlineStr">
        <is>
          <t>HNB059 → HNB060</t>
        </is>
      </c>
      <c r="D23" s="4" t="n">
        <v>6</v>
      </c>
      <c r="E23" s="4" t="inlineStr">
        <is>
          <t>FOCAL 2020</t>
        </is>
      </c>
      <c r="F23" s="9" t="n"/>
      <c r="G23" s="9" t="n"/>
      <c r="H23" s="9" t="n"/>
      <c r="I23" s="9" t="n"/>
    </row>
    <row r="24">
      <c r="A24" s="4" t="inlineStr">
        <is>
          <t>C20</t>
        </is>
      </c>
      <c r="B24" s="4" t="inlineStr">
        <is>
          <t>FOCAL 2020 HNB060 → HNB048 (6FO)</t>
        </is>
      </c>
      <c r="C24" s="4" t="inlineStr">
        <is>
          <t>HNB060 → HNB048</t>
        </is>
      </c>
      <c r="D24" s="4" t="n">
        <v>6</v>
      </c>
      <c r="E24" s="4" t="inlineStr">
        <is>
          <t>FOCAL 2020</t>
        </is>
      </c>
      <c r="F24" s="9" t="n"/>
      <c r="G24" s="9" t="n"/>
      <c r="H24" s="9" t="n"/>
      <c r="I24" s="9" t="n"/>
    </row>
    <row r="25">
      <c r="A25" s="4" t="inlineStr">
        <is>
          <t>C21</t>
        </is>
      </c>
      <c r="B25" s="4" t="inlineStr">
        <is>
          <t>FOCAL 2020 HNB048 → MX_NVT_03B (6FO)</t>
        </is>
      </c>
      <c r="C25" s="4" t="inlineStr">
        <is>
          <t>HNB048 → MX_NVT_03B</t>
        </is>
      </c>
      <c r="D25" s="4" t="n">
        <v>6</v>
      </c>
      <c r="E25" s="4" t="inlineStr">
        <is>
          <t>FOCAL 2020</t>
        </is>
      </c>
      <c r="F25" s="9" t="n"/>
      <c r="G25" s="9" t="n"/>
      <c r="H25" s="9" t="n"/>
      <c r="I25" s="9" t="n"/>
    </row>
    <row r="26">
      <c r="A26" s="4" t="inlineStr">
        <is>
          <t>C22</t>
        </is>
      </c>
      <c r="B26" s="4" t="inlineStr">
        <is>
          <t>POSTEF 11/2016 (ODF-01 hướng NB)</t>
        </is>
      </c>
      <c r="C26" s="4" t="inlineStr">
        <is>
          <t>VNPT Long Thới (ODF-01 NBE12) → MX_NB-01</t>
        </is>
      </c>
      <c r="D26" s="4" t="n">
        <v>24</v>
      </c>
      <c r="E26" s="4" t="inlineStr">
        <is>
          <t>POSTEF 11/2016</t>
        </is>
      </c>
      <c r="F26" s="9" t="n"/>
      <c r="G26" s="9" t="n"/>
      <c r="H26" s="9" t="n"/>
      <c r="I26" s="9" t="n"/>
    </row>
    <row r="27">
      <c r="A27" s="4" t="inlineStr">
        <is>
          <t>C23</t>
        </is>
      </c>
      <c r="B27" s="4" t="inlineStr">
        <is>
          <t>FOCAL 2020 NB-02 → HNB086 (6FO số 1)</t>
        </is>
      </c>
      <c r="C27" s="4" t="inlineStr">
        <is>
          <t>MX_NB-02 → HNB086</t>
        </is>
      </c>
      <c r="D27" s="4" t="n">
        <v>6</v>
      </c>
      <c r="E27" s="4" t="inlineStr">
        <is>
          <t>FOCAL 2020</t>
        </is>
      </c>
      <c r="F27" s="9" t="n"/>
      <c r="G27" s="9" t="n"/>
      <c r="H27" s="9" t="n"/>
      <c r="I27" s="9" t="n"/>
    </row>
    <row r="28">
      <c r="A28" s="4" t="inlineStr">
        <is>
          <t>C24</t>
        </is>
      </c>
      <c r="B28" s="4" t="inlineStr">
        <is>
          <t>FOCAL 2020 HNB086 → HNB024 (6FO số 2)</t>
        </is>
      </c>
      <c r="C28" s="4" t="inlineStr">
        <is>
          <t>HNB086 → HNB024</t>
        </is>
      </c>
      <c r="D28" s="4" t="n">
        <v>6</v>
      </c>
      <c r="E28" s="4" t="inlineStr">
        <is>
          <t>FOCAL 2020</t>
        </is>
      </c>
      <c r="F28" s="9" t="n"/>
      <c r="G28" s="9" t="n"/>
      <c r="H28" s="9" t="n"/>
      <c r="I28" s="9" t="n"/>
    </row>
    <row r="29">
      <c r="A29" s="4" t="inlineStr">
        <is>
          <t>C25</t>
        </is>
      </c>
      <c r="B29" s="4" t="inlineStr">
        <is>
          <t>FOCAL 2020 HNB024 → HNB027 (6FO số 3)</t>
        </is>
      </c>
      <c r="C29" s="4" t="inlineStr">
        <is>
          <t>HNB024 → HNB027</t>
        </is>
      </c>
      <c r="D29" s="4" t="n">
        <v>6</v>
      </c>
      <c r="E29" s="4" t="inlineStr">
        <is>
          <t>FOCAL 2020</t>
        </is>
      </c>
      <c r="F29" s="9" t="n"/>
      <c r="G29" s="9" t="n"/>
      <c r="H29" s="9" t="n"/>
      <c r="I29" s="9" t="n"/>
    </row>
    <row r="30">
      <c r="A30" s="4" t="inlineStr">
        <is>
          <t>C26</t>
        </is>
      </c>
      <c r="B30" s="4" t="inlineStr">
        <is>
          <t>FOCAL 2020 HNB027 → NB-03 (6FO số 4)</t>
        </is>
      </c>
      <c r="C30" s="4" t="inlineStr">
        <is>
          <t>HNB027 → MX_NB-03</t>
        </is>
      </c>
      <c r="D30" s="4" t="n">
        <v>6</v>
      </c>
      <c r="E30" s="4" t="inlineStr">
        <is>
          <t>FOCAL 2020</t>
        </is>
      </c>
      <c r="F30" s="9" t="n"/>
      <c r="G30" s="9" t="n"/>
      <c r="H30" s="9" t="n"/>
      <c r="I30" s="9" t="n"/>
    </row>
    <row r="31">
      <c r="A31" s="4" t="inlineStr">
        <is>
          <t>C27</t>
        </is>
      </c>
      <c r="B31" s="4" t="inlineStr">
        <is>
          <t>FOCAL 2020 NB-04 → HNB031 (6FO)</t>
        </is>
      </c>
      <c r="C31" s="4" t="inlineStr">
        <is>
          <t>MX_NB-04 → HNB031</t>
        </is>
      </c>
      <c r="D31" s="4" t="n">
        <v>6</v>
      </c>
      <c r="E31" s="4" t="inlineStr">
        <is>
          <t>FOCAL 2020</t>
        </is>
      </c>
      <c r="F31" s="9" t="n"/>
      <c r="G31" s="9" t="n"/>
      <c r="H31" s="9" t="n"/>
      <c r="I31" s="9" t="n"/>
    </row>
    <row r="32">
      <c r="A32" s="4" t="inlineStr">
        <is>
          <t>C28</t>
        </is>
      </c>
      <c r="B32" s="4" t="inlineStr">
        <is>
          <t>FOCAL 2020 HNB031 → HNB020 (6FO thứ 2)</t>
        </is>
      </c>
      <c r="C32" s="4" t="inlineStr">
        <is>
          <t>HNB031 → HNB020</t>
        </is>
      </c>
      <c r="D32" s="4" t="n">
        <v>6</v>
      </c>
      <c r="E32" s="4" t="inlineStr">
        <is>
          <t>FOCAL 2020</t>
        </is>
      </c>
      <c r="F32" s="9" t="n"/>
      <c r="G32" s="9" t="n"/>
      <c r="H32" s="9" t="n"/>
      <c r="I32" s="9" t="n"/>
    </row>
    <row r="33">
      <c r="A33" s="4" t="inlineStr">
        <is>
          <t>C29</t>
        </is>
      </c>
      <c r="B33" s="4" t="inlineStr">
        <is>
          <t>FOCAL 2020 HNB020 → NB-04 (6FO)</t>
        </is>
      </c>
      <c r="C33" s="4" t="inlineStr">
        <is>
          <t>HNB020 → MX_NB-04</t>
        </is>
      </c>
      <c r="D33" s="4" t="n">
        <v>6</v>
      </c>
      <c r="E33" s="4" t="inlineStr">
        <is>
          <t>FOCAL 2020</t>
        </is>
      </c>
      <c r="F33" s="9" t="n"/>
      <c r="G33" s="9" t="n"/>
      <c r="H33" s="9" t="n"/>
      <c r="I33" s="9" t="n"/>
    </row>
    <row r="34">
      <c r="A34" s="4" t="inlineStr">
        <is>
          <t>C30</t>
        </is>
      </c>
      <c r="B34" s="4" t="inlineStr">
        <is>
          <t>12FO LVL-05 → LVL-04</t>
        </is>
      </c>
      <c r="C34" s="4" t="inlineStr">
        <is>
          <t>MX_LVL-05 → MX_LVL-04</t>
        </is>
      </c>
      <c r="D34" s="4" t="n">
        <v>12</v>
      </c>
      <c r="E34" s="4" t="inlineStr"/>
      <c r="F34" s="9" t="n"/>
      <c r="G34" s="9" t="n"/>
      <c r="H34" s="9" t="n"/>
      <c r="I34" s="9" t="n"/>
    </row>
    <row r="35">
      <c r="A35" s="4" t="inlineStr">
        <is>
          <t>C31</t>
        </is>
      </c>
      <c r="B35" s="4" t="inlineStr">
        <is>
          <t>SAMTEL 3/2015 LVL-04 → LVL-03</t>
        </is>
      </c>
      <c r="C35" s="4" t="inlineStr">
        <is>
          <t>MX_LVL-04 → MX_LVL-03</t>
        </is>
      </c>
      <c r="D35" s="4" t="n">
        <v>12</v>
      </c>
      <c r="E35" s="4" t="inlineStr">
        <is>
          <t>SAMTEL 3/2015</t>
        </is>
      </c>
      <c r="F35" s="9" t="n"/>
      <c r="G35" s="9" t="n"/>
      <c r="H35" s="9" t="n"/>
      <c r="I35" s="9" t="n"/>
    </row>
    <row r="36">
      <c r="A36" s="4" t="inlineStr">
        <is>
          <t>C32</t>
        </is>
      </c>
      <c r="B36" s="4" t="inlineStr">
        <is>
          <t>POSTEF 9/2019 LVL-03 → HTP-01 (cầu Phú Xuân 2)</t>
        </is>
      </c>
      <c r="C36" s="4" t="inlineStr">
        <is>
          <t>MX_LVL-03 → MX_HTP-01</t>
        </is>
      </c>
      <c r="D36" s="4" t="n">
        <v>12</v>
      </c>
      <c r="E36" s="4" t="inlineStr">
        <is>
          <t>POSTEF 9/2019</t>
        </is>
      </c>
      <c r="F36" s="9" t="n"/>
      <c r="G36" s="9" t="n"/>
      <c r="H36" s="9" t="n"/>
      <c r="I36" s="9" t="n"/>
    </row>
    <row r="37">
      <c r="A37" s="4" t="inlineStr">
        <is>
          <t>C33</t>
        </is>
      </c>
      <c r="B37" s="4" t="inlineStr">
        <is>
          <t>12FO HTP-01 → HTP-02</t>
        </is>
      </c>
      <c r="C37" s="4" t="inlineStr">
        <is>
          <t>MX_HTP-01 → MX_HTP-02</t>
        </is>
      </c>
      <c r="D37" s="4" t="n">
        <v>12</v>
      </c>
      <c r="E37" s="4" t="inlineStr"/>
      <c r="F37" s="9" t="n"/>
      <c r="G37" s="9" t="n"/>
      <c r="H37" s="9" t="n"/>
      <c r="I37" s="9" t="n"/>
    </row>
    <row r="38">
      <c r="A38" s="4" t="inlineStr">
        <is>
          <t>C34</t>
        </is>
      </c>
      <c r="B38" s="4" t="inlineStr">
        <is>
          <t>FOCAL 12FO HTP-02 → HTP-03A</t>
        </is>
      </c>
      <c r="C38" s="4" t="inlineStr">
        <is>
          <t>MX_HTP-02 → MX_HTP-03A</t>
        </is>
      </c>
      <c r="D38" s="4" t="n">
        <v>12</v>
      </c>
      <c r="E38" s="4" t="inlineStr">
        <is>
          <t>FOCAL</t>
        </is>
      </c>
      <c r="F38" s="9" t="n"/>
      <c r="G38" s="9" t="n"/>
      <c r="H38" s="9" t="n"/>
      <c r="I38" s="9" t="n"/>
    </row>
    <row r="39">
      <c r="A39" s="4" t="inlineStr">
        <is>
          <t>C35</t>
        </is>
      </c>
      <c r="B39" s="4" t="inlineStr">
        <is>
          <t>POSTEF 24FO nhập đài (cs 1570→1816) → ODF-01 NBE22</t>
        </is>
      </c>
      <c r="C39" s="4" t="inlineStr">
        <is>
          <t>MX_HTP-03A → ODF-01 NBE22</t>
        </is>
      </c>
      <c r="D39" s="4" t="n">
        <v>24</v>
      </c>
      <c r="E39" s="4" t="inlineStr">
        <is>
          <t>POSTEF</t>
        </is>
      </c>
      <c r="F39" s="9" t="n"/>
      <c r="G39" s="9" t="n"/>
      <c r="H39" s="9" t="n"/>
      <c r="I39" s="9" t="n"/>
    </row>
    <row r="40">
      <c r="A40" s="4" t="inlineStr">
        <is>
          <t>C36</t>
        </is>
      </c>
      <c r="B40" s="4" t="inlineStr">
        <is>
          <t>VINA-OFC 2016 LVL-03 → MX thẳng (đi LVL)</t>
        </is>
      </c>
      <c r="C40" s="4" t="inlineStr">
        <is>
          <t>MX_LVL-03 → MX thẳng đi LVL</t>
        </is>
      </c>
      <c r="D40" s="4" t="n">
        <v>12</v>
      </c>
      <c r="E40" s="4" t="inlineStr">
        <is>
          <t>VINA-OFC 2016</t>
        </is>
      </c>
      <c r="F40" s="9" t="n"/>
      <c r="G40" s="9" t="n"/>
      <c r="H40" s="9" t="n"/>
      <c r="I40" s="9" t="n"/>
    </row>
    <row r="41">
      <c r="A41" s="4" t="inlineStr">
        <is>
          <t>C37</t>
        </is>
      </c>
      <c r="B41" s="4" t="inlineStr">
        <is>
          <t>SACOM 1/2015 MX thẳng (đi LVL) → LVL-02</t>
        </is>
      </c>
      <c r="C41" s="4" t="inlineStr">
        <is>
          <t>MX thẳng đi LVL → MX_LVL-02</t>
        </is>
      </c>
      <c r="D41" s="4" t="n">
        <v>12</v>
      </c>
      <c r="E41" s="4" t="inlineStr">
        <is>
          <t>SACOM 1/2015</t>
        </is>
      </c>
      <c r="F41" s="9" t="n"/>
      <c r="G41" s="9" t="n"/>
      <c r="H41" s="9" t="n"/>
      <c r="I41" s="9" t="n"/>
    </row>
    <row r="42">
      <c r="A42" s="4" t="inlineStr">
        <is>
          <t>C38</t>
        </is>
      </c>
      <c r="B42" s="4" t="inlineStr">
        <is>
          <t>FOCAL 2013 LVL-02 → LVL-01</t>
        </is>
      </c>
      <c r="C42" s="4" t="inlineStr">
        <is>
          <t>MX_LVL-02 → MX_LVL-01</t>
        </is>
      </c>
      <c r="D42" s="4" t="n">
        <v>12</v>
      </c>
      <c r="E42" s="4" t="inlineStr">
        <is>
          <t>FOCAL 2013</t>
        </is>
      </c>
      <c r="F42" s="9" t="n"/>
      <c r="G42" s="9" t="n"/>
      <c r="H42" s="9" t="n"/>
      <c r="I42" s="9" t="n"/>
    </row>
    <row r="43">
      <c r="A43" s="4" t="inlineStr">
        <is>
          <t>C39</t>
        </is>
      </c>
      <c r="B43" s="4" t="inlineStr">
        <is>
          <t>TPKL 9/2019 LVL-05 → MX thẳng (giữa MX_DST và LVL-05)</t>
        </is>
      </c>
      <c r="C43" s="4" t="inlineStr">
        <is>
          <t>MX_LVL-05 → MX thẳng LVL-05/DST</t>
        </is>
      </c>
      <c r="D43" s="4" t="n">
        <v>12</v>
      </c>
      <c r="E43" s="4" t="inlineStr">
        <is>
          <t>TPKL 9/2019</t>
        </is>
      </c>
      <c r="F43" s="9" t="n"/>
      <c r="G43" s="9" t="n"/>
      <c r="H43" s="9" t="n"/>
      <c r="I43" s="9" t="n"/>
    </row>
    <row r="44">
      <c r="A44" s="4" t="inlineStr">
        <is>
          <t>C40</t>
        </is>
      </c>
      <c r="B44" s="4" t="inlineStr">
        <is>
          <t>ADSS 9/2009 MX thẳng LVL-05/DST → MX_DST</t>
        </is>
      </c>
      <c r="C44" s="4" t="inlineStr">
        <is>
          <t>MX thẳng LVL-05/DST → MX_DST</t>
        </is>
      </c>
      <c r="D44" s="4" t="n">
        <v>12</v>
      </c>
      <c r="E44" s="4" t="inlineStr">
        <is>
          <t>ADSS 9/2009</t>
        </is>
      </c>
      <c r="F44" s="9" t="n"/>
      <c r="G44" s="9" t="n"/>
      <c r="H44" s="9" t="n"/>
      <c r="I44" s="9" t="n"/>
    </row>
    <row r="45">
      <c r="A45" s="4" t="inlineStr">
        <is>
          <t>C41</t>
        </is>
      </c>
      <c r="B45" s="4" t="inlineStr">
        <is>
          <t>FOCAL 8/2020 MX_DST → LVL-01</t>
        </is>
      </c>
      <c r="C45" s="4" t="inlineStr">
        <is>
          <t>MX_DST → MX_LVL-01</t>
        </is>
      </c>
      <c r="D45" s="4" t="n">
        <v>12</v>
      </c>
      <c r="E45" s="4" t="inlineStr">
        <is>
          <t>FOCAL 8/2020</t>
        </is>
      </c>
      <c r="F45" s="9" t="n"/>
      <c r="G45" s="9" t="n"/>
      <c r="H45" s="9" t="n"/>
      <c r="I45" s="9" t="n"/>
    </row>
    <row r="46">
      <c r="A46" s="4" t="inlineStr">
        <is>
          <t>C42</t>
        </is>
      </c>
      <c r="B46" s="4" t="inlineStr">
        <is>
          <t>4FO MX_DST → MX băng sông 2</t>
        </is>
      </c>
      <c r="C46" s="4" t="inlineStr">
        <is>
          <t>MX_DST → MX băng sông 2</t>
        </is>
      </c>
      <c r="D46" s="4" t="n">
        <v>4</v>
      </c>
      <c r="E46" s="4" t="inlineStr"/>
      <c r="F46" s="9" t="n"/>
      <c r="G46" s="9" t="n"/>
      <c r="H46" s="9" t="n"/>
      <c r="I46" s="9" t="n"/>
    </row>
    <row r="47">
      <c r="A47" s="4" t="inlineStr">
        <is>
          <t>C43</t>
        </is>
      </c>
      <c r="B47" s="4" t="inlineStr">
        <is>
          <t>48FO băng sông 2 → băng sông 1</t>
        </is>
      </c>
      <c r="C47" s="4" t="inlineStr">
        <is>
          <t>MX băng sông 2 → MX băng sông 1</t>
        </is>
      </c>
      <c r="D47" s="4" t="n">
        <v>48</v>
      </c>
      <c r="E47" s="4" t="inlineStr"/>
      <c r="F47" s="9" t="n"/>
      <c r="G47" s="9" t="n"/>
      <c r="H47" s="9" t="n"/>
      <c r="I47" s="9" t="n"/>
    </row>
    <row r="48">
      <c r="A48" s="4" t="inlineStr">
        <is>
          <t>C44</t>
        </is>
      </c>
      <c r="B48" s="4" t="inlineStr">
        <is>
          <t>FOCAL 2020 băng sông 1 → HNB012 (6FO)</t>
        </is>
      </c>
      <c r="C48" s="4" t="inlineStr">
        <is>
          <t>MX băng sông 1 → HNB012</t>
        </is>
      </c>
      <c r="D48" s="4" t="n">
        <v>6</v>
      </c>
      <c r="E48" s="4" t="inlineStr">
        <is>
          <t>FOCAL 2020</t>
        </is>
      </c>
      <c r="F48" s="9" t="n"/>
      <c r="G48" s="9" t="n"/>
      <c r="H48" s="9" t="n"/>
      <c r="I48" s="9" t="n"/>
    </row>
    <row r="49">
      <c r="A49" s="4" t="inlineStr">
        <is>
          <t>C45</t>
        </is>
      </c>
      <c r="B49" s="4" t="inlineStr">
        <is>
          <t>POSTEF 2016 HTP-01 → HNB066 (8FO)</t>
        </is>
      </c>
      <c r="C49" s="4" t="inlineStr">
        <is>
          <t>MX_HTP-01 → HNB066</t>
        </is>
      </c>
      <c r="D49" s="4" t="n">
        <v>8</v>
      </c>
      <c r="E49" s="4" t="inlineStr">
        <is>
          <t>POSTEF 2016</t>
        </is>
      </c>
      <c r="F49" s="9" t="n"/>
      <c r="G49" s="9" t="n"/>
      <c r="H49" s="9" t="n"/>
      <c r="I49" s="9" t="n"/>
    </row>
    <row r="50">
      <c r="A50" s="4" t="inlineStr">
        <is>
          <t>C46</t>
        </is>
      </c>
      <c r="B50" s="4" t="inlineStr">
        <is>
          <t>POSTEF 1/2019 HTP-02 → HNB038 (8FO)</t>
        </is>
      </c>
      <c r="C50" s="4" t="inlineStr">
        <is>
          <t>MX_HTP-02 → HNB038</t>
        </is>
      </c>
      <c r="D50" s="4" t="n">
        <v>8</v>
      </c>
      <c r="E50" s="4" t="inlineStr">
        <is>
          <t>POSTEF 1/2019</t>
        </is>
      </c>
      <c r="F50" s="9" t="n"/>
      <c r="G50" s="9" t="n"/>
      <c r="H50" s="9" t="n"/>
      <c r="I50" s="9" t="n"/>
    </row>
    <row r="51">
      <c r="A51" s="4" t="inlineStr">
        <is>
          <t>C47</t>
        </is>
      </c>
      <c r="B51" s="4" t="inlineStr">
        <is>
          <t>VINA-OFC 2016 HTP-02 → HNB005 (8FO)</t>
        </is>
      </c>
      <c r="C51" s="4" t="inlineStr">
        <is>
          <t>MX_HTP-02 → HNB005</t>
        </is>
      </c>
      <c r="D51" s="4" t="n">
        <v>8</v>
      </c>
      <c r="E51" s="4" t="inlineStr">
        <is>
          <t>VINA-OFC 2016</t>
        </is>
      </c>
      <c r="F51" s="9" t="n"/>
      <c r="G51" s="9" t="n"/>
      <c r="H51" s="9" t="n"/>
      <c r="I51" s="9" t="n"/>
    </row>
    <row r="52">
      <c r="A52" s="4" t="inlineStr">
        <is>
          <t>C48</t>
        </is>
      </c>
      <c r="B52" s="4" t="inlineStr">
        <is>
          <t>POSTEF 2017 HTP-03A → HNB013 (8FO)</t>
        </is>
      </c>
      <c r="C52" s="4" t="inlineStr">
        <is>
          <t>MX_HTP-03A → HNB013</t>
        </is>
      </c>
      <c r="D52" s="4" t="n">
        <v>8</v>
      </c>
      <c r="E52" s="4" t="inlineStr">
        <is>
          <t>POSTEF 2017</t>
        </is>
      </c>
      <c r="F52" s="9" t="n"/>
      <c r="G52" s="9" t="n"/>
      <c r="H52" s="9" t="n"/>
      <c r="I52" s="9" t="n"/>
    </row>
    <row r="53">
      <c r="A53" s="4" t="inlineStr">
        <is>
          <t>C49</t>
        </is>
      </c>
      <c r="B53" s="4" t="inlineStr">
        <is>
          <t>SACOM 2014 LVL-03 → HNB094 (12FO)</t>
        </is>
      </c>
      <c r="C53" s="4" t="inlineStr">
        <is>
          <t>MX_LVL-03 → HNB094</t>
        </is>
      </c>
      <c r="D53" s="4" t="n">
        <v>12</v>
      </c>
      <c r="E53" s="4" t="inlineStr">
        <is>
          <t>SACOM 2014</t>
        </is>
      </c>
      <c r="F53" s="9" t="n"/>
      <c r="G53" s="9" t="n"/>
      <c r="H53" s="9" t="n"/>
      <c r="I53" s="9" t="n"/>
    </row>
    <row r="54">
      <c r="A54" s="4" t="inlineStr">
        <is>
          <t>C50</t>
        </is>
      </c>
      <c r="B54" s="4" t="inlineStr">
        <is>
          <t>POSTEF 8/2019 LVL-04 → HNB018 (6FO)</t>
        </is>
      </c>
      <c r="C54" s="4" t="inlineStr">
        <is>
          <t>MX_LVL-04 → HNB018</t>
        </is>
      </c>
      <c r="D54" s="4" t="n">
        <v>6</v>
      </c>
      <c r="E54" s="4" t="inlineStr">
        <is>
          <t>POSTEF 8/2019</t>
        </is>
      </c>
      <c r="F54" s="9" t="n"/>
      <c r="G54" s="9" t="n"/>
      <c r="H54" s="9" t="n"/>
      <c r="I54" s="9" t="n"/>
    </row>
    <row r="55">
      <c r="A55" s="4" t="inlineStr">
        <is>
          <t>C51</t>
        </is>
      </c>
      <c r="B55" s="4" t="inlineStr">
        <is>
          <t>SACOM 3/2016 LVL-02 → HNB065 (8FO)</t>
        </is>
      </c>
      <c r="C55" s="4" t="inlineStr">
        <is>
          <t>MX_LVL-02 → HNB065</t>
        </is>
      </c>
      <c r="D55" s="4" t="n">
        <v>8</v>
      </c>
      <c r="E55" s="4" t="inlineStr">
        <is>
          <t>SACOM 3/2016</t>
        </is>
      </c>
      <c r="F55" s="9" t="n"/>
      <c r="G55" s="9" t="n"/>
      <c r="H55" s="9" t="n"/>
      <c r="I55" s="9" t="n"/>
    </row>
    <row r="56">
      <c r="A56" s="4" t="inlineStr">
        <is>
          <t>C52</t>
        </is>
      </c>
      <c r="B56" s="4" t="inlineStr">
        <is>
          <t>POSTEF 6/2019 LVL-02 → HNB055 (8FO)</t>
        </is>
      </c>
      <c r="C56" s="4" t="inlineStr">
        <is>
          <t>MX_LVL-02 → HNB055</t>
        </is>
      </c>
      <c r="D56" s="4" t="n">
        <v>8</v>
      </c>
      <c r="E56" s="4" t="inlineStr">
        <is>
          <t>POSTEF 6/2019</t>
        </is>
      </c>
      <c r="F56" s="9" t="n"/>
      <c r="G56" s="9" t="n"/>
      <c r="H56" s="9" t="n"/>
      <c r="I56" s="9" t="n"/>
    </row>
    <row r="57">
      <c r="A57" s="4" t="inlineStr">
        <is>
          <t>C53</t>
        </is>
      </c>
      <c r="B57" s="4" t="inlineStr">
        <is>
          <t>VINA 2017 LVL-02 → HNB073 (8FO)</t>
        </is>
      </c>
      <c r="C57" s="4" t="inlineStr">
        <is>
          <t>MX_LVL-02 → HNB073</t>
        </is>
      </c>
      <c r="D57" s="4" t="n">
        <v>8</v>
      </c>
      <c r="E57" s="4" t="inlineStr">
        <is>
          <t>VINA 2017</t>
        </is>
      </c>
      <c r="F57" s="9" t="n"/>
      <c r="G57" s="9" t="n"/>
      <c r="H57" s="9" t="n"/>
      <c r="I57" s="9" t="n"/>
    </row>
    <row r="58">
      <c r="A58" s="4" t="inlineStr">
        <is>
          <t>C54</t>
        </is>
      </c>
      <c r="B58" s="4" t="inlineStr">
        <is>
          <t>VINA 2018 LVL-01 → HNB011 (8FO)</t>
        </is>
      </c>
      <c r="C58" s="4" t="inlineStr">
        <is>
          <t>MX_LVL-01 → HNB011</t>
        </is>
      </c>
      <c r="D58" s="4" t="n">
        <v>8</v>
      </c>
      <c r="E58" s="4" t="inlineStr">
        <is>
          <t>VINA 2018</t>
        </is>
      </c>
      <c r="F58" s="9" t="n"/>
      <c r="G58" s="9" t="n"/>
      <c r="H58" s="9" t="n"/>
      <c r="I58" s="9" t="n"/>
    </row>
    <row r="59">
      <c r="A59" s="4" t="inlineStr">
        <is>
          <t>C55</t>
        </is>
      </c>
      <c r="B59" s="4" t="inlineStr">
        <is>
          <t>FOCAL 8FO LVL-01 → MX thẳng → HNB075 (945 m)</t>
        </is>
      </c>
      <c r="C59" s="4" t="inlineStr">
        <is>
          <t>MX_LVL-01 → MX thẳng LVL-01/075</t>
        </is>
      </c>
      <c r="D59" s="4" t="n">
        <v>8</v>
      </c>
      <c r="E59" s="4" t="inlineStr">
        <is>
          <t>FOCAL</t>
        </is>
      </c>
      <c r="F59" s="9" t="n"/>
      <c r="G59" s="9" t="n"/>
      <c r="H59" s="9" t="n"/>
      <c r="I59" s="9" t="n"/>
    </row>
    <row r="60">
      <c r="A60" s="4" t="inlineStr">
        <is>
          <t>C56</t>
        </is>
      </c>
      <c r="B60" s="4" t="inlineStr">
        <is>
          <t>focal 8fo 10/2014 MX thẳng LVL-01/075 → HNB075</t>
        </is>
      </c>
      <c r="C60" s="4" t="inlineStr">
        <is>
          <t>MX thẳng LVL-01/075 → HNB075</t>
        </is>
      </c>
      <c r="D60" s="4" t="n">
        <v>8</v>
      </c>
      <c r="E60" s="4" t="inlineStr">
        <is>
          <t>focal 8fo 10/2014</t>
        </is>
      </c>
      <c r="F60" s="9" t="n"/>
      <c r="G60" s="9" t="n"/>
      <c r="H60" s="9" t="n"/>
      <c r="I60" s="9" t="n"/>
    </row>
    <row r="61">
      <c r="A61" s="4" t="inlineStr">
        <is>
          <t>C57</t>
        </is>
      </c>
      <c r="B61" s="4" t="inlineStr">
        <is>
          <t>POSTEF 6/2019 HNB055 ↔ HNB065 (8FO)</t>
        </is>
      </c>
      <c r="C61" s="4" t="inlineStr">
        <is>
          <t>HNB055 → HNB065</t>
        </is>
      </c>
      <c r="D61" s="4" t="n">
        <v>8</v>
      </c>
      <c r="E61" s="4" t="inlineStr">
        <is>
          <t>POSTEF 6/2019</t>
        </is>
      </c>
      <c r="F61" s="9" t="n"/>
      <c r="G61" s="9" t="n"/>
      <c r="H61" s="9" t="n"/>
      <c r="I61" s="9" t="n"/>
    </row>
    <row r="62">
      <c r="A62" s="4" t="inlineStr">
        <is>
          <t>C58</t>
        </is>
      </c>
      <c r="B62" s="4" t="inlineStr">
        <is>
          <t>PRYSMIAN 2009 HNB011 → MX thẳng 11-56 (8FO)</t>
        </is>
      </c>
      <c r="C62" s="4" t="inlineStr">
        <is>
          <t>HNB011 → MX thẳng 11-56</t>
        </is>
      </c>
      <c r="D62" s="4" t="n">
        <v>8</v>
      </c>
      <c r="E62" s="4" t="inlineStr">
        <is>
          <t>PRYSMIAN 2009</t>
        </is>
      </c>
      <c r="F62" s="9" t="n"/>
      <c r="G62" s="9" t="n"/>
      <c r="H62" s="9" t="n"/>
      <c r="I62" s="9" t="n"/>
    </row>
    <row r="63">
      <c r="A63" s="4" t="inlineStr">
        <is>
          <t>C59</t>
        </is>
      </c>
      <c r="B63" s="4" t="inlineStr">
        <is>
          <t>VINA OFC MX thẳng 11-56 → HNB056 (8FO)</t>
        </is>
      </c>
      <c r="C63" s="4" t="inlineStr">
        <is>
          <t>MX thẳng 11-56 → HNB056</t>
        </is>
      </c>
      <c r="D63" s="4" t="n">
        <v>8</v>
      </c>
      <c r="E63" s="4" t="inlineStr">
        <is>
          <t>VINA OFC</t>
        </is>
      </c>
      <c r="F63" s="9" t="n"/>
      <c r="G63" s="9" t="n"/>
      <c r="H63" s="9" t="n"/>
      <c r="I63" s="9" t="n"/>
    </row>
    <row r="64">
      <c r="A64" s="4" t="inlineStr">
        <is>
          <t>C60</t>
        </is>
      </c>
      <c r="B64" s="4" t="inlineStr">
        <is>
          <t>POSTEF 6/2019 HNB056 ↔ HNB071 (8FO)</t>
        </is>
      </c>
      <c r="C64" s="4" t="inlineStr">
        <is>
          <t>HNB056 → HNB071</t>
        </is>
      </c>
      <c r="D64" s="4" t="n">
        <v>8</v>
      </c>
      <c r="E64" s="4" t="inlineStr">
        <is>
          <t>POSTEF 6/2019</t>
        </is>
      </c>
      <c r="F64" s="9" t="n"/>
      <c r="G64" s="9" t="n"/>
      <c r="H64" s="9" t="n"/>
      <c r="I64" s="9" t="n"/>
    </row>
    <row r="65">
      <c r="A65" s="4" t="inlineStr">
        <is>
          <t>C61</t>
        </is>
      </c>
      <c r="B65" s="4" t="inlineStr">
        <is>
          <t>POSTEF 2017 HNB071 ↔ HNB073 (8FO)</t>
        </is>
      </c>
      <c r="C65" s="4" t="inlineStr">
        <is>
          <t>HNB071 → HNB073</t>
        </is>
      </c>
      <c r="D65" s="4" t="n">
        <v>8</v>
      </c>
      <c r="E65" s="4" t="inlineStr">
        <is>
          <t>POSTEF 2017</t>
        </is>
      </c>
      <c r="F65" s="9" t="n"/>
      <c r="G65" s="9" t="n"/>
      <c r="H65" s="9" t="n"/>
      <c r="I65" s="9" t="n"/>
    </row>
    <row r="66">
      <c r="A66" s="4" t="inlineStr">
        <is>
          <t>C62</t>
        </is>
      </c>
      <c r="B66" s="4" t="inlineStr">
        <is>
          <t>POSTEF 1/2019 HNB005 ↔ HNB062 (8FO)</t>
        </is>
      </c>
      <c r="C66" s="4" t="inlineStr">
        <is>
          <t>HNB005 → HNB062</t>
        </is>
      </c>
      <c r="D66" s="4" t="n">
        <v>8</v>
      </c>
      <c r="E66" s="4" t="inlineStr">
        <is>
          <t>POSTEF 1/2019</t>
        </is>
      </c>
      <c r="F66" s="9" t="n"/>
      <c r="G66" s="9" t="n"/>
      <c r="H66" s="9" t="n"/>
      <c r="I66" s="9" t="n"/>
    </row>
    <row r="67">
      <c r="A67" s="4" t="inlineStr">
        <is>
          <t>C63</t>
        </is>
      </c>
      <c r="B67" s="4" t="inlineStr">
        <is>
          <t>ETCC-2009 HNB062 → MX thẳng 62-21 (8FO)</t>
        </is>
      </c>
      <c r="C67" s="4" t="inlineStr">
        <is>
          <t>HNB062 → MX thẳng 62-21</t>
        </is>
      </c>
      <c r="D67" s="4" t="n">
        <v>8</v>
      </c>
      <c r="E67" s="4" t="inlineStr">
        <is>
          <t>ETCC-2009</t>
        </is>
      </c>
      <c r="F67" s="9" t="n"/>
      <c r="G67" s="9" t="n"/>
      <c r="H67" s="9" t="n"/>
      <c r="I67" s="9" t="n"/>
    </row>
    <row r="68">
      <c r="A68" s="4" t="inlineStr">
        <is>
          <t>C64</t>
        </is>
      </c>
      <c r="B68" s="4" t="inlineStr">
        <is>
          <t>FIBERHOME AERIAL MX thẳng 62-21 → HNB021 (8FO)</t>
        </is>
      </c>
      <c r="C68" s="4" t="inlineStr">
        <is>
          <t>MX thẳng 62-21 → HNB021</t>
        </is>
      </c>
      <c r="D68" s="4" t="n">
        <v>8</v>
      </c>
      <c r="E68" s="4" t="inlineStr">
        <is>
          <t>FIBERHOME AERIAL</t>
        </is>
      </c>
      <c r="F68" s="9" t="n"/>
      <c r="G68" s="9" t="n"/>
      <c r="H68" s="9" t="n"/>
      <c r="I68" s="9" t="n"/>
    </row>
    <row r="69">
      <c r="A69" s="4" t="inlineStr">
        <is>
          <t>C65</t>
        </is>
      </c>
      <c r="B69" s="4" t="inlineStr">
        <is>
          <t>VINACAP HNB021 → MX thẳng 13-21 (8FO)</t>
        </is>
      </c>
      <c r="C69" s="4" t="inlineStr">
        <is>
          <t>HNB021 → MX thẳng 13-21</t>
        </is>
      </c>
      <c r="D69" s="4" t="n">
        <v>8</v>
      </c>
      <c r="E69" s="4" t="inlineStr">
        <is>
          <t>VINACAP</t>
        </is>
      </c>
      <c r="F69" s="9" t="n"/>
      <c r="G69" s="9" t="n"/>
      <c r="H69" s="9" t="n"/>
      <c r="I69" s="9" t="n"/>
    </row>
    <row r="70">
      <c r="A70" s="4" t="inlineStr">
        <is>
          <t>C66</t>
        </is>
      </c>
      <c r="B70" s="4" t="inlineStr">
        <is>
          <t>ETCC-2009 MX thẳng 13-21 → HNB013 (8FO)</t>
        </is>
      </c>
      <c r="C70" s="4" t="inlineStr">
        <is>
          <t>MX thẳng 13-21 → HNB013</t>
        </is>
      </c>
      <c r="D70" s="4" t="n">
        <v>8</v>
      </c>
      <c r="E70" s="4" t="inlineStr">
        <is>
          <t>ETCC-2009</t>
        </is>
      </c>
      <c r="F70" s="9" t="n"/>
      <c r="G70" s="9" t="n"/>
      <c r="H70" s="9" t="n"/>
      <c r="I70" s="9" t="n"/>
    </row>
    <row r="71">
      <c r="A71" s="4" t="inlineStr">
        <is>
          <t>C67</t>
        </is>
      </c>
      <c r="B71" s="4" t="inlineStr">
        <is>
          <t>VDF HNB066 → MX thẳng 66-16 (8FO)</t>
        </is>
      </c>
      <c r="C71" s="4" t="inlineStr">
        <is>
          <t>HNB066 → MX thẳng 66-16</t>
        </is>
      </c>
      <c r="D71" s="4" t="n">
        <v>8</v>
      </c>
      <c r="E71" s="4" t="inlineStr">
        <is>
          <t>VDF</t>
        </is>
      </c>
      <c r="F71" s="9" t="n"/>
      <c r="G71" s="9" t="n"/>
      <c r="H71" s="9" t="n"/>
      <c r="I71" s="9" t="n"/>
    </row>
    <row r="72">
      <c r="A72" s="4" t="inlineStr">
        <is>
          <t>C68</t>
        </is>
      </c>
      <c r="B72" s="4" t="inlineStr">
        <is>
          <t>POSTEF 2017 MX thẳng 66-16 → HNB016 (8FO)</t>
        </is>
      </c>
      <c r="C72" s="4" t="inlineStr">
        <is>
          <t>MX thẳng 66-16 → HNB016</t>
        </is>
      </c>
      <c r="D72" s="4" t="n">
        <v>8</v>
      </c>
      <c r="E72" s="4" t="inlineStr">
        <is>
          <t>POSTEF 2017</t>
        </is>
      </c>
      <c r="F72" s="9" t="n"/>
      <c r="G72" s="9" t="n"/>
      <c r="H72" s="9" t="n"/>
      <c r="I72" s="9" t="n"/>
    </row>
    <row r="73">
      <c r="A73" s="4" t="inlineStr">
        <is>
          <t>C69</t>
        </is>
      </c>
      <c r="B73" s="4" t="inlineStr">
        <is>
          <t>RECOIN 12/2016 HNB016 ↔ HNB038 (4FO)</t>
        </is>
      </c>
      <c r="C73" s="4" t="inlineStr">
        <is>
          <t>HNB016 → HNB038</t>
        </is>
      </c>
      <c r="D73" s="4" t="n">
        <v>4</v>
      </c>
      <c r="E73" s="4" t="inlineStr">
        <is>
          <t>RECOIN 12/2016</t>
        </is>
      </c>
      <c r="F73" s="9" t="n"/>
      <c r="G73" s="9" t="n"/>
      <c r="H73" s="9" t="n"/>
      <c r="I73" s="9" t="n"/>
    </row>
    <row r="74">
      <c r="A74" s="4" t="inlineStr">
        <is>
          <t>C70</t>
        </is>
      </c>
      <c r="B74" s="4" t="inlineStr">
        <is>
          <t>FOCAL 2020 HNB014 ↔ HNB075 (6FO)</t>
        </is>
      </c>
      <c r="C74" s="4" t="inlineStr">
        <is>
          <t>HNB014 → HNB075</t>
        </is>
      </c>
      <c r="D74" s="4" t="n">
        <v>6</v>
      </c>
      <c r="E74" s="4" t="inlineStr">
        <is>
          <t>FOCAL 2020</t>
        </is>
      </c>
      <c r="F74" s="9" t="n"/>
      <c r="G74" s="9" t="n"/>
      <c r="H74" s="9" t="n"/>
      <c r="I74" s="9" t="n"/>
    </row>
    <row r="75">
      <c r="A75" s="4" t="inlineStr">
        <is>
          <t>C71</t>
        </is>
      </c>
      <c r="B75" s="4" t="inlineStr">
        <is>
          <t>Fiber 6/2007 HNB012 → MX_PHẠM HÙNG (8FO)</t>
        </is>
      </c>
      <c r="C75" s="4" t="inlineStr">
        <is>
          <t>HNB012 → MX_PHẠM HÙNG</t>
        </is>
      </c>
      <c r="D75" s="4" t="n">
        <v>8</v>
      </c>
      <c r="E75" s="4" t="inlineStr">
        <is>
          <t>Fiber 6/2007</t>
        </is>
      </c>
      <c r="F75" s="9" t="n"/>
      <c r="G75" s="9" t="n"/>
      <c r="H75" s="9" t="n"/>
      <c r="I75" s="9" t="n"/>
    </row>
    <row r="76">
      <c r="A76" s="4" t="inlineStr">
        <is>
          <t>C72</t>
        </is>
      </c>
      <c r="B76" s="4" t="inlineStr">
        <is>
          <t>FOCAL MX_PHẠM HÙNG → MX thẳng Phạm Hùng (8FO)</t>
        </is>
      </c>
      <c r="C76" s="4" t="inlineStr">
        <is>
          <t>MX_PHẠM HÙNG → MX thẳng Phạm Hùng</t>
        </is>
      </c>
      <c r="D76" s="4" t="n">
        <v>8</v>
      </c>
      <c r="E76" s="4" t="inlineStr">
        <is>
          <t>FOCAL</t>
        </is>
      </c>
      <c r="F76" s="9" t="n"/>
      <c r="G76" s="9" t="n"/>
      <c r="H76" s="9" t="n"/>
      <c r="I76" s="9" t="n"/>
    </row>
    <row r="77">
      <c r="A77" s="4" t="inlineStr">
        <is>
          <t>C73</t>
        </is>
      </c>
      <c r="B77" s="4" t="inlineStr">
        <is>
          <t>FOCAL MX thẳng Phạm Hùng → MX cầu NVL 2 (8FO)</t>
        </is>
      </c>
      <c r="C77" s="4" t="inlineStr">
        <is>
          <t>MX thẳng Phạm Hùng → MX cầu NVL 2</t>
        </is>
      </c>
      <c r="D77" s="4" t="n">
        <v>8</v>
      </c>
      <c r="E77" s="4" t="inlineStr">
        <is>
          <t>FOCAL</t>
        </is>
      </c>
      <c r="F77" s="9" t="n"/>
      <c r="G77" s="9" t="n"/>
      <c r="H77" s="9" t="n"/>
      <c r="I77" s="9" t="n"/>
    </row>
    <row r="78">
      <c r="A78" s="4" t="inlineStr">
        <is>
          <t>C74</t>
        </is>
      </c>
      <c r="B78" s="4" t="inlineStr">
        <is>
          <t>FOCAL MX cầu NVL 2 → MX cầu NVL 1 (8FO)</t>
        </is>
      </c>
      <c r="C78" s="4" t="inlineStr">
        <is>
          <t>MX cầu NVL 2 → MX cầu NVL 1</t>
        </is>
      </c>
      <c r="D78" s="4" t="n">
        <v>8</v>
      </c>
      <c r="E78" s="4" t="inlineStr">
        <is>
          <t>FOCAL</t>
        </is>
      </c>
      <c r="F78" s="9" t="n"/>
      <c r="G78" s="9" t="n"/>
      <c r="H78" s="9" t="n"/>
      <c r="I78" s="9" t="n"/>
    </row>
    <row r="79">
      <c r="A79" s="4" t="inlineStr">
        <is>
          <t>C75</t>
        </is>
      </c>
      <c r="B79" s="4" t="inlineStr">
        <is>
          <t>FOCAL MX cầu NVL 1 → HNB014 (8FO)</t>
        </is>
      </c>
      <c r="C79" s="4" t="inlineStr">
        <is>
          <t>MX cầu NVL 1 → HNB014</t>
        </is>
      </c>
      <c r="D79" s="4" t="n">
        <v>8</v>
      </c>
      <c r="E79" s="4" t="inlineStr">
        <is>
          <t>FOCAL</t>
        </is>
      </c>
      <c r="F79" s="9" t="n"/>
      <c r="G79" s="9" t="n"/>
      <c r="H79" s="9" t="n"/>
      <c r="I79" s="9" t="n"/>
    </row>
    <row r="80">
      <c r="A80" s="4" t="inlineStr">
        <is>
          <t>C77</t>
        </is>
      </c>
      <c r="B80" s="4" t="inlineStr">
        <is>
          <t>8FO chéo đường NVT_02A ↔ NVT_02B</t>
        </is>
      </c>
      <c r="C80" s="4" t="inlineStr">
        <is>
          <t>MX_NVT_02A → MX_NVT_02B</t>
        </is>
      </c>
      <c r="D80" s="4" t="n">
        <v>8</v>
      </c>
      <c r="E80" s="4" t="inlineStr"/>
      <c r="F80" s="9" t="n"/>
      <c r="G80" s="9" t="n"/>
      <c r="H80" s="9" t="n"/>
      <c r="I80" s="9"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50" customWidth="1" min="3" max="3"/>
    <col width="6" customWidth="1" min="4" max="4"/>
    <col width="9" customWidth="1" min="5" max="5"/>
    <col width="16" customWidth="1" min="6" max="6"/>
    <col width="9" customWidth="1" min="7" max="7"/>
    <col width="12" customWidth="1" min="8" max="8"/>
  </cols>
  <sheetData>
    <row r="1">
      <c r="A1" s="1" t="inlineStr">
        <is>
          <t>Nhãn core cho măng xông chưa có nhãn (đề xuất từ đường đi)</t>
        </is>
      </c>
    </row>
    <row r="2">
      <c r="A2" s="2" t="inlineStr">
        <is>
          <t>Cột "Đề xuất" là nhãn do công cụ gợi ý từ đường đi đã lần (cùng nhãn = hàn với nhau). Đánh x vào cột "Chốt" để nhận đề xuất, hoặc gõ nhãn khác vào "Nhãn (nhập)". Cột "Trạm" là CSG của link đi qua nhóm core đó.</t>
        </is>
      </c>
    </row>
    <row r="4" ht="32" customHeight="1">
      <c r="A4" s="3" t="inlineStr">
        <is>
          <t>Măng xông</t>
        </is>
      </c>
      <c r="B4" s="3" t="inlineStr">
        <is>
          <t>Mã cáp nội bộ</t>
        </is>
      </c>
      <c r="C4" s="3" t="inlineStr">
        <is>
          <t>Cáp</t>
        </is>
      </c>
      <c r="D4" s="3" t="inlineStr">
        <is>
          <t>Core</t>
        </is>
      </c>
      <c r="E4" s="3" t="inlineStr">
        <is>
          <t>Đề xuất</t>
        </is>
      </c>
      <c r="F4" s="3" t="inlineStr">
        <is>
          <t>Trạm (link)</t>
        </is>
      </c>
      <c r="G4" s="3" t="inlineStr">
        <is>
          <t>Chốt (x)</t>
        </is>
      </c>
      <c r="H4" s="3" t="inlineStr">
        <is>
          <t>Nhãn (nhập)</t>
        </is>
      </c>
    </row>
    <row r="5">
      <c r="A5" s="4" t="inlineStr">
        <is>
          <t>MX băng sông 1</t>
        </is>
      </c>
      <c r="B5" s="4" t="inlineStr">
        <is>
          <t>C43</t>
        </is>
      </c>
      <c r="C5" s="4" t="inlineStr">
        <is>
          <t>48FO băng sông 2 → băng sông 1 (48FO)</t>
        </is>
      </c>
      <c r="D5" s="4" t="n">
        <v>1</v>
      </c>
      <c r="E5" s="4" t="inlineStr">
        <is>
          <t>A</t>
        </is>
      </c>
      <c r="F5" s="4" t="inlineStr">
        <is>
          <t>HNB012</t>
        </is>
      </c>
      <c r="G5" s="9" t="n"/>
      <c r="H5" s="9" t="n"/>
    </row>
    <row r="6">
      <c r="A6" s="4" t="inlineStr">
        <is>
          <t>MX băng sông 1</t>
        </is>
      </c>
      <c r="B6" s="4" t="inlineStr">
        <is>
          <t>C43</t>
        </is>
      </c>
      <c r="C6" s="4" t="inlineStr">
        <is>
          <t>48FO băng sông 2 → băng sông 1 (48FO)</t>
        </is>
      </c>
      <c r="D6" s="4" t="n">
        <v>2</v>
      </c>
      <c r="E6" s="4" t="inlineStr">
        <is>
          <t>A</t>
        </is>
      </c>
      <c r="F6" s="4" t="inlineStr">
        <is>
          <t>HNB012</t>
        </is>
      </c>
      <c r="G6" s="9" t="n"/>
      <c r="H6" s="9" t="n"/>
    </row>
    <row r="7">
      <c r="A7" s="4" t="inlineStr">
        <is>
          <t>MX băng sông 1</t>
        </is>
      </c>
      <c r="B7" s="4" t="inlineStr">
        <is>
          <t>C44</t>
        </is>
      </c>
      <c r="C7" s="4" t="inlineStr">
        <is>
          <t>FOCAL 2020 băng sông 1 → HNB012 (6FO) (6FO)</t>
        </is>
      </c>
      <c r="D7" s="4" t="n">
        <v>1</v>
      </c>
      <c r="E7" s="4" t="inlineStr">
        <is>
          <t>A</t>
        </is>
      </c>
      <c r="F7" s="4" t="inlineStr">
        <is>
          <t>HNB012</t>
        </is>
      </c>
      <c r="G7" s="9" t="n"/>
      <c r="H7" s="9" t="n"/>
    </row>
    <row r="8">
      <c r="A8" s="4" t="inlineStr">
        <is>
          <t>MX băng sông 1</t>
        </is>
      </c>
      <c r="B8" s="4" t="inlineStr">
        <is>
          <t>C44</t>
        </is>
      </c>
      <c r="C8" s="4" t="inlineStr">
        <is>
          <t>FOCAL 2020 băng sông 1 → HNB012 (6FO) (6FO)</t>
        </is>
      </c>
      <c r="D8" s="4" t="n">
        <v>2</v>
      </c>
      <c r="E8" s="4" t="inlineStr">
        <is>
          <t>A</t>
        </is>
      </c>
      <c r="F8" s="4" t="inlineStr">
        <is>
          <t>HNB012</t>
        </is>
      </c>
      <c r="G8" s="9" t="n"/>
      <c r="H8" s="9" t="n"/>
    </row>
    <row r="9">
      <c r="A9" s="4" t="inlineStr">
        <is>
          <t>MX băng sông 2</t>
        </is>
      </c>
      <c r="B9" s="4" t="inlineStr">
        <is>
          <t>C42</t>
        </is>
      </c>
      <c r="C9" s="4" t="inlineStr">
        <is>
          <t>4FO MX_DST → MX băng sông 2 (4FO)</t>
        </is>
      </c>
      <c r="D9" s="4" t="n">
        <v>1</v>
      </c>
      <c r="E9" s="4" t="inlineStr">
        <is>
          <t>A</t>
        </is>
      </c>
      <c r="F9" s="4" t="inlineStr">
        <is>
          <t>HNB012</t>
        </is>
      </c>
      <c r="G9" s="9" t="n"/>
      <c r="H9" s="9" t="n"/>
    </row>
    <row r="10">
      <c r="A10" s="4" t="inlineStr">
        <is>
          <t>MX băng sông 2</t>
        </is>
      </c>
      <c r="B10" s="4" t="inlineStr">
        <is>
          <t>C42</t>
        </is>
      </c>
      <c r="C10" s="4" t="inlineStr">
        <is>
          <t>4FO MX_DST → MX băng sông 2 (4FO)</t>
        </is>
      </c>
      <c r="D10" s="4" t="n">
        <v>2</v>
      </c>
      <c r="E10" s="4" t="inlineStr">
        <is>
          <t>A</t>
        </is>
      </c>
      <c r="F10" s="4" t="inlineStr">
        <is>
          <t>HNB012</t>
        </is>
      </c>
      <c r="G10" s="9" t="n"/>
      <c r="H10" s="9" t="n"/>
    </row>
    <row r="11">
      <c r="A11" s="4" t="inlineStr">
        <is>
          <t>MX băng sông 2</t>
        </is>
      </c>
      <c r="B11" s="4" t="inlineStr">
        <is>
          <t>C43</t>
        </is>
      </c>
      <c r="C11" s="4" t="inlineStr">
        <is>
          <t>48FO băng sông 2 → băng sông 1 (48FO)</t>
        </is>
      </c>
      <c r="D11" s="4" t="n">
        <v>1</v>
      </c>
      <c r="E11" s="4" t="inlineStr">
        <is>
          <t>A</t>
        </is>
      </c>
      <c r="F11" s="4" t="inlineStr">
        <is>
          <t>HNB012</t>
        </is>
      </c>
      <c r="G11" s="9" t="n"/>
      <c r="H11" s="9" t="n"/>
    </row>
    <row r="12">
      <c r="A12" s="4" t="inlineStr">
        <is>
          <t>MX băng sông 2</t>
        </is>
      </c>
      <c r="B12" s="4" t="inlineStr">
        <is>
          <t>C43</t>
        </is>
      </c>
      <c r="C12" s="4" t="inlineStr">
        <is>
          <t>48FO băng sông 2 → băng sông 1 (48FO)</t>
        </is>
      </c>
      <c r="D12" s="4" t="n">
        <v>2</v>
      </c>
      <c r="E12" s="4" t="inlineStr">
        <is>
          <t>A</t>
        </is>
      </c>
      <c r="F12" s="4" t="inlineStr">
        <is>
          <t>HNB012</t>
        </is>
      </c>
      <c r="G12" s="9" t="n"/>
      <c r="H12" s="9" t="n"/>
    </row>
    <row r="13">
      <c r="A13" s="4" t="inlineStr">
        <is>
          <t>MX cầu NVL 1</t>
        </is>
      </c>
      <c r="B13" s="4" t="inlineStr">
        <is>
          <t>C74</t>
        </is>
      </c>
      <c r="C13" s="4" t="inlineStr">
        <is>
          <t>FOCAL MX cầu NVL 2 → MX cầu NVL 1 (8FO) (8FO)</t>
        </is>
      </c>
      <c r="D13" s="4" t="n">
        <v>1</v>
      </c>
      <c r="E13" s="4" t="inlineStr">
        <is>
          <t>A</t>
        </is>
      </c>
      <c r="F13" s="4" t="inlineStr">
        <is>
          <t>HNB012</t>
        </is>
      </c>
      <c r="G13" s="9" t="n"/>
      <c r="H13" s="9" t="n"/>
    </row>
    <row r="14">
      <c r="A14" s="4" t="inlineStr">
        <is>
          <t>MX cầu NVL 1</t>
        </is>
      </c>
      <c r="B14" s="4" t="inlineStr">
        <is>
          <t>C74</t>
        </is>
      </c>
      <c r="C14" s="4" t="inlineStr">
        <is>
          <t>FOCAL MX cầu NVL 2 → MX cầu NVL 1 (8FO) (8FO)</t>
        </is>
      </c>
      <c r="D14" s="4" t="n">
        <v>2</v>
      </c>
      <c r="E14" s="4" t="inlineStr">
        <is>
          <t>A</t>
        </is>
      </c>
      <c r="F14" s="4" t="inlineStr">
        <is>
          <t>HNB012</t>
        </is>
      </c>
      <c r="G14" s="9" t="n"/>
      <c r="H14" s="9" t="n"/>
    </row>
    <row r="15">
      <c r="A15" s="4" t="inlineStr">
        <is>
          <t>MX cầu NVL 1</t>
        </is>
      </c>
      <c r="B15" s="4" t="inlineStr">
        <is>
          <t>C75</t>
        </is>
      </c>
      <c r="C15" s="4" t="inlineStr">
        <is>
          <t>FOCAL MX cầu NVL 1 → HNB014 (8FO) (8FO)</t>
        </is>
      </c>
      <c r="D15" s="4" t="n">
        <v>1</v>
      </c>
      <c r="E15" s="4" t="inlineStr">
        <is>
          <t>A</t>
        </is>
      </c>
      <c r="F15" s="4" t="inlineStr">
        <is>
          <t>HNB012</t>
        </is>
      </c>
      <c r="G15" s="9" t="n"/>
      <c r="H15" s="9" t="n"/>
    </row>
    <row r="16">
      <c r="A16" s="4" t="inlineStr">
        <is>
          <t>MX cầu NVL 1</t>
        </is>
      </c>
      <c r="B16" s="4" t="inlineStr">
        <is>
          <t>C75</t>
        </is>
      </c>
      <c r="C16" s="4" t="inlineStr">
        <is>
          <t>FOCAL MX cầu NVL 1 → HNB014 (8FO) (8FO)</t>
        </is>
      </c>
      <c r="D16" s="4" t="n">
        <v>2</v>
      </c>
      <c r="E16" s="4" t="inlineStr">
        <is>
          <t>A</t>
        </is>
      </c>
      <c r="F16" s="4" t="inlineStr">
        <is>
          <t>HNB012</t>
        </is>
      </c>
      <c r="G16" s="9" t="n"/>
      <c r="H16" s="9" t="n"/>
    </row>
    <row r="17">
      <c r="A17" s="4" t="inlineStr">
        <is>
          <t>MX cầu NVL 2</t>
        </is>
      </c>
      <c r="B17" s="4" t="inlineStr">
        <is>
          <t>C73</t>
        </is>
      </c>
      <c r="C17" s="4" t="inlineStr">
        <is>
          <t>FOCAL MX thẳng Phạm Hùng → MX cầu NVL 2 (8FO) (8FO)</t>
        </is>
      </c>
      <c r="D17" s="4" t="n">
        <v>1</v>
      </c>
      <c r="E17" s="4" t="inlineStr">
        <is>
          <t>A</t>
        </is>
      </c>
      <c r="F17" s="4" t="inlineStr">
        <is>
          <t>HNB012</t>
        </is>
      </c>
      <c r="G17" s="9" t="n"/>
      <c r="H17" s="9" t="n"/>
    </row>
    <row r="18">
      <c r="A18" s="4" t="inlineStr">
        <is>
          <t>MX cầu NVL 2</t>
        </is>
      </c>
      <c r="B18" s="4" t="inlineStr">
        <is>
          <t>C73</t>
        </is>
      </c>
      <c r="C18" s="4" t="inlineStr">
        <is>
          <t>FOCAL MX thẳng Phạm Hùng → MX cầu NVL 2 (8FO) (8FO)</t>
        </is>
      </c>
      <c r="D18" s="4" t="n">
        <v>2</v>
      </c>
      <c r="E18" s="4" t="inlineStr">
        <is>
          <t>A</t>
        </is>
      </c>
      <c r="F18" s="4" t="inlineStr">
        <is>
          <t>HNB012</t>
        </is>
      </c>
      <c r="G18" s="9" t="n"/>
      <c r="H18" s="9" t="n"/>
    </row>
    <row r="19">
      <c r="A19" s="4" t="inlineStr">
        <is>
          <t>MX cầu NVL 2</t>
        </is>
      </c>
      <c r="B19" s="4" t="inlineStr">
        <is>
          <t>C74</t>
        </is>
      </c>
      <c r="C19" s="4" t="inlineStr">
        <is>
          <t>FOCAL MX cầu NVL 2 → MX cầu NVL 1 (8FO) (8FO)</t>
        </is>
      </c>
      <c r="D19" s="4" t="n">
        <v>1</v>
      </c>
      <c r="E19" s="4" t="inlineStr">
        <is>
          <t>A</t>
        </is>
      </c>
      <c r="F19" s="4" t="inlineStr">
        <is>
          <t>HNB012</t>
        </is>
      </c>
      <c r="G19" s="9" t="n"/>
      <c r="H19" s="9" t="n"/>
    </row>
    <row r="20">
      <c r="A20" s="4" t="inlineStr">
        <is>
          <t>MX cầu NVL 2</t>
        </is>
      </c>
      <c r="B20" s="4" t="inlineStr">
        <is>
          <t>C74</t>
        </is>
      </c>
      <c r="C20" s="4" t="inlineStr">
        <is>
          <t>FOCAL MX cầu NVL 2 → MX cầu NVL 1 (8FO) (8FO)</t>
        </is>
      </c>
      <c r="D20" s="4" t="n">
        <v>2</v>
      </c>
      <c r="E20" s="4" t="inlineStr">
        <is>
          <t>A</t>
        </is>
      </c>
      <c r="F20" s="4" t="inlineStr">
        <is>
          <t>HNB012</t>
        </is>
      </c>
      <c r="G20" s="9" t="n"/>
      <c r="H20" s="9" t="n"/>
    </row>
    <row r="21">
      <c r="A21" s="4" t="inlineStr">
        <is>
          <t>MX nhập đài Long Thới–NVT</t>
        </is>
      </c>
      <c r="B21" s="4" t="inlineStr">
        <is>
          <t>C01</t>
        </is>
      </c>
      <c r="C21" s="4" t="inlineStr">
        <is>
          <t>ADSS 9/2009 (24FO)</t>
        </is>
      </c>
      <c r="D21" s="4" t="n">
        <v>3</v>
      </c>
      <c r="E21" s="4" t="inlineStr">
        <is>
          <t>A</t>
        </is>
      </c>
      <c r="F21" s="4" t="inlineStr">
        <is>
          <t>HNB059</t>
        </is>
      </c>
      <c r="G21" s="9" t="n"/>
      <c r="H21" s="9" t="n"/>
    </row>
    <row r="22">
      <c r="A22" s="4" t="inlineStr">
        <is>
          <t>MX nhập đài Long Thới–NVT</t>
        </is>
      </c>
      <c r="B22" s="4" t="inlineStr">
        <is>
          <t>C01</t>
        </is>
      </c>
      <c r="C22" s="4" t="inlineStr">
        <is>
          <t>ADSS 9/2009 (24FO)</t>
        </is>
      </c>
      <c r="D22" s="4" t="n">
        <v>4</v>
      </c>
      <c r="E22" s="4" t="inlineStr">
        <is>
          <t>A</t>
        </is>
      </c>
      <c r="F22" s="4" t="inlineStr">
        <is>
          <t>HNB059</t>
        </is>
      </c>
      <c r="G22" s="9" t="n"/>
      <c r="H22" s="9" t="n"/>
    </row>
    <row r="23">
      <c r="A23" s="4" t="inlineStr">
        <is>
          <t>MX nhập đài Long Thới–NVT</t>
        </is>
      </c>
      <c r="B23" s="4" t="inlineStr">
        <is>
          <t>C02</t>
        </is>
      </c>
      <c r="C23" s="4" t="inlineStr">
        <is>
          <t>SACOM 8/2014 (12FO)</t>
        </is>
      </c>
      <c r="D23" s="4" t="n">
        <v>3</v>
      </c>
      <c r="E23" s="4" t="inlineStr">
        <is>
          <t>A</t>
        </is>
      </c>
      <c r="F23" s="4" t="inlineStr">
        <is>
          <t>HNB059</t>
        </is>
      </c>
      <c r="G23" s="9" t="n"/>
      <c r="H23" s="9" t="n"/>
    </row>
    <row r="24">
      <c r="A24" s="4" t="inlineStr">
        <is>
          <t>MX nhập đài Long Thới–NVT</t>
        </is>
      </c>
      <c r="B24" s="4" t="inlineStr">
        <is>
          <t>C02</t>
        </is>
      </c>
      <c r="C24" s="4" t="inlineStr">
        <is>
          <t>SACOM 8/2014 (12FO)</t>
        </is>
      </c>
      <c r="D24" s="4" t="n">
        <v>4</v>
      </c>
      <c r="E24" s="4" t="inlineStr">
        <is>
          <t>A</t>
        </is>
      </c>
      <c r="F24" s="4" t="inlineStr">
        <is>
          <t>HNB059</t>
        </is>
      </c>
      <c r="G24" s="9" t="n"/>
      <c r="H24" s="9" t="n"/>
    </row>
    <row r="25">
      <c r="A25" s="4" t="inlineStr">
        <is>
          <t>MX nhập đài Long Thới–NVT</t>
        </is>
      </c>
      <c r="B25" s="4" t="inlineStr">
        <is>
          <t>C01</t>
        </is>
      </c>
      <c r="C25" s="4" t="inlineStr">
        <is>
          <t>ADSS 9/2009 (24FO)</t>
        </is>
      </c>
      <c r="D25" s="4" t="n">
        <v>1</v>
      </c>
      <c r="E25" s="4" t="inlineStr">
        <is>
          <t>B</t>
        </is>
      </c>
      <c r="F25" s="4" t="inlineStr">
        <is>
          <t>HNB054</t>
        </is>
      </c>
      <c r="G25" s="9" t="n"/>
      <c r="H25" s="9" t="n"/>
    </row>
    <row r="26">
      <c r="A26" s="4" t="inlineStr">
        <is>
          <t>MX nhập đài Long Thới–NVT</t>
        </is>
      </c>
      <c r="B26" s="4" t="inlineStr">
        <is>
          <t>C01</t>
        </is>
      </c>
      <c r="C26" s="4" t="inlineStr">
        <is>
          <t>ADSS 9/2009 (24FO)</t>
        </is>
      </c>
      <c r="D26" s="4" t="n">
        <v>2</v>
      </c>
      <c r="E26" s="4" t="inlineStr">
        <is>
          <t>B</t>
        </is>
      </c>
      <c r="F26" s="4" t="inlineStr">
        <is>
          <t>HNB054</t>
        </is>
      </c>
      <c r="G26" s="9" t="n"/>
      <c r="H26" s="9" t="n"/>
    </row>
    <row r="27">
      <c r="A27" s="4" t="inlineStr">
        <is>
          <t>MX nhập đài Long Thới–NVT</t>
        </is>
      </c>
      <c r="B27" s="4" t="inlineStr">
        <is>
          <t>C02</t>
        </is>
      </c>
      <c r="C27" s="4" t="inlineStr">
        <is>
          <t>SACOM 8/2014 (12FO)</t>
        </is>
      </c>
      <c r="D27" s="4" t="n">
        <v>1</v>
      </c>
      <c r="E27" s="4" t="inlineStr">
        <is>
          <t>B</t>
        </is>
      </c>
      <c r="F27" s="4" t="inlineStr">
        <is>
          <t>HNB054</t>
        </is>
      </c>
      <c r="G27" s="9" t="n"/>
      <c r="H27" s="9" t="n"/>
    </row>
    <row r="28">
      <c r="A28" s="4" t="inlineStr">
        <is>
          <t>MX nhập đài Long Thới–NVT</t>
        </is>
      </c>
      <c r="B28" s="4" t="inlineStr">
        <is>
          <t>C02</t>
        </is>
      </c>
      <c r="C28" s="4" t="inlineStr">
        <is>
          <t>SACOM 8/2014 (12FO)</t>
        </is>
      </c>
      <c r="D28" s="4" t="n">
        <v>2</v>
      </c>
      <c r="E28" s="4" t="inlineStr">
        <is>
          <t>B</t>
        </is>
      </c>
      <c r="F28" s="4" t="inlineStr">
        <is>
          <t>HNB054</t>
        </is>
      </c>
      <c r="G28" s="9" t="n"/>
      <c r="H28" s="9" t="n"/>
    </row>
    <row r="29">
      <c r="A29" s="4" t="inlineStr">
        <is>
          <t>MX nhập đài Long Thới–NVT</t>
        </is>
      </c>
      <c r="B29" s="4" t="inlineStr">
        <is>
          <t>C01</t>
        </is>
      </c>
      <c r="C29" s="4" t="inlineStr">
        <is>
          <t>ADSS 9/2009 (24FO)</t>
        </is>
      </c>
      <c r="D29" s="4" t="n">
        <v>11</v>
      </c>
      <c r="E29" s="4" t="inlineStr">
        <is>
          <t>C</t>
        </is>
      </c>
      <c r="F29" s="4" t="inlineStr">
        <is>
          <t>HNB005</t>
        </is>
      </c>
      <c r="G29" s="9" t="n"/>
      <c r="H29" s="9" t="n"/>
    </row>
    <row r="30">
      <c r="A30" s="4" t="inlineStr">
        <is>
          <t>MX nhập đài Long Thới–NVT</t>
        </is>
      </c>
      <c r="B30" s="4" t="inlineStr">
        <is>
          <t>C01</t>
        </is>
      </c>
      <c r="C30" s="4" t="inlineStr">
        <is>
          <t>ADSS 9/2009 (24FO)</t>
        </is>
      </c>
      <c r="D30" s="4" t="n">
        <v>12</v>
      </c>
      <c r="E30" s="4" t="inlineStr">
        <is>
          <t>C</t>
        </is>
      </c>
      <c r="F30" s="4" t="inlineStr">
        <is>
          <t>HNB005</t>
        </is>
      </c>
      <c r="G30" s="9" t="n"/>
      <c r="H30" s="9" t="n"/>
    </row>
    <row r="31">
      <c r="A31" s="4" t="inlineStr">
        <is>
          <t>MX nhập đài Long Thới–NVT</t>
        </is>
      </c>
      <c r="B31" s="4" t="inlineStr">
        <is>
          <t>C02</t>
        </is>
      </c>
      <c r="C31" s="4" t="inlineStr">
        <is>
          <t>SACOM 8/2014 (12FO)</t>
        </is>
      </c>
      <c r="D31" s="4" t="n">
        <v>11</v>
      </c>
      <c r="E31" s="4" t="inlineStr">
        <is>
          <t>C</t>
        </is>
      </c>
      <c r="F31" s="4" t="inlineStr">
        <is>
          <t>HNB005</t>
        </is>
      </c>
      <c r="G31" s="9" t="n"/>
      <c r="H31" s="9" t="n"/>
    </row>
    <row r="32">
      <c r="A32" s="4" t="inlineStr">
        <is>
          <t>MX nhập đài Long Thới–NVT</t>
        </is>
      </c>
      <c r="B32" s="4" t="inlineStr">
        <is>
          <t>C02</t>
        </is>
      </c>
      <c r="C32" s="4" t="inlineStr">
        <is>
          <t>SACOM 8/2014 (12FO)</t>
        </is>
      </c>
      <c r="D32" s="4" t="n">
        <v>12</v>
      </c>
      <c r="E32" s="4" t="inlineStr">
        <is>
          <t>C</t>
        </is>
      </c>
      <c r="F32" s="4" t="inlineStr">
        <is>
          <t>HNB005</t>
        </is>
      </c>
      <c r="G32" s="9" t="n"/>
      <c r="H32" s="9" t="n"/>
    </row>
    <row r="33">
      <c r="A33" s="4" t="inlineStr">
        <is>
          <t>MX nhập đài Long Thới–NVT</t>
        </is>
      </c>
      <c r="B33" s="4" t="inlineStr">
        <is>
          <t>C01</t>
        </is>
      </c>
      <c r="C33" s="4" t="inlineStr">
        <is>
          <t>ADSS 9/2009 (24FO)</t>
        </is>
      </c>
      <c r="D33" s="4" t="n">
        <v>9</v>
      </c>
      <c r="E33" s="4" t="inlineStr">
        <is>
          <t>D</t>
        </is>
      </c>
      <c r="F33" s="4" t="inlineStr">
        <is>
          <t>HNB066</t>
        </is>
      </c>
      <c r="G33" s="9" t="n"/>
      <c r="H33" s="9" t="n"/>
    </row>
    <row r="34">
      <c r="A34" s="4" t="inlineStr">
        <is>
          <t>MX nhập đài Long Thới–NVT</t>
        </is>
      </c>
      <c r="B34" s="4" t="inlineStr">
        <is>
          <t>C01</t>
        </is>
      </c>
      <c r="C34" s="4" t="inlineStr">
        <is>
          <t>ADSS 9/2009 (24FO)</t>
        </is>
      </c>
      <c r="D34" s="4" t="n">
        <v>10</v>
      </c>
      <c r="E34" s="4" t="inlineStr">
        <is>
          <t>D</t>
        </is>
      </c>
      <c r="F34" s="4" t="inlineStr">
        <is>
          <t>HNB066</t>
        </is>
      </c>
      <c r="G34" s="9" t="n"/>
      <c r="H34" s="9" t="n"/>
    </row>
    <row r="35">
      <c r="A35" s="4" t="inlineStr">
        <is>
          <t>MX nhập đài Long Thới–NVT</t>
        </is>
      </c>
      <c r="B35" s="4" t="inlineStr">
        <is>
          <t>C02</t>
        </is>
      </c>
      <c r="C35" s="4" t="inlineStr">
        <is>
          <t>SACOM 8/2014 (12FO)</t>
        </is>
      </c>
      <c r="D35" s="4" t="n">
        <v>9</v>
      </c>
      <c r="E35" s="4" t="inlineStr">
        <is>
          <t>D</t>
        </is>
      </c>
      <c r="F35" s="4" t="inlineStr">
        <is>
          <t>HNB066</t>
        </is>
      </c>
      <c r="G35" s="9" t="n"/>
      <c r="H35" s="9" t="n"/>
    </row>
    <row r="36">
      <c r="A36" s="4" t="inlineStr">
        <is>
          <t>MX nhập đài Long Thới–NVT</t>
        </is>
      </c>
      <c r="B36" s="4" t="inlineStr">
        <is>
          <t>C02</t>
        </is>
      </c>
      <c r="C36" s="4" t="inlineStr">
        <is>
          <t>SACOM 8/2014 (12FO)</t>
        </is>
      </c>
      <c r="D36" s="4" t="n">
        <v>10</v>
      </c>
      <c r="E36" s="4" t="inlineStr">
        <is>
          <t>D</t>
        </is>
      </c>
      <c r="F36" s="4" t="inlineStr">
        <is>
          <t>HNB066</t>
        </is>
      </c>
      <c r="G36" s="9" t="n"/>
      <c r="H36" s="9" t="n"/>
    </row>
    <row r="37">
      <c r="A37" s="4" t="inlineStr">
        <is>
          <t>MX thẳng 11-56</t>
        </is>
      </c>
      <c r="B37" s="4" t="inlineStr">
        <is>
          <t>C58</t>
        </is>
      </c>
      <c r="C37" s="4" t="inlineStr">
        <is>
          <t>PRYSMIAN 2009 HNB011 → MX thẳng 11-56 (8FO) (8FO)</t>
        </is>
      </c>
      <c r="D37" s="4" t="n">
        <v>1</v>
      </c>
      <c r="E37" s="4" t="inlineStr">
        <is>
          <t>A</t>
        </is>
      </c>
      <c r="F37" s="4" t="inlineStr">
        <is>
          <t>HNB011</t>
        </is>
      </c>
      <c r="G37" s="9" t="n"/>
      <c r="H37" s="9" t="n"/>
    </row>
    <row r="38">
      <c r="A38" s="4" t="inlineStr">
        <is>
          <t>MX thẳng 11-56</t>
        </is>
      </c>
      <c r="B38" s="4" t="inlineStr">
        <is>
          <t>C58</t>
        </is>
      </c>
      <c r="C38" s="4" t="inlineStr">
        <is>
          <t>PRYSMIAN 2009 HNB011 → MX thẳng 11-56 (8FO) (8FO)</t>
        </is>
      </c>
      <c r="D38" s="4" t="n">
        <v>2</v>
      </c>
      <c r="E38" s="4" t="inlineStr">
        <is>
          <t>A</t>
        </is>
      </c>
      <c r="F38" s="4" t="inlineStr">
        <is>
          <t>HNB011</t>
        </is>
      </c>
      <c r="G38" s="9" t="n"/>
      <c r="H38" s="9" t="n"/>
    </row>
    <row r="39">
      <c r="A39" s="4" t="inlineStr">
        <is>
          <t>MX thẳng 11-56</t>
        </is>
      </c>
      <c r="B39" s="4" t="inlineStr">
        <is>
          <t>C59</t>
        </is>
      </c>
      <c r="C39" s="4" t="inlineStr">
        <is>
          <t>VINA OFC MX thẳng 11-56 → HNB056 (8FO) (8FO)</t>
        </is>
      </c>
      <c r="D39" s="4" t="n">
        <v>1</v>
      </c>
      <c r="E39" s="4" t="inlineStr">
        <is>
          <t>A</t>
        </is>
      </c>
      <c r="F39" s="4" t="inlineStr">
        <is>
          <t>HNB011</t>
        </is>
      </c>
      <c r="G39" s="9" t="n"/>
      <c r="H39" s="9" t="n"/>
    </row>
    <row r="40">
      <c r="A40" s="4" t="inlineStr">
        <is>
          <t>MX thẳng 11-56</t>
        </is>
      </c>
      <c r="B40" s="4" t="inlineStr">
        <is>
          <t>C59</t>
        </is>
      </c>
      <c r="C40" s="4" t="inlineStr">
        <is>
          <t>VINA OFC MX thẳng 11-56 → HNB056 (8FO) (8FO)</t>
        </is>
      </c>
      <c r="D40" s="4" t="n">
        <v>2</v>
      </c>
      <c r="E40" s="4" t="inlineStr">
        <is>
          <t>A</t>
        </is>
      </c>
      <c r="F40" s="4" t="inlineStr">
        <is>
          <t>HNB011</t>
        </is>
      </c>
      <c r="G40" s="9" t="n"/>
      <c r="H40" s="9" t="n"/>
    </row>
    <row r="41">
      <c r="A41" s="4" t="inlineStr">
        <is>
          <t>MX thẳng 13-21</t>
        </is>
      </c>
      <c r="B41" s="4" t="inlineStr">
        <is>
          <t>C65</t>
        </is>
      </c>
      <c r="C41" s="4" t="inlineStr">
        <is>
          <t>VINACAP HNB021 → MX thẳng 13-21 (8FO) (8FO)</t>
        </is>
      </c>
      <c r="D41" s="4" t="n">
        <v>1</v>
      </c>
      <c r="E41" s="4" t="inlineStr">
        <is>
          <t>A</t>
        </is>
      </c>
      <c r="F41" s="4" t="inlineStr">
        <is>
          <t>HNB021</t>
        </is>
      </c>
      <c r="G41" s="9" t="n"/>
      <c r="H41" s="9" t="n"/>
    </row>
    <row r="42">
      <c r="A42" s="4" t="inlineStr">
        <is>
          <t>MX thẳng 13-21</t>
        </is>
      </c>
      <c r="B42" s="4" t="inlineStr">
        <is>
          <t>C65</t>
        </is>
      </c>
      <c r="C42" s="4" t="inlineStr">
        <is>
          <t>VINACAP HNB021 → MX thẳng 13-21 (8FO) (8FO)</t>
        </is>
      </c>
      <c r="D42" s="4" t="n">
        <v>2</v>
      </c>
      <c r="E42" s="4" t="inlineStr">
        <is>
          <t>A</t>
        </is>
      </c>
      <c r="F42" s="4" t="inlineStr">
        <is>
          <t>HNB021</t>
        </is>
      </c>
      <c r="G42" s="9" t="n"/>
      <c r="H42" s="9" t="n"/>
    </row>
    <row r="43">
      <c r="A43" s="4" t="inlineStr">
        <is>
          <t>MX thẳng 13-21</t>
        </is>
      </c>
      <c r="B43" s="4" t="inlineStr">
        <is>
          <t>C66</t>
        </is>
      </c>
      <c r="C43" s="4" t="inlineStr">
        <is>
          <t>ETCC-2009 MX thẳng 13-21 → HNB013 (8FO) (8FO)</t>
        </is>
      </c>
      <c r="D43" s="4" t="n">
        <v>1</v>
      </c>
      <c r="E43" s="4" t="inlineStr">
        <is>
          <t>A</t>
        </is>
      </c>
      <c r="F43" s="4" t="inlineStr">
        <is>
          <t>HNB021</t>
        </is>
      </c>
      <c r="G43" s="9" t="n"/>
      <c r="H43" s="9" t="n"/>
    </row>
    <row r="44">
      <c r="A44" s="4" t="inlineStr">
        <is>
          <t>MX thẳng 13-21</t>
        </is>
      </c>
      <c r="B44" s="4" t="inlineStr">
        <is>
          <t>C66</t>
        </is>
      </c>
      <c r="C44" s="4" t="inlineStr">
        <is>
          <t>ETCC-2009 MX thẳng 13-21 → HNB013 (8FO) (8FO)</t>
        </is>
      </c>
      <c r="D44" s="4" t="n">
        <v>2</v>
      </c>
      <c r="E44" s="4" t="inlineStr">
        <is>
          <t>A</t>
        </is>
      </c>
      <c r="F44" s="4" t="inlineStr">
        <is>
          <t>HNB021</t>
        </is>
      </c>
      <c r="G44" s="9" t="n"/>
      <c r="H44" s="9" t="n"/>
    </row>
    <row r="45">
      <c r="A45" s="4" t="inlineStr">
        <is>
          <t>MX thẳng 62-21</t>
        </is>
      </c>
      <c r="B45" s="4" t="inlineStr">
        <is>
          <t>C63</t>
        </is>
      </c>
      <c r="C45" s="4" t="inlineStr">
        <is>
          <t>ETCC-2009 HNB062 → MX thẳng 62-21 (8FO) (8FO)</t>
        </is>
      </c>
      <c r="D45" s="4" t="n">
        <v>1</v>
      </c>
      <c r="E45" s="4" t="inlineStr">
        <is>
          <t>A</t>
        </is>
      </c>
      <c r="F45" s="4" t="inlineStr">
        <is>
          <t>HNB062</t>
        </is>
      </c>
      <c r="G45" s="9" t="n"/>
      <c r="H45" s="9" t="n"/>
    </row>
    <row r="46">
      <c r="A46" s="4" t="inlineStr">
        <is>
          <t>MX thẳng 62-21</t>
        </is>
      </c>
      <c r="B46" s="4" t="inlineStr">
        <is>
          <t>C63</t>
        </is>
      </c>
      <c r="C46" s="4" t="inlineStr">
        <is>
          <t>ETCC-2009 HNB062 → MX thẳng 62-21 (8FO) (8FO)</t>
        </is>
      </c>
      <c r="D46" s="4" t="n">
        <v>2</v>
      </c>
      <c r="E46" s="4" t="inlineStr">
        <is>
          <t>A</t>
        </is>
      </c>
      <c r="F46" s="4" t="inlineStr">
        <is>
          <t>HNB062</t>
        </is>
      </c>
      <c r="G46" s="9" t="n"/>
      <c r="H46" s="9" t="n"/>
    </row>
    <row r="47">
      <c r="A47" s="4" t="inlineStr">
        <is>
          <t>MX thẳng 62-21</t>
        </is>
      </c>
      <c r="B47" s="4" t="inlineStr">
        <is>
          <t>C64</t>
        </is>
      </c>
      <c r="C47" s="4" t="inlineStr">
        <is>
          <t>FIBERHOME AERIAL MX thẳng 62-21 → HNB021 (8FO) (8FO)</t>
        </is>
      </c>
      <c r="D47" s="4" t="n">
        <v>1</v>
      </c>
      <c r="E47" s="4" t="inlineStr">
        <is>
          <t>A</t>
        </is>
      </c>
      <c r="F47" s="4" t="inlineStr">
        <is>
          <t>HNB062</t>
        </is>
      </c>
      <c r="G47" s="9" t="n"/>
      <c r="H47" s="9" t="n"/>
    </row>
    <row r="48">
      <c r="A48" s="4" t="inlineStr">
        <is>
          <t>MX thẳng 62-21</t>
        </is>
      </c>
      <c r="B48" s="4" t="inlineStr">
        <is>
          <t>C64</t>
        </is>
      </c>
      <c r="C48" s="4" t="inlineStr">
        <is>
          <t>FIBERHOME AERIAL MX thẳng 62-21 → HNB021 (8FO) (8FO)</t>
        </is>
      </c>
      <c r="D48" s="4" t="n">
        <v>2</v>
      </c>
      <c r="E48" s="4" t="inlineStr">
        <is>
          <t>A</t>
        </is>
      </c>
      <c r="F48" s="4" t="inlineStr">
        <is>
          <t>HNB062</t>
        </is>
      </c>
      <c r="G48" s="9" t="n"/>
      <c r="H48" s="9" t="n"/>
    </row>
    <row r="49">
      <c r="A49" s="4" t="inlineStr">
        <is>
          <t>MX thẳng 66-16</t>
        </is>
      </c>
      <c r="B49" s="4" t="inlineStr">
        <is>
          <t>C67</t>
        </is>
      </c>
      <c r="C49" s="4" t="inlineStr">
        <is>
          <t>VDF HNB066 → MX thẳng 66-16 (8FO) (8FO)</t>
        </is>
      </c>
      <c r="D49" s="4" t="n">
        <v>1</v>
      </c>
      <c r="E49" s="4" t="inlineStr">
        <is>
          <t>A</t>
        </is>
      </c>
      <c r="F49" s="4" t="inlineStr">
        <is>
          <t>HNB066</t>
        </is>
      </c>
      <c r="G49" s="9" t="n"/>
      <c r="H49" s="9" t="n"/>
    </row>
    <row r="50">
      <c r="A50" s="4" t="inlineStr">
        <is>
          <t>MX thẳng 66-16</t>
        </is>
      </c>
      <c r="B50" s="4" t="inlineStr">
        <is>
          <t>C67</t>
        </is>
      </c>
      <c r="C50" s="4" t="inlineStr">
        <is>
          <t>VDF HNB066 → MX thẳng 66-16 (8FO) (8FO)</t>
        </is>
      </c>
      <c r="D50" s="4" t="n">
        <v>2</v>
      </c>
      <c r="E50" s="4" t="inlineStr">
        <is>
          <t>A</t>
        </is>
      </c>
      <c r="F50" s="4" t="inlineStr">
        <is>
          <t>HNB066</t>
        </is>
      </c>
      <c r="G50" s="9" t="n"/>
      <c r="H50" s="9" t="n"/>
    </row>
    <row r="51">
      <c r="A51" s="4" t="inlineStr">
        <is>
          <t>MX thẳng 66-16</t>
        </is>
      </c>
      <c r="B51" s="4" t="inlineStr">
        <is>
          <t>C68</t>
        </is>
      </c>
      <c r="C51" s="4" t="inlineStr">
        <is>
          <t>POSTEF 2017 MX thẳng 66-16 → HNB016 (8FO) (8FO)</t>
        </is>
      </c>
      <c r="D51" s="4" t="n">
        <v>1</v>
      </c>
      <c r="E51" s="4" t="inlineStr">
        <is>
          <t>A</t>
        </is>
      </c>
      <c r="F51" s="4" t="inlineStr">
        <is>
          <t>HNB066</t>
        </is>
      </c>
      <c r="G51" s="9" t="n"/>
      <c r="H51" s="9" t="n"/>
    </row>
    <row r="52">
      <c r="A52" s="4" t="inlineStr">
        <is>
          <t>MX thẳng 66-16</t>
        </is>
      </c>
      <c r="B52" s="4" t="inlineStr">
        <is>
          <t>C68</t>
        </is>
      </c>
      <c r="C52" s="4" t="inlineStr">
        <is>
          <t>POSTEF 2017 MX thẳng 66-16 → HNB016 (8FO) (8FO)</t>
        </is>
      </c>
      <c r="D52" s="4" t="n">
        <v>2</v>
      </c>
      <c r="E52" s="4" t="inlineStr">
        <is>
          <t>A</t>
        </is>
      </c>
      <c r="F52" s="4" t="inlineStr">
        <is>
          <t>HNB066</t>
        </is>
      </c>
      <c r="G52" s="9" t="n"/>
      <c r="H52" s="9" t="n"/>
    </row>
    <row r="53">
      <c r="A53" s="4" t="inlineStr">
        <is>
          <t>MX thẳng HTP</t>
        </is>
      </c>
      <c r="B53" s="4" t="inlineStr">
        <is>
          <t>C15</t>
        </is>
      </c>
      <c r="C53" s="4" t="inlineStr">
        <is>
          <t>12FO NB-04 → MX thẳng HTP (12FO)</t>
        </is>
      </c>
      <c r="D53" s="4" t="n">
        <v>3</v>
      </c>
      <c r="E53" s="4" t="inlineStr">
        <is>
          <t>A</t>
        </is>
      </c>
      <c r="F53" s="4" t="inlineStr">
        <is>
          <t>HNB048</t>
        </is>
      </c>
      <c r="G53" s="9" t="n"/>
      <c r="H53" s="9" t="n"/>
    </row>
    <row r="54">
      <c r="A54" s="4" t="inlineStr">
        <is>
          <t>MX thẳng HTP</t>
        </is>
      </c>
      <c r="B54" s="4" t="inlineStr">
        <is>
          <t>C15</t>
        </is>
      </c>
      <c r="C54" s="4" t="inlineStr">
        <is>
          <t>12FO NB-04 → MX thẳng HTP (12FO)</t>
        </is>
      </c>
      <c r="D54" s="4" t="n">
        <v>4</v>
      </c>
      <c r="E54" s="4" t="inlineStr">
        <is>
          <t>A</t>
        </is>
      </c>
      <c r="F54" s="4" t="inlineStr">
        <is>
          <t>HNB048</t>
        </is>
      </c>
      <c r="G54" s="9" t="n"/>
      <c r="H54" s="9" t="n"/>
    </row>
    <row r="55">
      <c r="A55" s="4" t="inlineStr">
        <is>
          <t>MX thẳng HTP</t>
        </is>
      </c>
      <c r="B55" s="4" t="inlineStr">
        <is>
          <t>C16</t>
        </is>
      </c>
      <c r="C55" s="4" t="inlineStr">
        <is>
          <t>12FO MX thẳng HTP → HTP-03B (12FO)</t>
        </is>
      </c>
      <c r="D55" s="4" t="n">
        <v>3</v>
      </c>
      <c r="E55" s="4" t="inlineStr">
        <is>
          <t>A</t>
        </is>
      </c>
      <c r="F55" s="4" t="inlineStr">
        <is>
          <t>HNB048</t>
        </is>
      </c>
      <c r="G55" s="9" t="n"/>
      <c r="H55" s="9" t="n"/>
    </row>
    <row r="56">
      <c r="A56" s="4" t="inlineStr">
        <is>
          <t>MX thẳng HTP</t>
        </is>
      </c>
      <c r="B56" s="4" t="inlineStr">
        <is>
          <t>C16</t>
        </is>
      </c>
      <c r="C56" s="4" t="inlineStr">
        <is>
          <t>12FO MX thẳng HTP → HTP-03B (12FO)</t>
        </is>
      </c>
      <c r="D56" s="4" t="n">
        <v>4</v>
      </c>
      <c r="E56" s="4" t="inlineStr">
        <is>
          <t>A</t>
        </is>
      </c>
      <c r="F56" s="4" t="inlineStr">
        <is>
          <t>HNB048</t>
        </is>
      </c>
      <c r="G56" s="9" t="n"/>
      <c r="H56" s="9" t="n"/>
    </row>
    <row r="57">
      <c r="A57" s="4" t="inlineStr">
        <is>
          <t>MX thẳng HTP</t>
        </is>
      </c>
      <c r="B57" s="4" t="inlineStr">
        <is>
          <t>C15</t>
        </is>
      </c>
      <c r="C57" s="4" t="inlineStr">
        <is>
          <t>12FO NB-04 → MX thẳng HTP (12FO)</t>
        </is>
      </c>
      <c r="D57" s="4" t="n">
        <v>1</v>
      </c>
      <c r="E57" s="4" t="inlineStr">
        <is>
          <t>B</t>
        </is>
      </c>
      <c r="F57" s="4" t="inlineStr">
        <is>
          <t>HNB091</t>
        </is>
      </c>
      <c r="G57" s="9" t="n"/>
      <c r="H57" s="9" t="n"/>
    </row>
    <row r="58">
      <c r="A58" s="4" t="inlineStr">
        <is>
          <t>MX thẳng HTP</t>
        </is>
      </c>
      <c r="B58" s="4" t="inlineStr">
        <is>
          <t>C15</t>
        </is>
      </c>
      <c r="C58" s="4" t="inlineStr">
        <is>
          <t>12FO NB-04 → MX thẳng HTP (12FO)</t>
        </is>
      </c>
      <c r="D58" s="4" t="n">
        <v>2</v>
      </c>
      <c r="E58" s="4" t="inlineStr">
        <is>
          <t>B</t>
        </is>
      </c>
      <c r="F58" s="4" t="inlineStr">
        <is>
          <t>HNB091</t>
        </is>
      </c>
      <c r="G58" s="9" t="n"/>
      <c r="H58" s="9" t="n"/>
    </row>
    <row r="59">
      <c r="A59" s="4" t="inlineStr">
        <is>
          <t>MX thẳng HTP</t>
        </is>
      </c>
      <c r="B59" s="4" t="inlineStr">
        <is>
          <t>C16</t>
        </is>
      </c>
      <c r="C59" s="4" t="inlineStr">
        <is>
          <t>12FO MX thẳng HTP → HTP-03B (12FO)</t>
        </is>
      </c>
      <c r="D59" s="4" t="n">
        <v>1</v>
      </c>
      <c r="E59" s="4" t="inlineStr">
        <is>
          <t>B</t>
        </is>
      </c>
      <c r="F59" s="4" t="inlineStr">
        <is>
          <t>HNB091</t>
        </is>
      </c>
      <c r="G59" s="9" t="n"/>
      <c r="H59" s="9" t="n"/>
    </row>
    <row r="60">
      <c r="A60" s="4" t="inlineStr">
        <is>
          <t>MX thẳng HTP</t>
        </is>
      </c>
      <c r="B60" s="4" t="inlineStr">
        <is>
          <t>C16</t>
        </is>
      </c>
      <c r="C60" s="4" t="inlineStr">
        <is>
          <t>12FO MX thẳng HTP → HTP-03B (12FO)</t>
        </is>
      </c>
      <c r="D60" s="4" t="n">
        <v>2</v>
      </c>
      <c r="E60" s="4" t="inlineStr">
        <is>
          <t>B</t>
        </is>
      </c>
      <c r="F60" s="4" t="inlineStr">
        <is>
          <t>HNB091</t>
        </is>
      </c>
      <c r="G60" s="9" t="n"/>
      <c r="H60" s="9" t="n"/>
    </row>
    <row r="61">
      <c r="A61" s="4" t="inlineStr">
        <is>
          <t>MX thẳng HTP</t>
        </is>
      </c>
      <c r="B61" s="4" t="inlineStr">
        <is>
          <t>C15</t>
        </is>
      </c>
      <c r="C61" s="4" t="inlineStr">
        <is>
          <t>12FO NB-04 → MX thẳng HTP (12FO)</t>
        </is>
      </c>
      <c r="D61" s="4" t="n">
        <v>7</v>
      </c>
      <c r="E61" s="4" t="inlineStr">
        <is>
          <t>C</t>
        </is>
      </c>
      <c r="F61" s="4" t="inlineStr">
        <is>
          <t>HNB020</t>
        </is>
      </c>
      <c r="G61" s="9" t="n"/>
      <c r="H61" s="9" t="n"/>
    </row>
    <row r="62">
      <c r="A62" s="4" t="inlineStr">
        <is>
          <t>MX thẳng HTP</t>
        </is>
      </c>
      <c r="B62" s="4" t="inlineStr">
        <is>
          <t>C15</t>
        </is>
      </c>
      <c r="C62" s="4" t="inlineStr">
        <is>
          <t>12FO NB-04 → MX thẳng HTP (12FO)</t>
        </is>
      </c>
      <c r="D62" s="4" t="n">
        <v>8</v>
      </c>
      <c r="E62" s="4" t="inlineStr">
        <is>
          <t>C</t>
        </is>
      </c>
      <c r="F62" s="4" t="inlineStr">
        <is>
          <t>HNB020</t>
        </is>
      </c>
      <c r="G62" s="9" t="n"/>
      <c r="H62" s="9" t="n"/>
    </row>
    <row r="63">
      <c r="A63" s="4" t="inlineStr">
        <is>
          <t>MX thẳng HTP</t>
        </is>
      </c>
      <c r="B63" s="4" t="inlineStr">
        <is>
          <t>C16</t>
        </is>
      </c>
      <c r="C63" s="4" t="inlineStr">
        <is>
          <t>12FO MX thẳng HTP → HTP-03B (12FO)</t>
        </is>
      </c>
      <c r="D63" s="4" t="n">
        <v>7</v>
      </c>
      <c r="E63" s="4" t="inlineStr">
        <is>
          <t>C</t>
        </is>
      </c>
      <c r="F63" s="4" t="inlineStr">
        <is>
          <t>HNB020</t>
        </is>
      </c>
      <c r="G63" s="9" t="n"/>
      <c r="H63" s="9" t="n"/>
    </row>
    <row r="64">
      <c r="A64" s="4" t="inlineStr">
        <is>
          <t>MX thẳng HTP</t>
        </is>
      </c>
      <c r="B64" s="4" t="inlineStr">
        <is>
          <t>C16</t>
        </is>
      </c>
      <c r="C64" s="4" t="inlineStr">
        <is>
          <t>12FO MX thẳng HTP → HTP-03B (12FO)</t>
        </is>
      </c>
      <c r="D64" s="4" t="n">
        <v>8</v>
      </c>
      <c r="E64" s="4" t="inlineStr">
        <is>
          <t>C</t>
        </is>
      </c>
      <c r="F64" s="4" t="inlineStr">
        <is>
          <t>HNB020</t>
        </is>
      </c>
      <c r="G64" s="9" t="n"/>
      <c r="H64" s="9" t="n"/>
    </row>
    <row r="65">
      <c r="A65" s="4" t="inlineStr">
        <is>
          <t>MX thẳng LVL-01/075</t>
        </is>
      </c>
      <c r="B65" s="4" t="inlineStr">
        <is>
          <t>C56</t>
        </is>
      </c>
      <c r="C65" s="4" t="inlineStr">
        <is>
          <t>focal 8fo 10/2014 MX thẳng LVL-01/075 → HNB075 (8FO)</t>
        </is>
      </c>
      <c r="D65" s="4" t="n">
        <v>1</v>
      </c>
      <c r="E65" s="4" t="inlineStr">
        <is>
          <t>A</t>
        </is>
      </c>
      <c r="F65" s="4" t="inlineStr">
        <is>
          <t>HNB075</t>
        </is>
      </c>
      <c r="G65" s="9" t="n"/>
      <c r="H65" s="9" t="n"/>
    </row>
    <row r="66">
      <c r="A66" s="4" t="inlineStr">
        <is>
          <t>MX thẳng LVL-01/075</t>
        </is>
      </c>
      <c r="B66" s="4" t="inlineStr">
        <is>
          <t>C56</t>
        </is>
      </c>
      <c r="C66" s="4" t="inlineStr">
        <is>
          <t>focal 8fo 10/2014 MX thẳng LVL-01/075 → HNB075 (8FO)</t>
        </is>
      </c>
      <c r="D66" s="4" t="n">
        <v>2</v>
      </c>
      <c r="E66" s="4" t="inlineStr">
        <is>
          <t>A</t>
        </is>
      </c>
      <c r="F66" s="4" t="inlineStr">
        <is>
          <t>HNB075</t>
        </is>
      </c>
      <c r="G66" s="9" t="n"/>
      <c r="H66" s="9" t="n"/>
    </row>
    <row r="67">
      <c r="A67" s="4" t="inlineStr">
        <is>
          <t>MX thẳng LVL-01/075</t>
        </is>
      </c>
      <c r="B67" s="4" t="inlineStr">
        <is>
          <t>C55</t>
        </is>
      </c>
      <c r="C67" s="4" t="inlineStr">
        <is>
          <t>FOCAL 8FO LVL-01 → MX thẳng → HNB075 (945 m) (8FO)</t>
        </is>
      </c>
      <c r="D67" s="4" t="n">
        <v>1</v>
      </c>
      <c r="E67" s="4" t="inlineStr">
        <is>
          <t>A</t>
        </is>
      </c>
      <c r="F67" s="4" t="inlineStr">
        <is>
          <t>HNB075</t>
        </is>
      </c>
      <c r="G67" s="9" t="n"/>
      <c r="H67" s="9" t="n"/>
    </row>
    <row r="68">
      <c r="A68" s="4" t="inlineStr">
        <is>
          <t>MX thẳng LVL-01/075</t>
        </is>
      </c>
      <c r="B68" s="4" t="inlineStr">
        <is>
          <t>C55</t>
        </is>
      </c>
      <c r="C68" s="4" t="inlineStr">
        <is>
          <t>FOCAL 8FO LVL-01 → MX thẳng → HNB075 (945 m) (8FO)</t>
        </is>
      </c>
      <c r="D68" s="4" t="n">
        <v>2</v>
      </c>
      <c r="E68" s="4" t="inlineStr">
        <is>
          <t>A</t>
        </is>
      </c>
      <c r="F68" s="4" t="inlineStr">
        <is>
          <t>HNB075</t>
        </is>
      </c>
      <c r="G68" s="9" t="n"/>
      <c r="H68" s="9" t="n"/>
    </row>
    <row r="69">
      <c r="A69" s="4" t="inlineStr">
        <is>
          <t>MX thẳng LVL-05/DST</t>
        </is>
      </c>
      <c r="B69" s="4" t="inlineStr">
        <is>
          <t>C39</t>
        </is>
      </c>
      <c r="C69" s="4" t="inlineStr">
        <is>
          <t>TPKL 9/2019 LVL-05 → MX thẳng (giữa MX_DST và LVL-05) (12FO)</t>
        </is>
      </c>
      <c r="D69" s="4" t="n">
        <v>5</v>
      </c>
      <c r="E69" s="4" t="inlineStr">
        <is>
          <t>A</t>
        </is>
      </c>
      <c r="F69" s="4" t="inlineStr">
        <is>
          <t>HNB055</t>
        </is>
      </c>
      <c r="G69" s="9" t="n"/>
      <c r="H69" s="9" t="n"/>
    </row>
    <row r="70">
      <c r="A70" s="4" t="inlineStr">
        <is>
          <t>MX thẳng LVL-05/DST</t>
        </is>
      </c>
      <c r="B70" s="4" t="inlineStr">
        <is>
          <t>C39</t>
        </is>
      </c>
      <c r="C70" s="4" t="inlineStr">
        <is>
          <t>TPKL 9/2019 LVL-05 → MX thẳng (giữa MX_DST và LVL-05) (12FO)</t>
        </is>
      </c>
      <c r="D70" s="4" t="n">
        <v>6</v>
      </c>
      <c r="E70" s="4" t="inlineStr">
        <is>
          <t>A</t>
        </is>
      </c>
      <c r="F70" s="4" t="inlineStr">
        <is>
          <t>HNB055</t>
        </is>
      </c>
      <c r="G70" s="9" t="n"/>
      <c r="H70" s="9" t="n"/>
    </row>
    <row r="71">
      <c r="A71" s="4" t="inlineStr">
        <is>
          <t>MX thẳng LVL-05/DST</t>
        </is>
      </c>
      <c r="B71" s="4" t="inlineStr">
        <is>
          <t>C40</t>
        </is>
      </c>
      <c r="C71" s="4" t="inlineStr">
        <is>
          <t>ADSS 9/2009 MX thẳng LVL-05/DST → MX_DST (12FO)</t>
        </is>
      </c>
      <c r="D71" s="4" t="n">
        <v>5</v>
      </c>
      <c r="E71" s="4" t="inlineStr">
        <is>
          <t>A</t>
        </is>
      </c>
      <c r="F71" s="4" t="inlineStr">
        <is>
          <t>HNB055</t>
        </is>
      </c>
      <c r="G71" s="9" t="n"/>
      <c r="H71" s="9" t="n"/>
    </row>
    <row r="72">
      <c r="A72" s="4" t="inlineStr">
        <is>
          <t>MX thẳng LVL-05/DST</t>
        </is>
      </c>
      <c r="B72" s="4" t="inlineStr">
        <is>
          <t>C40</t>
        </is>
      </c>
      <c r="C72" s="4" t="inlineStr">
        <is>
          <t>ADSS 9/2009 MX thẳng LVL-05/DST → MX_DST (12FO)</t>
        </is>
      </c>
      <c r="D72" s="4" t="n">
        <v>6</v>
      </c>
      <c r="E72" s="4" t="inlineStr">
        <is>
          <t>A</t>
        </is>
      </c>
      <c r="F72" s="4" t="inlineStr">
        <is>
          <t>HNB055</t>
        </is>
      </c>
      <c r="G72" s="9" t="n"/>
      <c r="H72" s="9" t="n"/>
    </row>
    <row r="73">
      <c r="A73" s="4" t="inlineStr">
        <is>
          <t>MX thẳng LVL-05/DST</t>
        </is>
      </c>
      <c r="B73" s="4" t="inlineStr">
        <is>
          <t>C39</t>
        </is>
      </c>
      <c r="C73" s="4" t="inlineStr">
        <is>
          <t>TPKL 9/2019 LVL-05 → MX thẳng (giữa MX_DST và LVL-05) (12FO)</t>
        </is>
      </c>
      <c r="D73" s="4" t="n">
        <v>3</v>
      </c>
      <c r="E73" s="4" t="inlineStr">
        <is>
          <t>B</t>
        </is>
      </c>
      <c r="F73" s="4" t="inlineStr">
        <is>
          <t>HNB011</t>
        </is>
      </c>
      <c r="G73" s="9" t="n"/>
      <c r="H73" s="9" t="n"/>
    </row>
    <row r="74">
      <c r="A74" s="4" t="inlineStr">
        <is>
          <t>MX thẳng LVL-05/DST</t>
        </is>
      </c>
      <c r="B74" s="4" t="inlineStr">
        <is>
          <t>C39</t>
        </is>
      </c>
      <c r="C74" s="4" t="inlineStr">
        <is>
          <t>TPKL 9/2019 LVL-05 → MX thẳng (giữa MX_DST và LVL-05) (12FO)</t>
        </is>
      </c>
      <c r="D74" s="4" t="n">
        <v>4</v>
      </c>
      <c r="E74" s="4" t="inlineStr">
        <is>
          <t>B</t>
        </is>
      </c>
      <c r="F74" s="4" t="inlineStr">
        <is>
          <t>HNB011</t>
        </is>
      </c>
      <c r="G74" s="9" t="n"/>
      <c r="H74" s="9" t="n"/>
    </row>
    <row r="75">
      <c r="A75" s="4" t="inlineStr">
        <is>
          <t>MX thẳng LVL-05/DST</t>
        </is>
      </c>
      <c r="B75" s="4" t="inlineStr">
        <is>
          <t>C40</t>
        </is>
      </c>
      <c r="C75" s="4" t="inlineStr">
        <is>
          <t>ADSS 9/2009 MX thẳng LVL-05/DST → MX_DST (12FO)</t>
        </is>
      </c>
      <c r="D75" s="4" t="n">
        <v>3</v>
      </c>
      <c r="E75" s="4" t="inlineStr">
        <is>
          <t>B</t>
        </is>
      </c>
      <c r="F75" s="4" t="inlineStr">
        <is>
          <t>HNB011</t>
        </is>
      </c>
      <c r="G75" s="9" t="n"/>
      <c r="H75" s="9" t="n"/>
    </row>
    <row r="76">
      <c r="A76" s="4" t="inlineStr">
        <is>
          <t>MX thẳng LVL-05/DST</t>
        </is>
      </c>
      <c r="B76" s="4" t="inlineStr">
        <is>
          <t>C40</t>
        </is>
      </c>
      <c r="C76" s="4" t="inlineStr">
        <is>
          <t>ADSS 9/2009 MX thẳng LVL-05/DST → MX_DST (12FO)</t>
        </is>
      </c>
      <c r="D76" s="4" t="n">
        <v>4</v>
      </c>
      <c r="E76" s="4" t="inlineStr">
        <is>
          <t>B</t>
        </is>
      </c>
      <c r="F76" s="4" t="inlineStr">
        <is>
          <t>HNB011</t>
        </is>
      </c>
      <c r="G76" s="9" t="n"/>
      <c r="H76" s="9" t="n"/>
    </row>
    <row r="77">
      <c r="A77" s="4" t="inlineStr">
        <is>
          <t>MX thẳng LVL-05/DST</t>
        </is>
      </c>
      <c r="B77" s="4" t="inlineStr">
        <is>
          <t>C39</t>
        </is>
      </c>
      <c r="C77" s="4" t="inlineStr">
        <is>
          <t>TPKL 9/2019 LVL-05 → MX thẳng (giữa MX_DST và LVL-05) (12FO)</t>
        </is>
      </c>
      <c r="D77" s="4" t="n">
        <v>1</v>
      </c>
      <c r="E77" s="4" t="inlineStr">
        <is>
          <t>C</t>
        </is>
      </c>
      <c r="F77" s="4" t="inlineStr">
        <is>
          <t>HNB012</t>
        </is>
      </c>
      <c r="G77" s="9" t="n"/>
      <c r="H77" s="9" t="n"/>
    </row>
    <row r="78">
      <c r="A78" s="4" t="inlineStr">
        <is>
          <t>MX thẳng LVL-05/DST</t>
        </is>
      </c>
      <c r="B78" s="4" t="inlineStr">
        <is>
          <t>C39</t>
        </is>
      </c>
      <c r="C78" s="4" t="inlineStr">
        <is>
          <t>TPKL 9/2019 LVL-05 → MX thẳng (giữa MX_DST và LVL-05) (12FO)</t>
        </is>
      </c>
      <c r="D78" s="4" t="n">
        <v>2</v>
      </c>
      <c r="E78" s="4" t="inlineStr">
        <is>
          <t>C</t>
        </is>
      </c>
      <c r="F78" s="4" t="inlineStr">
        <is>
          <t>HNB012</t>
        </is>
      </c>
      <c r="G78" s="9" t="n"/>
      <c r="H78" s="9" t="n"/>
    </row>
    <row r="79">
      <c r="A79" s="4" t="inlineStr">
        <is>
          <t>MX thẳng LVL-05/DST</t>
        </is>
      </c>
      <c r="B79" s="4" t="inlineStr">
        <is>
          <t>C40</t>
        </is>
      </c>
      <c r="C79" s="4" t="inlineStr">
        <is>
          <t>ADSS 9/2009 MX thẳng LVL-05/DST → MX_DST (12FO)</t>
        </is>
      </c>
      <c r="D79" s="4" t="n">
        <v>1</v>
      </c>
      <c r="E79" s="4" t="inlineStr">
        <is>
          <t>C</t>
        </is>
      </c>
      <c r="F79" s="4" t="inlineStr">
        <is>
          <t>HNB012</t>
        </is>
      </c>
      <c r="G79" s="9" t="n"/>
      <c r="H79" s="9" t="n"/>
    </row>
    <row r="80">
      <c r="A80" s="4" t="inlineStr">
        <is>
          <t>MX thẳng LVL-05/DST</t>
        </is>
      </c>
      <c r="B80" s="4" t="inlineStr">
        <is>
          <t>C40</t>
        </is>
      </c>
      <c r="C80" s="4" t="inlineStr">
        <is>
          <t>ADSS 9/2009 MX thẳng LVL-05/DST → MX_DST (12FO)</t>
        </is>
      </c>
      <c r="D80" s="4" t="n">
        <v>2</v>
      </c>
      <c r="E80" s="4" t="inlineStr">
        <is>
          <t>C</t>
        </is>
      </c>
      <c r="F80" s="4" t="inlineStr">
        <is>
          <t>HNB012</t>
        </is>
      </c>
      <c r="G80" s="9" t="n"/>
      <c r="H80" s="9" t="n"/>
    </row>
    <row r="81">
      <c r="A81" s="4" t="inlineStr">
        <is>
          <t>MX thẳng Phạm Hùng</t>
        </is>
      </c>
      <c r="B81" s="4" t="inlineStr">
        <is>
          <t>C72</t>
        </is>
      </c>
      <c r="C81" s="4" t="inlineStr">
        <is>
          <t>FOCAL MX_PHẠM HÙNG → MX thẳng Phạm Hùng (8FO) (8FO)</t>
        </is>
      </c>
      <c r="D81" s="4" t="n">
        <v>1</v>
      </c>
      <c r="E81" s="4" t="inlineStr">
        <is>
          <t>A</t>
        </is>
      </c>
      <c r="F81" s="4" t="inlineStr">
        <is>
          <t>HNB012</t>
        </is>
      </c>
      <c r="G81" s="9" t="n"/>
      <c r="H81" s="9" t="n"/>
    </row>
    <row r="82">
      <c r="A82" s="4" t="inlineStr">
        <is>
          <t>MX thẳng Phạm Hùng</t>
        </is>
      </c>
      <c r="B82" s="4" t="inlineStr">
        <is>
          <t>C72</t>
        </is>
      </c>
      <c r="C82" s="4" t="inlineStr">
        <is>
          <t>FOCAL MX_PHẠM HÙNG → MX thẳng Phạm Hùng (8FO) (8FO)</t>
        </is>
      </c>
      <c r="D82" s="4" t="n">
        <v>2</v>
      </c>
      <c r="E82" s="4" t="inlineStr">
        <is>
          <t>A</t>
        </is>
      </c>
      <c r="F82" s="4" t="inlineStr">
        <is>
          <t>HNB012</t>
        </is>
      </c>
      <c r="G82" s="9" t="n"/>
      <c r="H82" s="9" t="n"/>
    </row>
    <row r="83">
      <c r="A83" s="4" t="inlineStr">
        <is>
          <t>MX thẳng Phạm Hùng</t>
        </is>
      </c>
      <c r="B83" s="4" t="inlineStr">
        <is>
          <t>C73</t>
        </is>
      </c>
      <c r="C83" s="4" t="inlineStr">
        <is>
          <t>FOCAL MX thẳng Phạm Hùng → MX cầu NVL 2 (8FO) (8FO)</t>
        </is>
      </c>
      <c r="D83" s="4" t="n">
        <v>1</v>
      </c>
      <c r="E83" s="4" t="inlineStr">
        <is>
          <t>A</t>
        </is>
      </c>
      <c r="F83" s="4" t="inlineStr">
        <is>
          <t>HNB012</t>
        </is>
      </c>
      <c r="G83" s="9" t="n"/>
      <c r="H83" s="9" t="n"/>
    </row>
    <row r="84">
      <c r="A84" s="4" t="inlineStr">
        <is>
          <t>MX thẳng Phạm Hùng</t>
        </is>
      </c>
      <c r="B84" s="4" t="inlineStr">
        <is>
          <t>C73</t>
        </is>
      </c>
      <c r="C84" s="4" t="inlineStr">
        <is>
          <t>FOCAL MX thẳng Phạm Hùng → MX cầu NVL 2 (8FO) (8FO)</t>
        </is>
      </c>
      <c r="D84" s="4" t="n">
        <v>2</v>
      </c>
      <c r="E84" s="4" t="inlineStr">
        <is>
          <t>A</t>
        </is>
      </c>
      <c r="F84" s="4" t="inlineStr">
        <is>
          <t>HNB012</t>
        </is>
      </c>
      <c r="G84" s="9" t="n"/>
      <c r="H84" s="9" t="n"/>
    </row>
    <row r="85">
      <c r="A85" s="4" t="inlineStr">
        <is>
          <t>MX thẳng đi LVL</t>
        </is>
      </c>
      <c r="B85" s="4" t="inlineStr">
        <is>
          <t>C37</t>
        </is>
      </c>
      <c r="C85" s="4" t="inlineStr">
        <is>
          <t>SACOM 1/2015 MX thẳng (đi LVL) → LVL-02 (12FO)</t>
        </is>
      </c>
      <c r="D85" s="4" t="n">
        <v>5</v>
      </c>
      <c r="E85" s="4" t="inlineStr">
        <is>
          <t>A</t>
        </is>
      </c>
      <c r="F85" s="4" t="inlineStr">
        <is>
          <t>HNB065</t>
        </is>
      </c>
      <c r="G85" s="9" t="n"/>
      <c r="H85" s="9" t="n"/>
    </row>
    <row r="86">
      <c r="A86" s="4" t="inlineStr">
        <is>
          <t>MX thẳng đi LVL</t>
        </is>
      </c>
      <c r="B86" s="4" t="inlineStr">
        <is>
          <t>C37</t>
        </is>
      </c>
      <c r="C86" s="4" t="inlineStr">
        <is>
          <t>SACOM 1/2015 MX thẳng (đi LVL) → LVL-02 (12FO)</t>
        </is>
      </c>
      <c r="D86" s="4" t="n">
        <v>6</v>
      </c>
      <c r="E86" s="4" t="inlineStr">
        <is>
          <t>A</t>
        </is>
      </c>
      <c r="F86" s="4" t="inlineStr">
        <is>
          <t>HNB065</t>
        </is>
      </c>
      <c r="G86" s="9" t="n"/>
      <c r="H86" s="9" t="n"/>
    </row>
    <row r="87">
      <c r="A87" s="4" t="inlineStr">
        <is>
          <t>MX thẳng đi LVL</t>
        </is>
      </c>
      <c r="B87" s="4" t="inlineStr">
        <is>
          <t>C36</t>
        </is>
      </c>
      <c r="C87" s="4" t="inlineStr">
        <is>
          <t>VINA-OFC 2016 LVL-03 → MX thẳng (đi LVL) (12FO)</t>
        </is>
      </c>
      <c r="D87" s="4" t="n">
        <v>5</v>
      </c>
      <c r="E87" s="4" t="inlineStr">
        <is>
          <t>A</t>
        </is>
      </c>
      <c r="F87" s="4" t="inlineStr">
        <is>
          <t>HNB065</t>
        </is>
      </c>
      <c r="G87" s="9" t="n"/>
      <c r="H87" s="9" t="n"/>
    </row>
    <row r="88">
      <c r="A88" s="4" t="inlineStr">
        <is>
          <t>MX thẳng đi LVL</t>
        </is>
      </c>
      <c r="B88" s="4" t="inlineStr">
        <is>
          <t>C36</t>
        </is>
      </c>
      <c r="C88" s="4" t="inlineStr">
        <is>
          <t>VINA-OFC 2016 LVL-03 → MX thẳng (đi LVL) (12FO)</t>
        </is>
      </c>
      <c r="D88" s="4" t="n">
        <v>6</v>
      </c>
      <c r="E88" s="4" t="inlineStr">
        <is>
          <t>A</t>
        </is>
      </c>
      <c r="F88" s="4" t="inlineStr">
        <is>
          <t>HNB065</t>
        </is>
      </c>
      <c r="G88" s="9" t="n"/>
      <c r="H88" s="9" t="n"/>
    </row>
    <row r="89">
      <c r="A89" s="4" t="inlineStr">
        <is>
          <t>MX thẳng đi LVL</t>
        </is>
      </c>
      <c r="B89" s="4" t="inlineStr">
        <is>
          <t>C37</t>
        </is>
      </c>
      <c r="C89" s="4" t="inlineStr">
        <is>
          <t>SACOM 1/2015 MX thẳng (đi LVL) → LVL-02 (12FO)</t>
        </is>
      </c>
      <c r="D89" s="4" t="n">
        <v>3</v>
      </c>
      <c r="E89" s="4" t="inlineStr">
        <is>
          <t>B</t>
        </is>
      </c>
      <c r="F89" s="4" t="inlineStr">
        <is>
          <t>HNB073</t>
        </is>
      </c>
      <c r="G89" s="9" t="n"/>
      <c r="H89" s="9" t="n"/>
    </row>
    <row r="90">
      <c r="A90" s="4" t="inlineStr">
        <is>
          <t>MX thẳng đi LVL</t>
        </is>
      </c>
      <c r="B90" s="4" t="inlineStr">
        <is>
          <t>C37</t>
        </is>
      </c>
      <c r="C90" s="4" t="inlineStr">
        <is>
          <t>SACOM 1/2015 MX thẳng (đi LVL) → LVL-02 (12FO)</t>
        </is>
      </c>
      <c r="D90" s="4" t="n">
        <v>4</v>
      </c>
      <c r="E90" s="4" t="inlineStr">
        <is>
          <t>B</t>
        </is>
      </c>
      <c r="F90" s="4" t="inlineStr">
        <is>
          <t>HNB073</t>
        </is>
      </c>
      <c r="G90" s="9" t="n"/>
      <c r="H90" s="9" t="n"/>
    </row>
    <row r="91">
      <c r="A91" s="4" t="inlineStr">
        <is>
          <t>MX thẳng đi LVL</t>
        </is>
      </c>
      <c r="B91" s="4" t="inlineStr">
        <is>
          <t>C36</t>
        </is>
      </c>
      <c r="C91" s="4" t="inlineStr">
        <is>
          <t>VINA-OFC 2016 LVL-03 → MX thẳng (đi LVL) (12FO)</t>
        </is>
      </c>
      <c r="D91" s="4" t="n">
        <v>3</v>
      </c>
      <c r="E91" s="4" t="inlineStr">
        <is>
          <t>B</t>
        </is>
      </c>
      <c r="F91" s="4" t="inlineStr">
        <is>
          <t>HNB073</t>
        </is>
      </c>
      <c r="G91" s="9" t="n"/>
      <c r="H91" s="9" t="n"/>
    </row>
    <row r="92">
      <c r="A92" s="4" t="inlineStr">
        <is>
          <t>MX thẳng đi LVL</t>
        </is>
      </c>
      <c r="B92" s="4" t="inlineStr">
        <is>
          <t>C36</t>
        </is>
      </c>
      <c r="C92" s="4" t="inlineStr">
        <is>
          <t>VINA-OFC 2016 LVL-03 → MX thẳng (đi LVL) (12FO)</t>
        </is>
      </c>
      <c r="D92" s="4" t="n">
        <v>4</v>
      </c>
      <c r="E92" s="4" t="inlineStr">
        <is>
          <t>B</t>
        </is>
      </c>
      <c r="F92" s="4" t="inlineStr">
        <is>
          <t>HNB073</t>
        </is>
      </c>
      <c r="G92" s="9" t="n"/>
      <c r="H92" s="9" t="n"/>
    </row>
    <row r="93">
      <c r="A93" s="4" t="inlineStr">
        <is>
          <t>MX thẳng đi LVL</t>
        </is>
      </c>
      <c r="B93" s="4" t="inlineStr">
        <is>
          <t>C37</t>
        </is>
      </c>
      <c r="C93" s="4" t="inlineStr">
        <is>
          <t>SACOM 1/2015 MX thẳng (đi LVL) → LVL-02 (12FO)</t>
        </is>
      </c>
      <c r="D93" s="4" t="n">
        <v>1</v>
      </c>
      <c r="E93" s="4" t="inlineStr">
        <is>
          <t>C</t>
        </is>
      </c>
      <c r="F93" s="4" t="inlineStr">
        <is>
          <t>HNB075</t>
        </is>
      </c>
      <c r="G93" s="9" t="n"/>
      <c r="H93" s="9" t="n"/>
    </row>
    <row r="94">
      <c r="A94" s="4" t="inlineStr">
        <is>
          <t>MX thẳng đi LVL</t>
        </is>
      </c>
      <c r="B94" s="4" t="inlineStr">
        <is>
          <t>C37</t>
        </is>
      </c>
      <c r="C94" s="4" t="inlineStr">
        <is>
          <t>SACOM 1/2015 MX thẳng (đi LVL) → LVL-02 (12FO)</t>
        </is>
      </c>
      <c r="D94" s="4" t="n">
        <v>2</v>
      </c>
      <c r="E94" s="4" t="inlineStr">
        <is>
          <t>C</t>
        </is>
      </c>
      <c r="F94" s="4" t="inlineStr">
        <is>
          <t>HNB075</t>
        </is>
      </c>
      <c r="G94" s="9" t="n"/>
      <c r="H94" s="9" t="n"/>
    </row>
    <row r="95">
      <c r="A95" s="4" t="inlineStr">
        <is>
          <t>MX thẳng đi LVL</t>
        </is>
      </c>
      <c r="B95" s="4" t="inlineStr">
        <is>
          <t>C36</t>
        </is>
      </c>
      <c r="C95" s="4" t="inlineStr">
        <is>
          <t>VINA-OFC 2016 LVL-03 → MX thẳng (đi LVL) (12FO)</t>
        </is>
      </c>
      <c r="D95" s="4" t="n">
        <v>1</v>
      </c>
      <c r="E95" s="4" t="inlineStr">
        <is>
          <t>C</t>
        </is>
      </c>
      <c r="F95" s="4" t="inlineStr">
        <is>
          <t>HNB075</t>
        </is>
      </c>
      <c r="G95" s="9" t="n"/>
      <c r="H95" s="9" t="n"/>
    </row>
    <row r="96">
      <c r="A96" s="4" t="inlineStr">
        <is>
          <t>MX thẳng đi LVL</t>
        </is>
      </c>
      <c r="B96" s="4" t="inlineStr">
        <is>
          <t>C36</t>
        </is>
      </c>
      <c r="C96" s="4" t="inlineStr">
        <is>
          <t>VINA-OFC 2016 LVL-03 → MX thẳng (đi LVL) (12FO)</t>
        </is>
      </c>
      <c r="D96" s="4" t="n">
        <v>2</v>
      </c>
      <c r="E96" s="4" t="inlineStr">
        <is>
          <t>C</t>
        </is>
      </c>
      <c r="F96" s="4" t="inlineStr">
        <is>
          <t>HNB075</t>
        </is>
      </c>
      <c r="G96" s="9" t="n"/>
      <c r="H96" s="9" t="n"/>
    </row>
    <row r="97">
      <c r="A97" s="4" t="inlineStr">
        <is>
          <t>MX_DST</t>
        </is>
      </c>
      <c r="B97" s="4" t="inlineStr">
        <is>
          <t>C40</t>
        </is>
      </c>
      <c r="C97" s="4" t="inlineStr">
        <is>
          <t>ADSS 9/2009 MX thẳng LVL-05/DST → MX_DST (12FO)</t>
        </is>
      </c>
      <c r="D97" s="4" t="n">
        <v>5</v>
      </c>
      <c r="E97" s="4" t="inlineStr">
        <is>
          <t>A</t>
        </is>
      </c>
      <c r="F97" s="4" t="inlineStr">
        <is>
          <t>HNB055</t>
        </is>
      </c>
      <c r="G97" s="9" t="n"/>
      <c r="H97" s="9" t="n"/>
    </row>
    <row r="98">
      <c r="A98" s="4" t="inlineStr">
        <is>
          <t>MX_DST</t>
        </is>
      </c>
      <c r="B98" s="4" t="inlineStr">
        <is>
          <t>C40</t>
        </is>
      </c>
      <c r="C98" s="4" t="inlineStr">
        <is>
          <t>ADSS 9/2009 MX thẳng LVL-05/DST → MX_DST (12FO)</t>
        </is>
      </c>
      <c r="D98" s="4" t="n">
        <v>6</v>
      </c>
      <c r="E98" s="4" t="inlineStr">
        <is>
          <t>A</t>
        </is>
      </c>
      <c r="F98" s="4" t="inlineStr">
        <is>
          <t>HNB055</t>
        </is>
      </c>
      <c r="G98" s="9" t="n"/>
      <c r="H98" s="9" t="n"/>
    </row>
    <row r="99">
      <c r="A99" s="4" t="inlineStr">
        <is>
          <t>MX_DST</t>
        </is>
      </c>
      <c r="B99" s="4" t="inlineStr">
        <is>
          <t>C41</t>
        </is>
      </c>
      <c r="C99" s="4" t="inlineStr">
        <is>
          <t>FOCAL 8/2020 MX_DST → LVL-01 (12FO)</t>
        </is>
      </c>
      <c r="D99" s="4" t="n">
        <v>5</v>
      </c>
      <c r="E99" s="4" t="inlineStr">
        <is>
          <t>A</t>
        </is>
      </c>
      <c r="F99" s="4" t="inlineStr">
        <is>
          <t>HNB055</t>
        </is>
      </c>
      <c r="G99" s="9" t="n"/>
      <c r="H99" s="9" t="n"/>
    </row>
    <row r="100">
      <c r="A100" s="4" t="inlineStr">
        <is>
          <t>MX_DST</t>
        </is>
      </c>
      <c r="B100" s="4" t="inlineStr">
        <is>
          <t>C41</t>
        </is>
      </c>
      <c r="C100" s="4" t="inlineStr">
        <is>
          <t>FOCAL 8/2020 MX_DST → LVL-01 (12FO)</t>
        </is>
      </c>
      <c r="D100" s="4" t="n">
        <v>6</v>
      </c>
      <c r="E100" s="4" t="inlineStr">
        <is>
          <t>A</t>
        </is>
      </c>
      <c r="F100" s="4" t="inlineStr">
        <is>
          <t>HNB055</t>
        </is>
      </c>
      <c r="G100" s="9" t="n"/>
      <c r="H100" s="9" t="n"/>
    </row>
    <row r="101">
      <c r="A101" s="4" t="inlineStr">
        <is>
          <t>MX_DST</t>
        </is>
      </c>
      <c r="B101" s="4" t="inlineStr">
        <is>
          <t>C40</t>
        </is>
      </c>
      <c r="C101" s="4" t="inlineStr">
        <is>
          <t>ADSS 9/2009 MX thẳng LVL-05/DST → MX_DST (12FO)</t>
        </is>
      </c>
      <c r="D101" s="4" t="n">
        <v>3</v>
      </c>
      <c r="E101" s="4" t="inlineStr">
        <is>
          <t>B</t>
        </is>
      </c>
      <c r="F101" s="4" t="inlineStr">
        <is>
          <t>HNB011</t>
        </is>
      </c>
      <c r="G101" s="9" t="n"/>
      <c r="H101" s="9" t="n"/>
    </row>
    <row r="102">
      <c r="A102" s="4" t="inlineStr">
        <is>
          <t>MX_DST</t>
        </is>
      </c>
      <c r="B102" s="4" t="inlineStr">
        <is>
          <t>C40</t>
        </is>
      </c>
      <c r="C102" s="4" t="inlineStr">
        <is>
          <t>ADSS 9/2009 MX thẳng LVL-05/DST → MX_DST (12FO)</t>
        </is>
      </c>
      <c r="D102" s="4" t="n">
        <v>4</v>
      </c>
      <c r="E102" s="4" t="inlineStr">
        <is>
          <t>B</t>
        </is>
      </c>
      <c r="F102" s="4" t="inlineStr">
        <is>
          <t>HNB011</t>
        </is>
      </c>
      <c r="G102" s="9" t="n"/>
      <c r="H102" s="9" t="n"/>
    </row>
    <row r="103">
      <c r="A103" s="4" t="inlineStr">
        <is>
          <t>MX_DST</t>
        </is>
      </c>
      <c r="B103" s="4" t="inlineStr">
        <is>
          <t>C41</t>
        </is>
      </c>
      <c r="C103" s="4" t="inlineStr">
        <is>
          <t>FOCAL 8/2020 MX_DST → LVL-01 (12FO)</t>
        </is>
      </c>
      <c r="D103" s="4" t="n">
        <v>3</v>
      </c>
      <c r="E103" s="4" t="inlineStr">
        <is>
          <t>B</t>
        </is>
      </c>
      <c r="F103" s="4" t="inlineStr">
        <is>
          <t>HNB011</t>
        </is>
      </c>
      <c r="G103" s="9" t="n"/>
      <c r="H103" s="9" t="n"/>
    </row>
    <row r="104">
      <c r="A104" s="4" t="inlineStr">
        <is>
          <t>MX_DST</t>
        </is>
      </c>
      <c r="B104" s="4" t="inlineStr">
        <is>
          <t>C41</t>
        </is>
      </c>
      <c r="C104" s="4" t="inlineStr">
        <is>
          <t>FOCAL 8/2020 MX_DST → LVL-01 (12FO)</t>
        </is>
      </c>
      <c r="D104" s="4" t="n">
        <v>4</v>
      </c>
      <c r="E104" s="4" t="inlineStr">
        <is>
          <t>B</t>
        </is>
      </c>
      <c r="F104" s="4" t="inlineStr">
        <is>
          <t>HNB011</t>
        </is>
      </c>
      <c r="G104" s="9" t="n"/>
      <c r="H104" s="9" t="n"/>
    </row>
    <row r="105">
      <c r="A105" s="4" t="inlineStr">
        <is>
          <t>MX_DST</t>
        </is>
      </c>
      <c r="B105" s="4" t="inlineStr">
        <is>
          <t>C40</t>
        </is>
      </c>
      <c r="C105" s="4" t="inlineStr">
        <is>
          <t>ADSS 9/2009 MX thẳng LVL-05/DST → MX_DST (12FO)</t>
        </is>
      </c>
      <c r="D105" s="4" t="n">
        <v>1</v>
      </c>
      <c r="E105" s="4" t="inlineStr">
        <is>
          <t>C</t>
        </is>
      </c>
      <c r="F105" s="4" t="inlineStr">
        <is>
          <t>HNB012</t>
        </is>
      </c>
      <c r="G105" s="9" t="n"/>
      <c r="H105" s="9" t="n"/>
    </row>
    <row r="106">
      <c r="A106" s="4" t="inlineStr">
        <is>
          <t>MX_DST</t>
        </is>
      </c>
      <c r="B106" s="4" t="inlineStr">
        <is>
          <t>C40</t>
        </is>
      </c>
      <c r="C106" s="4" t="inlineStr">
        <is>
          <t>ADSS 9/2009 MX thẳng LVL-05/DST → MX_DST (12FO)</t>
        </is>
      </c>
      <c r="D106" s="4" t="n">
        <v>2</v>
      </c>
      <c r="E106" s="4" t="inlineStr">
        <is>
          <t>C</t>
        </is>
      </c>
      <c r="F106" s="4" t="inlineStr">
        <is>
          <t>HNB012</t>
        </is>
      </c>
      <c r="G106" s="9" t="n"/>
      <c r="H106" s="9" t="n"/>
    </row>
    <row r="107">
      <c r="A107" s="4" t="inlineStr">
        <is>
          <t>MX_DST</t>
        </is>
      </c>
      <c r="B107" s="4" t="inlineStr">
        <is>
          <t>C42</t>
        </is>
      </c>
      <c r="C107" s="4" t="inlineStr">
        <is>
          <t>4FO MX_DST → MX băng sông 2 (4FO)</t>
        </is>
      </c>
      <c r="D107" s="4" t="n">
        <v>1</v>
      </c>
      <c r="E107" s="4" t="inlineStr">
        <is>
          <t>C</t>
        </is>
      </c>
      <c r="F107" s="4" t="inlineStr">
        <is>
          <t>HNB012</t>
        </is>
      </c>
      <c r="G107" s="9" t="n"/>
      <c r="H107" s="9" t="n"/>
    </row>
    <row r="108">
      <c r="A108" s="4" t="inlineStr">
        <is>
          <t>MX_DST</t>
        </is>
      </c>
      <c r="B108" s="4" t="inlineStr">
        <is>
          <t>C42</t>
        </is>
      </c>
      <c r="C108" s="4" t="inlineStr">
        <is>
          <t>4FO MX_DST → MX băng sông 2 (4FO)</t>
        </is>
      </c>
      <c r="D108" s="4" t="n">
        <v>2</v>
      </c>
      <c r="E108" s="4" t="inlineStr">
        <is>
          <t>C</t>
        </is>
      </c>
      <c r="F108" s="4" t="inlineStr">
        <is>
          <t>HNB012</t>
        </is>
      </c>
      <c r="G108" s="9" t="n"/>
      <c r="H108" s="9" t="n"/>
    </row>
    <row r="109">
      <c r="A109" s="4" t="inlineStr">
        <is>
          <t>MX_HTP-03B</t>
        </is>
      </c>
      <c r="B109" s="4" t="inlineStr">
        <is>
          <t>C16</t>
        </is>
      </c>
      <c r="C109" s="4" t="inlineStr">
        <is>
          <t>12FO MX thẳng HTP → HTP-03B (12FO)</t>
        </is>
      </c>
      <c r="D109" s="4" t="n">
        <v>3</v>
      </c>
      <c r="E109" s="4" t="inlineStr">
        <is>
          <t>A</t>
        </is>
      </c>
      <c r="F109" s="4" t="inlineStr">
        <is>
          <t>HNB048</t>
        </is>
      </c>
      <c r="G109" s="9" t="n"/>
      <c r="H109" s="9" t="n"/>
    </row>
    <row r="110">
      <c r="A110" s="4" t="inlineStr">
        <is>
          <t>MX_HTP-03B</t>
        </is>
      </c>
      <c r="B110" s="4" t="inlineStr">
        <is>
          <t>C16</t>
        </is>
      </c>
      <c r="C110" s="4" t="inlineStr">
        <is>
          <t>12FO MX thẳng HTP → HTP-03B (12FO)</t>
        </is>
      </c>
      <c r="D110" s="4" t="n">
        <v>4</v>
      </c>
      <c r="E110" s="4" t="inlineStr">
        <is>
          <t>A</t>
        </is>
      </c>
      <c r="F110" s="4" t="inlineStr">
        <is>
          <t>HNB048</t>
        </is>
      </c>
      <c r="G110" s="9" t="n"/>
      <c r="H110" s="9" t="n"/>
    </row>
    <row r="111">
      <c r="A111" s="4" t="inlineStr">
        <is>
          <t>MX_HTP-03B</t>
        </is>
      </c>
      <c r="B111" s="4" t="inlineStr">
        <is>
          <t>C17</t>
        </is>
      </c>
      <c r="C111" s="4" t="inlineStr">
        <is>
          <t>POSTEF 24FO nhập đài (cs 1550→1288) (24FO)</t>
        </is>
      </c>
      <c r="D111" s="4" t="n">
        <v>3</v>
      </c>
      <c r="E111" s="4" t="inlineStr">
        <is>
          <t>A</t>
        </is>
      </c>
      <c r="F111" s="4" t="inlineStr">
        <is>
          <t>HNB048</t>
        </is>
      </c>
      <c r="G111" s="9" t="n"/>
      <c r="H111" s="9" t="n"/>
    </row>
    <row r="112">
      <c r="A112" s="4" t="inlineStr">
        <is>
          <t>MX_HTP-03B</t>
        </is>
      </c>
      <c r="B112" s="4" t="inlineStr">
        <is>
          <t>C17</t>
        </is>
      </c>
      <c r="C112" s="4" t="inlineStr">
        <is>
          <t>POSTEF 24FO nhập đài (cs 1550→1288) (24FO)</t>
        </is>
      </c>
      <c r="D112" s="4" t="n">
        <v>4</v>
      </c>
      <c r="E112" s="4" t="inlineStr">
        <is>
          <t>A</t>
        </is>
      </c>
      <c r="F112" s="4" t="inlineStr">
        <is>
          <t>HNB048</t>
        </is>
      </c>
      <c r="G112" s="9" t="n"/>
      <c r="H112" s="9" t="n"/>
    </row>
    <row r="113">
      <c r="A113" s="4" t="inlineStr">
        <is>
          <t>MX_HTP-03B</t>
        </is>
      </c>
      <c r="B113" s="4" t="inlineStr">
        <is>
          <t>C16</t>
        </is>
      </c>
      <c r="C113" s="4" t="inlineStr">
        <is>
          <t>12FO MX thẳng HTP → HTP-03B (12FO)</t>
        </is>
      </c>
      <c r="D113" s="4" t="n">
        <v>1</v>
      </c>
      <c r="E113" s="4" t="inlineStr">
        <is>
          <t>B</t>
        </is>
      </c>
      <c r="F113" s="4" t="inlineStr">
        <is>
          <t>HNB091</t>
        </is>
      </c>
      <c r="G113" s="9" t="n"/>
      <c r="H113" s="9" t="n"/>
    </row>
    <row r="114">
      <c r="A114" s="4" t="inlineStr">
        <is>
          <t>MX_HTP-03B</t>
        </is>
      </c>
      <c r="B114" s="4" t="inlineStr">
        <is>
          <t>C16</t>
        </is>
      </c>
      <c r="C114" s="4" t="inlineStr">
        <is>
          <t>12FO MX thẳng HTP → HTP-03B (12FO)</t>
        </is>
      </c>
      <c r="D114" s="4" t="n">
        <v>2</v>
      </c>
      <c r="E114" s="4" t="inlineStr">
        <is>
          <t>B</t>
        </is>
      </c>
      <c r="F114" s="4" t="inlineStr">
        <is>
          <t>HNB091</t>
        </is>
      </c>
      <c r="G114" s="9" t="n"/>
      <c r="H114" s="9" t="n"/>
    </row>
    <row r="115">
      <c r="A115" s="4" t="inlineStr">
        <is>
          <t>MX_HTP-03B</t>
        </is>
      </c>
      <c r="B115" s="4" t="inlineStr">
        <is>
          <t>C17</t>
        </is>
      </c>
      <c r="C115" s="4" t="inlineStr">
        <is>
          <t>POSTEF 24FO nhập đài (cs 1550→1288) (24FO)</t>
        </is>
      </c>
      <c r="D115" s="4" t="n">
        <v>1</v>
      </c>
      <c r="E115" s="4" t="inlineStr">
        <is>
          <t>B</t>
        </is>
      </c>
      <c r="F115" s="4" t="inlineStr">
        <is>
          <t>HNB091</t>
        </is>
      </c>
      <c r="G115" s="9" t="n"/>
      <c r="H115" s="9" t="n"/>
    </row>
    <row r="116">
      <c r="A116" s="4" t="inlineStr">
        <is>
          <t>MX_HTP-03B</t>
        </is>
      </c>
      <c r="B116" s="4" t="inlineStr">
        <is>
          <t>C17</t>
        </is>
      </c>
      <c r="C116" s="4" t="inlineStr">
        <is>
          <t>POSTEF 24FO nhập đài (cs 1550→1288) (24FO)</t>
        </is>
      </c>
      <c r="D116" s="4" t="n">
        <v>2</v>
      </c>
      <c r="E116" s="4" t="inlineStr">
        <is>
          <t>B</t>
        </is>
      </c>
      <c r="F116" s="4" t="inlineStr">
        <is>
          <t>HNB091</t>
        </is>
      </c>
      <c r="G116" s="9" t="n"/>
      <c r="H116" s="9" t="n"/>
    </row>
    <row r="117">
      <c r="A117" s="4" t="inlineStr">
        <is>
          <t>MX_HTP-03B</t>
        </is>
      </c>
      <c r="B117" s="4" t="inlineStr">
        <is>
          <t>C16</t>
        </is>
      </c>
      <c r="C117" s="4" t="inlineStr">
        <is>
          <t>12FO MX thẳng HTP → HTP-03B (12FO)</t>
        </is>
      </c>
      <c r="D117" s="4" t="n">
        <v>7</v>
      </c>
      <c r="E117" s="4" t="inlineStr">
        <is>
          <t>C</t>
        </is>
      </c>
      <c r="F117" s="4" t="inlineStr">
        <is>
          <t>HNB020</t>
        </is>
      </c>
      <c r="G117" s="9" t="n"/>
      <c r="H117" s="9" t="n"/>
    </row>
    <row r="118">
      <c r="A118" s="4" t="inlineStr">
        <is>
          <t>MX_HTP-03B</t>
        </is>
      </c>
      <c r="B118" s="4" t="inlineStr">
        <is>
          <t>C16</t>
        </is>
      </c>
      <c r="C118" s="4" t="inlineStr">
        <is>
          <t>12FO MX thẳng HTP → HTP-03B (12FO)</t>
        </is>
      </c>
      <c r="D118" s="4" t="n">
        <v>8</v>
      </c>
      <c r="E118" s="4" t="inlineStr">
        <is>
          <t>C</t>
        </is>
      </c>
      <c r="F118" s="4" t="inlineStr">
        <is>
          <t>HNB020</t>
        </is>
      </c>
      <c r="G118" s="9" t="n"/>
      <c r="H118" s="9" t="n"/>
    </row>
    <row r="119">
      <c r="A119" s="4" t="inlineStr">
        <is>
          <t>MX_HTP-03B</t>
        </is>
      </c>
      <c r="B119" s="4" t="inlineStr">
        <is>
          <t>C17</t>
        </is>
      </c>
      <c r="C119" s="4" t="inlineStr">
        <is>
          <t>POSTEF 24FO nhập đài (cs 1550→1288) (24FO)</t>
        </is>
      </c>
      <c r="D119" s="4" t="n">
        <v>7</v>
      </c>
      <c r="E119" s="4" t="inlineStr">
        <is>
          <t>C</t>
        </is>
      </c>
      <c r="F119" s="4" t="inlineStr">
        <is>
          <t>HNB020</t>
        </is>
      </c>
      <c r="G119" s="9" t="n"/>
      <c r="H119" s="9" t="n"/>
    </row>
    <row r="120">
      <c r="A120" s="4" t="inlineStr">
        <is>
          <t>MX_HTP-03B</t>
        </is>
      </c>
      <c r="B120" s="4" t="inlineStr">
        <is>
          <t>C17</t>
        </is>
      </c>
      <c r="C120" s="4" t="inlineStr">
        <is>
          <t>POSTEF 24FO nhập đài (cs 1550→1288) (24FO)</t>
        </is>
      </c>
      <c r="D120" s="4" t="n">
        <v>8</v>
      </c>
      <c r="E120" s="4" t="inlineStr">
        <is>
          <t>C</t>
        </is>
      </c>
      <c r="F120" s="4" t="inlineStr">
        <is>
          <t>HNB020</t>
        </is>
      </c>
      <c r="G120" s="9" t="n"/>
      <c r="H120" s="9" t="n"/>
    </row>
    <row r="121">
      <c r="A121" s="4" t="inlineStr">
        <is>
          <t>MX_NB-02</t>
        </is>
      </c>
      <c r="B121" s="4" t="inlineStr">
        <is>
          <t>C12</t>
        </is>
      </c>
      <c r="C121" s="4" t="inlineStr">
        <is>
          <t>12FO NB-01 → NB-02 (12FO)</t>
        </is>
      </c>
      <c r="D121" s="4" t="n">
        <v>3</v>
      </c>
      <c r="E121" s="4" t="inlineStr">
        <is>
          <t>A</t>
        </is>
      </c>
      <c r="F121" s="4" t="inlineStr">
        <is>
          <t>HNB048</t>
        </is>
      </c>
      <c r="G121" s="9" t="n"/>
      <c r="H121" s="9" t="n"/>
    </row>
    <row r="122">
      <c r="A122" s="4" t="inlineStr">
        <is>
          <t>MX_NB-02</t>
        </is>
      </c>
      <c r="B122" s="4" t="inlineStr">
        <is>
          <t>C12</t>
        </is>
      </c>
      <c r="C122" s="4" t="inlineStr">
        <is>
          <t>12FO NB-01 → NB-02 (12FO)</t>
        </is>
      </c>
      <c r="D122" s="4" t="n">
        <v>4</v>
      </c>
      <c r="E122" s="4" t="inlineStr">
        <is>
          <t>A</t>
        </is>
      </c>
      <c r="F122" s="4" t="inlineStr">
        <is>
          <t>HNB048</t>
        </is>
      </c>
      <c r="G122" s="9" t="n"/>
      <c r="H122" s="9" t="n"/>
    </row>
    <row r="123">
      <c r="A123" s="4" t="inlineStr">
        <is>
          <t>MX_NB-02</t>
        </is>
      </c>
      <c r="B123" s="4" t="inlineStr">
        <is>
          <t>C13</t>
        </is>
      </c>
      <c r="C123" s="4" t="inlineStr">
        <is>
          <t>12FO NB-02 → NB-03 (12FO)</t>
        </is>
      </c>
      <c r="D123" s="4" t="n">
        <v>3</v>
      </c>
      <c r="E123" s="4" t="inlineStr">
        <is>
          <t>A</t>
        </is>
      </c>
      <c r="F123" s="4" t="inlineStr">
        <is>
          <t>HNB048</t>
        </is>
      </c>
      <c r="G123" s="9" t="n"/>
      <c r="H123" s="9" t="n"/>
    </row>
    <row r="124">
      <c r="A124" s="4" t="inlineStr">
        <is>
          <t>MX_NB-02</t>
        </is>
      </c>
      <c r="B124" s="4" t="inlineStr">
        <is>
          <t>C13</t>
        </is>
      </c>
      <c r="C124" s="4" t="inlineStr">
        <is>
          <t>12FO NB-02 → NB-03 (12FO)</t>
        </is>
      </c>
      <c r="D124" s="4" t="n">
        <v>4</v>
      </c>
      <c r="E124" s="4" t="inlineStr">
        <is>
          <t>A</t>
        </is>
      </c>
      <c r="F124" s="4" t="inlineStr">
        <is>
          <t>HNB048</t>
        </is>
      </c>
      <c r="G124" s="9" t="n"/>
      <c r="H124" s="9" t="n"/>
    </row>
    <row r="125">
      <c r="A125" s="4" t="inlineStr">
        <is>
          <t>MX_NB-02</t>
        </is>
      </c>
      <c r="B125" s="4" t="inlineStr">
        <is>
          <t>C12</t>
        </is>
      </c>
      <c r="C125" s="4" t="inlineStr">
        <is>
          <t>12FO NB-01 → NB-02 (12FO)</t>
        </is>
      </c>
      <c r="D125" s="4" t="n">
        <v>1</v>
      </c>
      <c r="E125" s="4" t="inlineStr">
        <is>
          <t>B</t>
        </is>
      </c>
      <c r="F125" s="4" t="inlineStr">
        <is>
          <t>HNB091</t>
        </is>
      </c>
      <c r="G125" s="9" t="n"/>
      <c r="H125" s="9" t="n"/>
    </row>
    <row r="126">
      <c r="A126" s="4" t="inlineStr">
        <is>
          <t>MX_NB-02</t>
        </is>
      </c>
      <c r="B126" s="4" t="inlineStr">
        <is>
          <t>C12</t>
        </is>
      </c>
      <c r="C126" s="4" t="inlineStr">
        <is>
          <t>12FO NB-01 → NB-02 (12FO)</t>
        </is>
      </c>
      <c r="D126" s="4" t="n">
        <v>2</v>
      </c>
      <c r="E126" s="4" t="inlineStr">
        <is>
          <t>B</t>
        </is>
      </c>
      <c r="F126" s="4" t="inlineStr">
        <is>
          <t>HNB091</t>
        </is>
      </c>
      <c r="G126" s="9" t="n"/>
      <c r="H126" s="9" t="n"/>
    </row>
    <row r="127">
      <c r="A127" s="4" t="inlineStr">
        <is>
          <t>MX_NB-02</t>
        </is>
      </c>
      <c r="B127" s="4" t="inlineStr">
        <is>
          <t>C13</t>
        </is>
      </c>
      <c r="C127" s="4" t="inlineStr">
        <is>
          <t>12FO NB-02 → NB-03 (12FO)</t>
        </is>
      </c>
      <c r="D127" s="4" t="n">
        <v>1</v>
      </c>
      <c r="E127" s="4" t="inlineStr">
        <is>
          <t>B</t>
        </is>
      </c>
      <c r="F127" s="4" t="inlineStr">
        <is>
          <t>HNB091</t>
        </is>
      </c>
      <c r="G127" s="9" t="n"/>
      <c r="H127" s="9" t="n"/>
    </row>
    <row r="128">
      <c r="A128" s="4" t="inlineStr">
        <is>
          <t>MX_NB-02</t>
        </is>
      </c>
      <c r="B128" s="4" t="inlineStr">
        <is>
          <t>C13</t>
        </is>
      </c>
      <c r="C128" s="4" t="inlineStr">
        <is>
          <t>12FO NB-02 → NB-03 (12FO)</t>
        </is>
      </c>
      <c r="D128" s="4" t="n">
        <v>2</v>
      </c>
      <c r="E128" s="4" t="inlineStr">
        <is>
          <t>B</t>
        </is>
      </c>
      <c r="F128" s="4" t="inlineStr">
        <is>
          <t>HNB091</t>
        </is>
      </c>
      <c r="G128" s="9" t="n"/>
      <c r="H128" s="9" t="n"/>
    </row>
    <row r="129">
      <c r="A129" s="4" t="inlineStr">
        <is>
          <t>MX_NB-02</t>
        </is>
      </c>
      <c r="B129" s="4" t="inlineStr">
        <is>
          <t>C12</t>
        </is>
      </c>
      <c r="C129" s="4" t="inlineStr">
        <is>
          <t>12FO NB-01 → NB-02 (12FO)</t>
        </is>
      </c>
      <c r="D129" s="4" t="n">
        <v>7</v>
      </c>
      <c r="E129" s="4" t="inlineStr">
        <is>
          <t>C</t>
        </is>
      </c>
      <c r="F129" s="4" t="inlineStr">
        <is>
          <t>HNB086</t>
        </is>
      </c>
      <c r="G129" s="9" t="n"/>
      <c r="H129" s="9" t="n"/>
    </row>
    <row r="130">
      <c r="A130" s="4" t="inlineStr">
        <is>
          <t>MX_NB-02</t>
        </is>
      </c>
      <c r="B130" s="4" t="inlineStr">
        <is>
          <t>C12</t>
        </is>
      </c>
      <c r="C130" s="4" t="inlineStr">
        <is>
          <t>12FO NB-01 → NB-02 (12FO)</t>
        </is>
      </c>
      <c r="D130" s="4" t="n">
        <v>8</v>
      </c>
      <c r="E130" s="4" t="inlineStr">
        <is>
          <t>C</t>
        </is>
      </c>
      <c r="F130" s="4" t="inlineStr">
        <is>
          <t>HNB086</t>
        </is>
      </c>
      <c r="G130" s="9" t="n"/>
      <c r="H130" s="9" t="n"/>
    </row>
    <row r="131">
      <c r="A131" s="4" t="inlineStr">
        <is>
          <t>MX_NB-02</t>
        </is>
      </c>
      <c r="B131" s="4" t="inlineStr">
        <is>
          <t>C23</t>
        </is>
      </c>
      <c r="C131" s="4" t="inlineStr">
        <is>
          <t>FOCAL 2020 NB-02 → HNB086 (6FO số 1) (6FO)</t>
        </is>
      </c>
      <c r="D131" s="4" t="n">
        <v>1</v>
      </c>
      <c r="E131" s="4" t="inlineStr">
        <is>
          <t>C</t>
        </is>
      </c>
      <c r="F131" s="4" t="inlineStr">
        <is>
          <t>HNB086</t>
        </is>
      </c>
      <c r="G131" s="9" t="n"/>
      <c r="H131" s="9" t="n"/>
    </row>
    <row r="132">
      <c r="A132" s="4" t="inlineStr">
        <is>
          <t>MX_NB-02</t>
        </is>
      </c>
      <c r="B132" s="4" t="inlineStr">
        <is>
          <t>C23</t>
        </is>
      </c>
      <c r="C132" s="4" t="inlineStr">
        <is>
          <t>FOCAL 2020 NB-02 → HNB086 (6FO số 1) (6FO)</t>
        </is>
      </c>
      <c r="D132" s="4" t="n">
        <v>2</v>
      </c>
      <c r="E132" s="4" t="inlineStr">
        <is>
          <t>C</t>
        </is>
      </c>
      <c r="F132" s="4" t="inlineStr">
        <is>
          <t>HNB086</t>
        </is>
      </c>
      <c r="G132" s="9" t="n"/>
      <c r="H132" s="9" t="n"/>
    </row>
    <row r="133">
      <c r="A133" s="4" t="inlineStr">
        <is>
          <t>MX_NB-03</t>
        </is>
      </c>
      <c r="B133" s="4" t="inlineStr">
        <is>
          <t>C13</t>
        </is>
      </c>
      <c r="C133" s="4" t="inlineStr">
        <is>
          <t>12FO NB-02 → NB-03 (12FO)</t>
        </is>
      </c>
      <c r="D133" s="4" t="n">
        <v>3</v>
      </c>
      <c r="E133" s="4" t="inlineStr">
        <is>
          <t>A</t>
        </is>
      </c>
      <c r="F133" s="4" t="inlineStr">
        <is>
          <t>HNB048</t>
        </is>
      </c>
      <c r="G133" s="9" t="n"/>
      <c r="H133" s="9" t="n"/>
    </row>
    <row r="134">
      <c r="A134" s="4" t="inlineStr">
        <is>
          <t>MX_NB-03</t>
        </is>
      </c>
      <c r="B134" s="4" t="inlineStr">
        <is>
          <t>C13</t>
        </is>
      </c>
      <c r="C134" s="4" t="inlineStr">
        <is>
          <t>12FO NB-02 → NB-03 (12FO)</t>
        </is>
      </c>
      <c r="D134" s="4" t="n">
        <v>4</v>
      </c>
      <c r="E134" s="4" t="inlineStr">
        <is>
          <t>A</t>
        </is>
      </c>
      <c r="F134" s="4" t="inlineStr">
        <is>
          <t>HNB048</t>
        </is>
      </c>
      <c r="G134" s="9" t="n"/>
      <c r="H134" s="9" t="n"/>
    </row>
    <row r="135">
      <c r="A135" s="4" t="inlineStr">
        <is>
          <t>MX_NB-03</t>
        </is>
      </c>
      <c r="B135" s="4" t="inlineStr">
        <is>
          <t>C14</t>
        </is>
      </c>
      <c r="C135" s="4" t="inlineStr">
        <is>
          <t>12FO NB-03 → NB-04 (12FO)</t>
        </is>
      </c>
      <c r="D135" s="4" t="n">
        <v>3</v>
      </c>
      <c r="E135" s="4" t="inlineStr">
        <is>
          <t>A</t>
        </is>
      </c>
      <c r="F135" s="4" t="inlineStr">
        <is>
          <t>HNB048</t>
        </is>
      </c>
      <c r="G135" s="9" t="n"/>
      <c r="H135" s="9" t="n"/>
    </row>
    <row r="136">
      <c r="A136" s="4" t="inlineStr">
        <is>
          <t>MX_NB-03</t>
        </is>
      </c>
      <c r="B136" s="4" t="inlineStr">
        <is>
          <t>C14</t>
        </is>
      </c>
      <c r="C136" s="4" t="inlineStr">
        <is>
          <t>12FO NB-03 → NB-04 (12FO)</t>
        </is>
      </c>
      <c r="D136" s="4" t="n">
        <v>4</v>
      </c>
      <c r="E136" s="4" t="inlineStr">
        <is>
          <t>A</t>
        </is>
      </c>
      <c r="F136" s="4" t="inlineStr">
        <is>
          <t>HNB048</t>
        </is>
      </c>
      <c r="G136" s="9" t="n"/>
      <c r="H136" s="9" t="n"/>
    </row>
    <row r="137">
      <c r="A137" s="4" t="inlineStr">
        <is>
          <t>MX_NB-03</t>
        </is>
      </c>
      <c r="B137" s="4" t="inlineStr">
        <is>
          <t>C13</t>
        </is>
      </c>
      <c r="C137" s="4" t="inlineStr">
        <is>
          <t>12FO NB-02 → NB-03 (12FO)</t>
        </is>
      </c>
      <c r="D137" s="4" t="n">
        <v>1</v>
      </c>
      <c r="E137" s="4" t="inlineStr">
        <is>
          <t>B</t>
        </is>
      </c>
      <c r="F137" s="4" t="inlineStr">
        <is>
          <t>HNB091</t>
        </is>
      </c>
      <c r="G137" s="9" t="n"/>
      <c r="H137" s="9" t="n"/>
    </row>
    <row r="138">
      <c r="A138" s="4" t="inlineStr">
        <is>
          <t>MX_NB-03</t>
        </is>
      </c>
      <c r="B138" s="4" t="inlineStr">
        <is>
          <t>C13</t>
        </is>
      </c>
      <c r="C138" s="4" t="inlineStr">
        <is>
          <t>12FO NB-02 → NB-03 (12FO)</t>
        </is>
      </c>
      <c r="D138" s="4" t="n">
        <v>2</v>
      </c>
      <c r="E138" s="4" t="inlineStr">
        <is>
          <t>B</t>
        </is>
      </c>
      <c r="F138" s="4" t="inlineStr">
        <is>
          <t>HNB091</t>
        </is>
      </c>
      <c r="G138" s="9" t="n"/>
      <c r="H138" s="9" t="n"/>
    </row>
    <row r="139">
      <c r="A139" s="4" t="inlineStr">
        <is>
          <t>MX_NB-03</t>
        </is>
      </c>
      <c r="B139" s="4" t="inlineStr">
        <is>
          <t>C14</t>
        </is>
      </c>
      <c r="C139" s="4" t="inlineStr">
        <is>
          <t>12FO NB-03 → NB-04 (12FO)</t>
        </is>
      </c>
      <c r="D139" s="4" t="n">
        <v>1</v>
      </c>
      <c r="E139" s="4" t="inlineStr">
        <is>
          <t>B</t>
        </is>
      </c>
      <c r="F139" s="4" t="inlineStr">
        <is>
          <t>HNB091</t>
        </is>
      </c>
      <c r="G139" s="9" t="n"/>
      <c r="H139" s="9" t="n"/>
    </row>
    <row r="140">
      <c r="A140" s="4" t="inlineStr">
        <is>
          <t>MX_NB-03</t>
        </is>
      </c>
      <c r="B140" s="4" t="inlineStr">
        <is>
          <t>C14</t>
        </is>
      </c>
      <c r="C140" s="4" t="inlineStr">
        <is>
          <t>12FO NB-03 → NB-04 (12FO)</t>
        </is>
      </c>
      <c r="D140" s="4" t="n">
        <v>2</v>
      </c>
      <c r="E140" s="4" t="inlineStr">
        <is>
          <t>B</t>
        </is>
      </c>
      <c r="F140" s="4" t="inlineStr">
        <is>
          <t>HNB091</t>
        </is>
      </c>
      <c r="G140" s="9" t="n"/>
      <c r="H140" s="9" t="n"/>
    </row>
    <row r="141">
      <c r="A141" s="4" t="inlineStr">
        <is>
          <t>MX_NB-03</t>
        </is>
      </c>
      <c r="B141" s="4" t="inlineStr">
        <is>
          <t>C26</t>
        </is>
      </c>
      <c r="C141" s="4" t="inlineStr">
        <is>
          <t>FOCAL 2020 HNB027 → NB-03 (6FO số 4) (6FO)</t>
        </is>
      </c>
      <c r="D141" s="4" t="n">
        <v>1</v>
      </c>
      <c r="E141" s="4" t="inlineStr">
        <is>
          <t>C</t>
        </is>
      </c>
      <c r="F141" s="4" t="inlineStr">
        <is>
          <t>HNB027</t>
        </is>
      </c>
      <c r="G141" s="9" t="n"/>
      <c r="H141" s="9" t="n"/>
    </row>
    <row r="142">
      <c r="A142" s="4" t="inlineStr">
        <is>
          <t>MX_NB-03</t>
        </is>
      </c>
      <c r="B142" s="4" t="inlineStr">
        <is>
          <t>C26</t>
        </is>
      </c>
      <c r="C142" s="4" t="inlineStr">
        <is>
          <t>FOCAL 2020 HNB027 → NB-03 (6FO số 4) (6FO)</t>
        </is>
      </c>
      <c r="D142" s="4" t="n">
        <v>2</v>
      </c>
      <c r="E142" s="4" t="inlineStr">
        <is>
          <t>C</t>
        </is>
      </c>
      <c r="F142" s="4" t="inlineStr">
        <is>
          <t>HNB027</t>
        </is>
      </c>
      <c r="G142" s="9" t="n"/>
      <c r="H142" s="9" t="n"/>
    </row>
    <row r="143">
      <c r="A143" s="4" t="inlineStr">
        <is>
          <t>MX_NB-03</t>
        </is>
      </c>
      <c r="B143" s="4" t="inlineStr">
        <is>
          <t>C14</t>
        </is>
      </c>
      <c r="C143" s="4" t="inlineStr">
        <is>
          <t>12FO NB-03 → NB-04 (12FO)</t>
        </is>
      </c>
      <c r="D143" s="4" t="n">
        <v>7</v>
      </c>
      <c r="E143" s="4" t="inlineStr">
        <is>
          <t>C</t>
        </is>
      </c>
      <c r="F143" s="4" t="inlineStr">
        <is>
          <t>HNB027</t>
        </is>
      </c>
      <c r="G143" s="9" t="n"/>
      <c r="H143" s="9" t="n"/>
    </row>
    <row r="144">
      <c r="A144" s="4" t="inlineStr">
        <is>
          <t>MX_NB-03</t>
        </is>
      </c>
      <c r="B144" s="4" t="inlineStr">
        <is>
          <t>C14</t>
        </is>
      </c>
      <c r="C144" s="4" t="inlineStr">
        <is>
          <t>12FO NB-03 → NB-04 (12FO)</t>
        </is>
      </c>
      <c r="D144" s="4" t="n">
        <v>8</v>
      </c>
      <c r="E144" s="4" t="inlineStr">
        <is>
          <t>C</t>
        </is>
      </c>
      <c r="F144" s="4" t="inlineStr">
        <is>
          <t>HNB027</t>
        </is>
      </c>
      <c r="G144" s="9" t="n"/>
      <c r="H144" s="9" t="n"/>
    </row>
    <row r="145">
      <c r="A145" s="4" t="inlineStr">
        <is>
          <t>MX_NB-04</t>
        </is>
      </c>
      <c r="B145" s="4" t="inlineStr">
        <is>
          <t>C14</t>
        </is>
      </c>
      <c r="C145" s="4" t="inlineStr">
        <is>
          <t>12FO NB-03 → NB-04 (12FO)</t>
        </is>
      </c>
      <c r="D145" s="4" t="n">
        <v>3</v>
      </c>
      <c r="E145" s="4" t="inlineStr">
        <is>
          <t>A</t>
        </is>
      </c>
      <c r="F145" s="4" t="inlineStr">
        <is>
          <t>HNB048</t>
        </is>
      </c>
      <c r="G145" s="9" t="n"/>
      <c r="H145" s="9" t="n"/>
    </row>
    <row r="146">
      <c r="A146" s="4" t="inlineStr">
        <is>
          <t>MX_NB-04</t>
        </is>
      </c>
      <c r="B146" s="4" t="inlineStr">
        <is>
          <t>C14</t>
        </is>
      </c>
      <c r="C146" s="4" t="inlineStr">
        <is>
          <t>12FO NB-03 → NB-04 (12FO)</t>
        </is>
      </c>
      <c r="D146" s="4" t="n">
        <v>4</v>
      </c>
      <c r="E146" s="4" t="inlineStr">
        <is>
          <t>A</t>
        </is>
      </c>
      <c r="F146" s="4" t="inlineStr">
        <is>
          <t>HNB048</t>
        </is>
      </c>
      <c r="G146" s="9" t="n"/>
      <c r="H146" s="9" t="n"/>
    </row>
    <row r="147">
      <c r="A147" s="4" t="inlineStr">
        <is>
          <t>MX_NB-04</t>
        </is>
      </c>
      <c r="B147" s="4" t="inlineStr">
        <is>
          <t>C15</t>
        </is>
      </c>
      <c r="C147" s="4" t="inlineStr">
        <is>
          <t>12FO NB-04 → MX thẳng HTP (12FO)</t>
        </is>
      </c>
      <c r="D147" s="4" t="n">
        <v>3</v>
      </c>
      <c r="E147" s="4" t="inlineStr">
        <is>
          <t>A</t>
        </is>
      </c>
      <c r="F147" s="4" t="inlineStr">
        <is>
          <t>HNB048</t>
        </is>
      </c>
      <c r="G147" s="9" t="n"/>
      <c r="H147" s="9" t="n"/>
    </row>
    <row r="148">
      <c r="A148" s="4" t="inlineStr">
        <is>
          <t>MX_NB-04</t>
        </is>
      </c>
      <c r="B148" s="4" t="inlineStr">
        <is>
          <t>C15</t>
        </is>
      </c>
      <c r="C148" s="4" t="inlineStr">
        <is>
          <t>12FO NB-04 → MX thẳng HTP (12FO)</t>
        </is>
      </c>
      <c r="D148" s="4" t="n">
        <v>4</v>
      </c>
      <c r="E148" s="4" t="inlineStr">
        <is>
          <t>A</t>
        </is>
      </c>
      <c r="F148" s="4" t="inlineStr">
        <is>
          <t>HNB048</t>
        </is>
      </c>
      <c r="G148" s="9" t="n"/>
      <c r="H148" s="9" t="n"/>
    </row>
    <row r="149">
      <c r="A149" s="4" t="inlineStr">
        <is>
          <t>MX_NB-04</t>
        </is>
      </c>
      <c r="B149" s="4" t="inlineStr">
        <is>
          <t>C14</t>
        </is>
      </c>
      <c r="C149" s="4" t="inlineStr">
        <is>
          <t>12FO NB-03 → NB-04 (12FO)</t>
        </is>
      </c>
      <c r="D149" s="4" t="n">
        <v>1</v>
      </c>
      <c r="E149" s="4" t="inlineStr">
        <is>
          <t>B</t>
        </is>
      </c>
      <c r="F149" s="4" t="inlineStr">
        <is>
          <t>HNB091</t>
        </is>
      </c>
      <c r="G149" s="9" t="n"/>
      <c r="H149" s="9" t="n"/>
    </row>
    <row r="150">
      <c r="A150" s="4" t="inlineStr">
        <is>
          <t>MX_NB-04</t>
        </is>
      </c>
      <c r="B150" s="4" t="inlineStr">
        <is>
          <t>C14</t>
        </is>
      </c>
      <c r="C150" s="4" t="inlineStr">
        <is>
          <t>12FO NB-03 → NB-04 (12FO)</t>
        </is>
      </c>
      <c r="D150" s="4" t="n">
        <v>2</v>
      </c>
      <c r="E150" s="4" t="inlineStr">
        <is>
          <t>B</t>
        </is>
      </c>
      <c r="F150" s="4" t="inlineStr">
        <is>
          <t>HNB091</t>
        </is>
      </c>
      <c r="G150" s="9" t="n"/>
      <c r="H150" s="9" t="n"/>
    </row>
    <row r="151">
      <c r="A151" s="4" t="inlineStr">
        <is>
          <t>MX_NB-04</t>
        </is>
      </c>
      <c r="B151" s="4" t="inlineStr">
        <is>
          <t>C15</t>
        </is>
      </c>
      <c r="C151" s="4" t="inlineStr">
        <is>
          <t>12FO NB-04 → MX thẳng HTP (12FO)</t>
        </is>
      </c>
      <c r="D151" s="4" t="n">
        <v>1</v>
      </c>
      <c r="E151" s="4" t="inlineStr">
        <is>
          <t>B</t>
        </is>
      </c>
      <c r="F151" s="4" t="inlineStr">
        <is>
          <t>HNB091</t>
        </is>
      </c>
      <c r="G151" s="9" t="n"/>
      <c r="H151" s="9" t="n"/>
    </row>
    <row r="152">
      <c r="A152" s="4" t="inlineStr">
        <is>
          <t>MX_NB-04</t>
        </is>
      </c>
      <c r="B152" s="4" t="inlineStr">
        <is>
          <t>C15</t>
        </is>
      </c>
      <c r="C152" s="4" t="inlineStr">
        <is>
          <t>12FO NB-04 → MX thẳng HTP (12FO)</t>
        </is>
      </c>
      <c r="D152" s="4" t="n">
        <v>2</v>
      </c>
      <c r="E152" s="4" t="inlineStr">
        <is>
          <t>B</t>
        </is>
      </c>
      <c r="F152" s="4" t="inlineStr">
        <is>
          <t>HNB091</t>
        </is>
      </c>
      <c r="G152" s="9" t="n"/>
      <c r="H152" s="9" t="n"/>
    </row>
    <row r="153">
      <c r="A153" s="4" t="inlineStr">
        <is>
          <t>MX_NB-04</t>
        </is>
      </c>
      <c r="B153" s="4" t="inlineStr">
        <is>
          <t>C14</t>
        </is>
      </c>
      <c r="C153" s="4" t="inlineStr">
        <is>
          <t>12FO NB-03 → NB-04 (12FO)</t>
        </is>
      </c>
      <c r="D153" s="4" t="n">
        <v>7</v>
      </c>
      <c r="E153" s="4" t="inlineStr">
        <is>
          <t>C</t>
        </is>
      </c>
      <c r="F153" s="4" t="inlineStr">
        <is>
          <t>HNB027</t>
        </is>
      </c>
      <c r="G153" s="9" t="n"/>
      <c r="H153" s="9" t="n"/>
    </row>
    <row r="154">
      <c r="A154" s="4" t="inlineStr">
        <is>
          <t>MX_NB-04</t>
        </is>
      </c>
      <c r="B154" s="4" t="inlineStr">
        <is>
          <t>C14</t>
        </is>
      </c>
      <c r="C154" s="4" t="inlineStr">
        <is>
          <t>12FO NB-03 → NB-04 (12FO)</t>
        </is>
      </c>
      <c r="D154" s="4" t="n">
        <v>8</v>
      </c>
      <c r="E154" s="4" t="inlineStr">
        <is>
          <t>C</t>
        </is>
      </c>
      <c r="F154" s="4" t="inlineStr">
        <is>
          <t>HNB027</t>
        </is>
      </c>
      <c r="G154" s="9" t="n"/>
      <c r="H154" s="9" t="n"/>
    </row>
    <row r="155">
      <c r="A155" s="4" t="inlineStr">
        <is>
          <t>MX_NB-04</t>
        </is>
      </c>
      <c r="B155" s="4" t="inlineStr">
        <is>
          <t>C27</t>
        </is>
      </c>
      <c r="C155" s="4" t="inlineStr">
        <is>
          <t>FOCAL 2020 NB-04 → HNB031 (6FO) (6FO)</t>
        </is>
      </c>
      <c r="D155" s="4" t="n">
        <v>1</v>
      </c>
      <c r="E155" s="4" t="inlineStr">
        <is>
          <t>C</t>
        </is>
      </c>
      <c r="F155" s="4" t="inlineStr">
        <is>
          <t>HNB027</t>
        </is>
      </c>
      <c r="G155" s="9" t="n"/>
      <c r="H155" s="9" t="n"/>
    </row>
    <row r="156">
      <c r="A156" s="4" t="inlineStr">
        <is>
          <t>MX_NB-04</t>
        </is>
      </c>
      <c r="B156" s="4" t="inlineStr">
        <is>
          <t>C27</t>
        </is>
      </c>
      <c r="C156" s="4" t="inlineStr">
        <is>
          <t>FOCAL 2020 NB-04 → HNB031 (6FO) (6FO)</t>
        </is>
      </c>
      <c r="D156" s="4" t="n">
        <v>2</v>
      </c>
      <c r="E156" s="4" t="inlineStr">
        <is>
          <t>C</t>
        </is>
      </c>
      <c r="F156" s="4" t="inlineStr">
        <is>
          <t>HNB027</t>
        </is>
      </c>
      <c r="G156" s="9" t="n"/>
      <c r="H156" s="9" t="n"/>
    </row>
    <row r="157">
      <c r="A157" s="4" t="inlineStr">
        <is>
          <t>MX_NB-04</t>
        </is>
      </c>
      <c r="B157" s="4" t="inlineStr">
        <is>
          <t>C29</t>
        </is>
      </c>
      <c r="C157" s="4" t="inlineStr">
        <is>
          <t>FOCAL 2020 HNB020 → NB-04 (6FO) (6FO)</t>
        </is>
      </c>
      <c r="D157" s="4" t="n">
        <v>1</v>
      </c>
      <c r="E157" s="4" t="inlineStr">
        <is>
          <t>D</t>
        </is>
      </c>
      <c r="F157" s="4" t="inlineStr">
        <is>
          <t>HNB020</t>
        </is>
      </c>
      <c r="G157" s="9" t="n"/>
      <c r="H157" s="9" t="n"/>
    </row>
    <row r="158">
      <c r="A158" s="4" t="inlineStr">
        <is>
          <t>MX_NB-04</t>
        </is>
      </c>
      <c r="B158" s="4" t="inlineStr">
        <is>
          <t>C29</t>
        </is>
      </c>
      <c r="C158" s="4" t="inlineStr">
        <is>
          <t>FOCAL 2020 HNB020 → NB-04 (6FO) (6FO)</t>
        </is>
      </c>
      <c r="D158" s="4" t="n">
        <v>2</v>
      </c>
      <c r="E158" s="4" t="inlineStr">
        <is>
          <t>D</t>
        </is>
      </c>
      <c r="F158" s="4" t="inlineStr">
        <is>
          <t>HNB020</t>
        </is>
      </c>
      <c r="G158" s="9" t="n"/>
      <c r="H158" s="9" t="n"/>
    </row>
    <row r="159">
      <c r="A159" s="4" t="inlineStr">
        <is>
          <t>MX_NB-04</t>
        </is>
      </c>
      <c r="B159" s="4" t="inlineStr">
        <is>
          <t>C15</t>
        </is>
      </c>
      <c r="C159" s="4" t="inlineStr">
        <is>
          <t>12FO NB-04 → MX thẳng HTP (12FO)</t>
        </is>
      </c>
      <c r="D159" s="4" t="n">
        <v>7</v>
      </c>
      <c r="E159" s="4" t="inlineStr">
        <is>
          <t>D</t>
        </is>
      </c>
      <c r="F159" s="4" t="inlineStr">
        <is>
          <t>HNB020</t>
        </is>
      </c>
      <c r="G159" s="9" t="n"/>
      <c r="H159" s="9" t="n"/>
    </row>
    <row r="160">
      <c r="A160" s="4" t="inlineStr">
        <is>
          <t>MX_NB-04</t>
        </is>
      </c>
      <c r="B160" s="4" t="inlineStr">
        <is>
          <t>C15</t>
        </is>
      </c>
      <c r="C160" s="4" t="inlineStr">
        <is>
          <t>12FO NB-04 → MX thẳng HTP (12FO)</t>
        </is>
      </c>
      <c r="D160" s="4" t="n">
        <v>8</v>
      </c>
      <c r="E160" s="4" t="inlineStr">
        <is>
          <t>D</t>
        </is>
      </c>
      <c r="F160" s="4" t="inlineStr">
        <is>
          <t>HNB020</t>
        </is>
      </c>
      <c r="G160" s="9" t="n"/>
      <c r="H160" s="9" t="n"/>
    </row>
    <row r="161">
      <c r="A161" s="4" t="inlineStr">
        <is>
          <t>MX_NVT_01</t>
        </is>
      </c>
      <c r="B161" s="4" t="inlineStr">
        <is>
          <t>C02</t>
        </is>
      </c>
      <c r="C161" s="4" t="inlineStr">
        <is>
          <t>SACOM 8/2014 (12FO)</t>
        </is>
      </c>
      <c r="D161" s="4" t="n">
        <v>3</v>
      </c>
      <c r="E161" s="4" t="inlineStr">
        <is>
          <t>A</t>
        </is>
      </c>
      <c r="F161" s="4" t="inlineStr">
        <is>
          <t>HNB059</t>
        </is>
      </c>
      <c r="G161" s="9" t="n"/>
      <c r="H161" s="9" t="n"/>
    </row>
    <row r="162">
      <c r="A162" s="4" t="inlineStr">
        <is>
          <t>MX_NVT_01</t>
        </is>
      </c>
      <c r="B162" s="4" t="inlineStr">
        <is>
          <t>C02</t>
        </is>
      </c>
      <c r="C162" s="4" t="inlineStr">
        <is>
          <t>SACOM 8/2014 (12FO)</t>
        </is>
      </c>
      <c r="D162" s="4" t="n">
        <v>4</v>
      </c>
      <c r="E162" s="4" t="inlineStr">
        <is>
          <t>A</t>
        </is>
      </c>
      <c r="F162" s="4" t="inlineStr">
        <is>
          <t>HNB059</t>
        </is>
      </c>
      <c r="G162" s="9" t="n"/>
      <c r="H162" s="9" t="n"/>
    </row>
    <row r="163">
      <c r="A163" s="4" t="inlineStr">
        <is>
          <t>MX_NVT_01</t>
        </is>
      </c>
      <c r="B163" s="4" t="inlineStr">
        <is>
          <t>C04</t>
        </is>
      </c>
      <c r="C163" s="4" t="inlineStr">
        <is>
          <t>FOCAL 9/2020 trục (gồm 175 m ngầm) (12FO)</t>
        </is>
      </c>
      <c r="D163" s="4" t="n">
        <v>3</v>
      </c>
      <c r="E163" s="4" t="inlineStr">
        <is>
          <t>A</t>
        </is>
      </c>
      <c r="F163" s="4" t="inlineStr">
        <is>
          <t>HNB059</t>
        </is>
      </c>
      <c r="G163" s="9" t="n"/>
      <c r="H163" s="9" t="n"/>
    </row>
    <row r="164">
      <c r="A164" s="4" t="inlineStr">
        <is>
          <t>MX_NVT_01</t>
        </is>
      </c>
      <c r="B164" s="4" t="inlineStr">
        <is>
          <t>C04</t>
        </is>
      </c>
      <c r="C164" s="4" t="inlineStr">
        <is>
          <t>FOCAL 9/2020 trục (gồm 175 m ngầm) (12FO)</t>
        </is>
      </c>
      <c r="D164" s="4" t="n">
        <v>4</v>
      </c>
      <c r="E164" s="4" t="inlineStr">
        <is>
          <t>A</t>
        </is>
      </c>
      <c r="F164" s="4" t="inlineStr">
        <is>
          <t>HNB059</t>
        </is>
      </c>
      <c r="G164" s="9" t="n"/>
      <c r="H164" s="9" t="n"/>
    </row>
    <row r="165">
      <c r="A165" s="4" t="inlineStr">
        <is>
          <t>MX_NVT_01</t>
        </is>
      </c>
      <c r="B165" s="4" t="inlineStr">
        <is>
          <t>C02</t>
        </is>
      </c>
      <c r="C165" s="4" t="inlineStr">
        <is>
          <t>SACOM 8/2014 (12FO)</t>
        </is>
      </c>
      <c r="D165" s="4" t="n">
        <v>1</v>
      </c>
      <c r="E165" s="4" t="inlineStr">
        <is>
          <t>B</t>
        </is>
      </c>
      <c r="F165" s="4" t="inlineStr">
        <is>
          <t>HNB054</t>
        </is>
      </c>
      <c r="G165" s="9" t="n"/>
      <c r="H165" s="9" t="n"/>
    </row>
    <row r="166">
      <c r="A166" s="4" t="inlineStr">
        <is>
          <t>MX_NVT_01</t>
        </is>
      </c>
      <c r="B166" s="4" t="inlineStr">
        <is>
          <t>C02</t>
        </is>
      </c>
      <c r="C166" s="4" t="inlineStr">
        <is>
          <t>SACOM 8/2014 (12FO)</t>
        </is>
      </c>
      <c r="D166" s="4" t="n">
        <v>2</v>
      </c>
      <c r="E166" s="4" t="inlineStr">
        <is>
          <t>B</t>
        </is>
      </c>
      <c r="F166" s="4" t="inlineStr">
        <is>
          <t>HNB054</t>
        </is>
      </c>
      <c r="G166" s="9" t="n"/>
      <c r="H166" s="9" t="n"/>
    </row>
    <row r="167">
      <c r="A167" s="4" t="inlineStr">
        <is>
          <t>MX_NVT_01</t>
        </is>
      </c>
      <c r="B167" s="4" t="inlineStr">
        <is>
          <t>C03</t>
        </is>
      </c>
      <c r="C167" s="4" t="inlineStr">
        <is>
          <t>FOCAL 9/2020 (vào HNB054) (12FO)</t>
        </is>
      </c>
      <c r="D167" s="4" t="n">
        <v>1</v>
      </c>
      <c r="E167" s="4" t="inlineStr">
        <is>
          <t>B</t>
        </is>
      </c>
      <c r="F167" s="4" t="inlineStr">
        <is>
          <t>HNB054</t>
        </is>
      </c>
      <c r="G167" s="9" t="n"/>
      <c r="H167" s="9" t="n"/>
    </row>
    <row r="168">
      <c r="A168" s="4" t="inlineStr">
        <is>
          <t>MX_NVT_01</t>
        </is>
      </c>
      <c r="B168" s="4" t="inlineStr">
        <is>
          <t>C03</t>
        </is>
      </c>
      <c r="C168" s="4" t="inlineStr">
        <is>
          <t>FOCAL 9/2020 (vào HNB054) (12FO)</t>
        </is>
      </c>
      <c r="D168" s="4" t="n">
        <v>2</v>
      </c>
      <c r="E168" s="4" t="inlineStr">
        <is>
          <t>B</t>
        </is>
      </c>
      <c r="F168" s="4" t="inlineStr">
        <is>
          <t>HNB054</t>
        </is>
      </c>
      <c r="G168" s="9" t="n"/>
      <c r="H168" s="9" t="n"/>
    </row>
    <row r="169">
      <c r="A169" s="4" t="inlineStr">
        <is>
          <t>MX_NVT_01</t>
        </is>
      </c>
      <c r="B169" s="4" t="inlineStr">
        <is>
          <t>C03</t>
        </is>
      </c>
      <c r="C169" s="4" t="inlineStr">
        <is>
          <t>FOCAL 9/2020 (vào HNB054) (12FO)</t>
        </is>
      </c>
      <c r="D169" s="4" t="n">
        <v>3</v>
      </c>
      <c r="E169" s="4" t="inlineStr">
        <is>
          <t>C</t>
        </is>
      </c>
      <c r="F169" s="4" t="inlineStr">
        <is>
          <t>HNB054</t>
        </is>
      </c>
      <c r="G169" s="9" t="n"/>
      <c r="H169" s="9" t="n"/>
    </row>
    <row r="170">
      <c r="A170" s="4" t="inlineStr">
        <is>
          <t>MX_NVT_01</t>
        </is>
      </c>
      <c r="B170" s="4" t="inlineStr">
        <is>
          <t>C03</t>
        </is>
      </c>
      <c r="C170" s="4" t="inlineStr">
        <is>
          <t>FOCAL 9/2020 (vào HNB054) (12FO)</t>
        </is>
      </c>
      <c r="D170" s="4" t="n">
        <v>4</v>
      </c>
      <c r="E170" s="4" t="inlineStr">
        <is>
          <t>C</t>
        </is>
      </c>
      <c r="F170" s="4" t="inlineStr">
        <is>
          <t>HNB054</t>
        </is>
      </c>
      <c r="G170" s="9" t="n"/>
      <c r="H170" s="9" t="n"/>
    </row>
    <row r="171">
      <c r="A171" s="4" t="inlineStr">
        <is>
          <t>MX_NVT_01</t>
        </is>
      </c>
      <c r="B171" s="4" t="inlineStr">
        <is>
          <t>C04</t>
        </is>
      </c>
      <c r="C171" s="4" t="inlineStr">
        <is>
          <t>FOCAL 9/2020 trục (gồm 175 m ngầm) (12FO)</t>
        </is>
      </c>
      <c r="D171" s="4" t="n">
        <v>1</v>
      </c>
      <c r="E171" s="4" t="inlineStr">
        <is>
          <t>C</t>
        </is>
      </c>
      <c r="F171" s="4" t="inlineStr">
        <is>
          <t>HNB054</t>
        </is>
      </c>
      <c r="G171" s="9" t="n"/>
      <c r="H171" s="9" t="n"/>
    </row>
    <row r="172">
      <c r="A172" s="4" t="inlineStr">
        <is>
          <t>MX_NVT_01</t>
        </is>
      </c>
      <c r="B172" s="4" t="inlineStr">
        <is>
          <t>C04</t>
        </is>
      </c>
      <c r="C172" s="4" t="inlineStr">
        <is>
          <t>FOCAL 9/2020 trục (gồm 175 m ngầm) (12FO)</t>
        </is>
      </c>
      <c r="D172" s="4" t="n">
        <v>2</v>
      </c>
      <c r="E172" s="4" t="inlineStr">
        <is>
          <t>C</t>
        </is>
      </c>
      <c r="F172" s="4" t="inlineStr">
        <is>
          <t>HNB054</t>
        </is>
      </c>
      <c r="G172" s="9" t="n"/>
      <c r="H172" s="9" t="n"/>
    </row>
    <row r="173">
      <c r="A173" s="4" t="inlineStr">
        <is>
          <t>MX_NVT_01</t>
        </is>
      </c>
      <c r="B173" s="4" t="inlineStr">
        <is>
          <t>C02</t>
        </is>
      </c>
      <c r="C173" s="4" t="inlineStr">
        <is>
          <t>SACOM 8/2014 (12FO)</t>
        </is>
      </c>
      <c r="D173" s="4" t="n">
        <v>11</v>
      </c>
      <c r="E173" s="4" t="inlineStr">
        <is>
          <t>D</t>
        </is>
      </c>
      <c r="F173" s="4" t="inlineStr">
        <is>
          <t>HNB005</t>
        </is>
      </c>
      <c r="G173" s="9" t="n"/>
      <c r="H173" s="9" t="n"/>
    </row>
    <row r="174">
      <c r="A174" s="4" t="inlineStr">
        <is>
          <t>MX_NVT_01</t>
        </is>
      </c>
      <c r="B174" s="4" t="inlineStr">
        <is>
          <t>C02</t>
        </is>
      </c>
      <c r="C174" s="4" t="inlineStr">
        <is>
          <t>SACOM 8/2014 (12FO)</t>
        </is>
      </c>
      <c r="D174" s="4" t="n">
        <v>12</v>
      </c>
      <c r="E174" s="4" t="inlineStr">
        <is>
          <t>D</t>
        </is>
      </c>
      <c r="F174" s="4" t="inlineStr">
        <is>
          <t>HNB005</t>
        </is>
      </c>
      <c r="G174" s="9" t="n"/>
      <c r="H174" s="9" t="n"/>
    </row>
    <row r="175">
      <c r="A175" s="4" t="inlineStr">
        <is>
          <t>MX_NVT_01</t>
        </is>
      </c>
      <c r="B175" s="4" t="inlineStr">
        <is>
          <t>C04</t>
        </is>
      </c>
      <c r="C175" s="4" t="inlineStr">
        <is>
          <t>FOCAL 9/2020 trục (gồm 175 m ngầm) (12FO)</t>
        </is>
      </c>
      <c r="D175" s="4" t="n">
        <v>11</v>
      </c>
      <c r="E175" s="4" t="inlineStr">
        <is>
          <t>D</t>
        </is>
      </c>
      <c r="F175" s="4" t="inlineStr">
        <is>
          <t>HNB005</t>
        </is>
      </c>
      <c r="G175" s="9" t="n"/>
      <c r="H175" s="9" t="n"/>
    </row>
    <row r="176">
      <c r="A176" s="4" t="inlineStr">
        <is>
          <t>MX_NVT_01</t>
        </is>
      </c>
      <c r="B176" s="4" t="inlineStr">
        <is>
          <t>C04</t>
        </is>
      </c>
      <c r="C176" s="4" t="inlineStr">
        <is>
          <t>FOCAL 9/2020 trục (gồm 175 m ngầm) (12FO)</t>
        </is>
      </c>
      <c r="D176" s="4" t="n">
        <v>12</v>
      </c>
      <c r="E176" s="4" t="inlineStr">
        <is>
          <t>D</t>
        </is>
      </c>
      <c r="F176" s="4" t="inlineStr">
        <is>
          <t>HNB005</t>
        </is>
      </c>
      <c r="G176" s="9" t="n"/>
      <c r="H176" s="9" t="n"/>
    </row>
    <row r="177">
      <c r="A177" s="4" t="inlineStr">
        <is>
          <t>MX_NVT_01</t>
        </is>
      </c>
      <c r="B177" s="4" t="inlineStr">
        <is>
          <t>C02</t>
        </is>
      </c>
      <c r="C177" s="4" t="inlineStr">
        <is>
          <t>SACOM 8/2014 (12FO)</t>
        </is>
      </c>
      <c r="D177" s="4" t="n">
        <v>9</v>
      </c>
      <c r="E177" s="4" t="inlineStr">
        <is>
          <t>E</t>
        </is>
      </c>
      <c r="F177" s="4" t="inlineStr">
        <is>
          <t>HNB066</t>
        </is>
      </c>
      <c r="G177" s="9" t="n"/>
      <c r="H177" s="9" t="n"/>
    </row>
    <row r="178">
      <c r="A178" s="4" t="inlineStr">
        <is>
          <t>MX_NVT_01</t>
        </is>
      </c>
      <c r="B178" s="4" t="inlineStr">
        <is>
          <t>C02</t>
        </is>
      </c>
      <c r="C178" s="4" t="inlineStr">
        <is>
          <t>SACOM 8/2014 (12FO)</t>
        </is>
      </c>
      <c r="D178" s="4" t="n">
        <v>10</v>
      </c>
      <c r="E178" s="4" t="inlineStr">
        <is>
          <t>E</t>
        </is>
      </c>
      <c r="F178" s="4" t="inlineStr">
        <is>
          <t>HNB066</t>
        </is>
      </c>
      <c r="G178" s="9" t="n"/>
      <c r="H178" s="9" t="n"/>
    </row>
    <row r="179">
      <c r="A179" s="4" t="inlineStr">
        <is>
          <t>MX_NVT_01</t>
        </is>
      </c>
      <c r="B179" s="4" t="inlineStr">
        <is>
          <t>C04</t>
        </is>
      </c>
      <c r="C179" s="4" t="inlineStr">
        <is>
          <t>FOCAL 9/2020 trục (gồm 175 m ngầm) (12FO)</t>
        </is>
      </c>
      <c r="D179" s="4" t="n">
        <v>9</v>
      </c>
      <c r="E179" s="4" t="inlineStr">
        <is>
          <t>E</t>
        </is>
      </c>
      <c r="F179" s="4" t="inlineStr">
        <is>
          <t>HNB066</t>
        </is>
      </c>
      <c r="G179" s="9" t="n"/>
      <c r="H179" s="9" t="n"/>
    </row>
    <row r="180">
      <c r="A180" s="4" t="inlineStr">
        <is>
          <t>MX_NVT_01</t>
        </is>
      </c>
      <c r="B180" s="4" t="inlineStr">
        <is>
          <t>C04</t>
        </is>
      </c>
      <c r="C180" s="4" t="inlineStr">
        <is>
          <t>FOCAL 9/2020 trục (gồm 175 m ngầm) (12FO)</t>
        </is>
      </c>
      <c r="D180" s="4" t="n">
        <v>10</v>
      </c>
      <c r="E180" s="4" t="inlineStr">
        <is>
          <t>E</t>
        </is>
      </c>
      <c r="F180" s="4" t="inlineStr">
        <is>
          <t>HNB066</t>
        </is>
      </c>
      <c r="G180" s="9" t="n"/>
      <c r="H180" s="9" t="n"/>
    </row>
    <row r="181">
      <c r="A181" s="4" t="inlineStr">
        <is>
          <t>MX_NVT_03A</t>
        </is>
      </c>
      <c r="B181" s="4" t="inlineStr">
        <is>
          <t>C06</t>
        </is>
      </c>
      <c r="C181" s="4" t="inlineStr">
        <is>
          <t>12FO NVT_02A → NVT_03A (12FO)</t>
        </is>
      </c>
      <c r="D181" s="4" t="n">
        <v>3</v>
      </c>
      <c r="E181" s="4" t="inlineStr">
        <is>
          <t>A</t>
        </is>
      </c>
      <c r="F181" s="4" t="inlineStr">
        <is>
          <t>HNB059</t>
        </is>
      </c>
      <c r="G181" s="9" t="n"/>
      <c r="H181" s="9" t="n"/>
    </row>
    <row r="182">
      <c r="A182" s="4" t="inlineStr">
        <is>
          <t>MX_NVT_03A</t>
        </is>
      </c>
      <c r="B182" s="4" t="inlineStr">
        <is>
          <t>C06</t>
        </is>
      </c>
      <c r="C182" s="4" t="inlineStr">
        <is>
          <t>12FO NVT_02A → NVT_03A (12FO)</t>
        </is>
      </c>
      <c r="D182" s="4" t="n">
        <v>4</v>
      </c>
      <c r="E182" s="4" t="inlineStr">
        <is>
          <t>A</t>
        </is>
      </c>
      <c r="F182" s="4" t="inlineStr">
        <is>
          <t>HNB059</t>
        </is>
      </c>
      <c r="G182" s="9" t="n"/>
      <c r="H182" s="9" t="n"/>
    </row>
    <row r="183">
      <c r="A183" s="4" t="inlineStr">
        <is>
          <t>MX_NVT_03A</t>
        </is>
      </c>
      <c r="B183" s="4" t="inlineStr">
        <is>
          <t>C18</t>
        </is>
      </c>
      <c r="C183" s="4" t="inlineStr">
        <is>
          <t>FOCAL 2020 vào HNB059 (6FO) (6FO)</t>
        </is>
      </c>
      <c r="D183" s="4" t="n">
        <v>1</v>
      </c>
      <c r="E183" s="4" t="inlineStr">
        <is>
          <t>A</t>
        </is>
      </c>
      <c r="F183" s="4" t="inlineStr">
        <is>
          <t>HNB059</t>
        </is>
      </c>
      <c r="G183" s="9" t="n"/>
      <c r="H183" s="9" t="n"/>
    </row>
    <row r="184">
      <c r="A184" s="4" t="inlineStr">
        <is>
          <t>MX_NVT_03A</t>
        </is>
      </c>
      <c r="B184" s="4" t="inlineStr">
        <is>
          <t>C18</t>
        </is>
      </c>
      <c r="C184" s="4" t="inlineStr">
        <is>
          <t>FOCAL 2020 vào HNB059 (6FO) (6FO)</t>
        </is>
      </c>
      <c r="D184" s="4" t="n">
        <v>2</v>
      </c>
      <c r="E184" s="4" t="inlineStr">
        <is>
          <t>A</t>
        </is>
      </c>
      <c r="F184" s="4" t="inlineStr">
        <is>
          <t>HNB059</t>
        </is>
      </c>
      <c r="G184" s="9" t="n"/>
      <c r="H184" s="9" t="n"/>
    </row>
    <row r="185">
      <c r="A185" s="4" t="inlineStr">
        <is>
          <t>MX_NVT_03A</t>
        </is>
      </c>
      <c r="B185" s="4" t="inlineStr">
        <is>
          <t>C06</t>
        </is>
      </c>
      <c r="C185" s="4" t="inlineStr">
        <is>
          <t>12FO NVT_02A → NVT_03A (12FO)</t>
        </is>
      </c>
      <c r="D185" s="4" t="n">
        <v>5</v>
      </c>
      <c r="E185" s="4" t="inlineStr">
        <is>
          <t>B</t>
        </is>
      </c>
      <c r="F185" s="4" t="inlineStr">
        <is>
          <t>HNB006</t>
        </is>
      </c>
      <c r="G185" s="9" t="n"/>
      <c r="H185" s="9" t="n"/>
    </row>
    <row r="186">
      <c r="A186" s="4" t="inlineStr">
        <is>
          <t>MX_NVT_03A</t>
        </is>
      </c>
      <c r="B186" s="4" t="inlineStr">
        <is>
          <t>C06</t>
        </is>
      </c>
      <c r="C186" s="4" t="inlineStr">
        <is>
          <t>12FO NVT_02A → NVT_03A (12FO)</t>
        </is>
      </c>
      <c r="D186" s="4" t="n">
        <v>2</v>
      </c>
      <c r="E186" s="4" t="inlineStr">
        <is>
          <t>B</t>
        </is>
      </c>
      <c r="F186" s="4" t="inlineStr">
        <is>
          <t>HNB006</t>
        </is>
      </c>
      <c r="G186" s="9" t="n"/>
      <c r="H186" s="9" t="n"/>
    </row>
    <row r="187">
      <c r="A187" s="4" t="inlineStr">
        <is>
          <t>MX_NVT_03A</t>
        </is>
      </c>
      <c r="B187" s="4" t="inlineStr">
        <is>
          <t>C07</t>
        </is>
      </c>
      <c r="C187" s="4" t="inlineStr">
        <is>
          <t>FOCAL 2020 vào HNB091 (6FO #1) (6FO)</t>
        </is>
      </c>
      <c r="D187" s="4" t="n">
        <v>1</v>
      </c>
      <c r="E187" s="4" t="inlineStr">
        <is>
          <t>B</t>
        </is>
      </c>
      <c r="F187" s="4" t="inlineStr">
        <is>
          <t>HNB006</t>
        </is>
      </c>
      <c r="G187" s="9" t="n"/>
      <c r="H187" s="9" t="n"/>
    </row>
    <row r="188">
      <c r="A188" s="4" t="inlineStr">
        <is>
          <t>MX_NVT_03A</t>
        </is>
      </c>
      <c r="B188" s="4" t="inlineStr">
        <is>
          <t>C07</t>
        </is>
      </c>
      <c r="C188" s="4" t="inlineStr">
        <is>
          <t>FOCAL 2020 vào HNB091 (6FO #1) (6FO)</t>
        </is>
      </c>
      <c r="D188" s="4" t="n">
        <v>2</v>
      </c>
      <c r="E188" s="4" t="inlineStr">
        <is>
          <t>B</t>
        </is>
      </c>
      <c r="F188" s="4" t="inlineStr">
        <is>
          <t>HNB006</t>
        </is>
      </c>
      <c r="G188" s="9" t="n"/>
      <c r="H188" s="9" t="n"/>
    </row>
    <row r="189">
      <c r="A189" s="4" t="inlineStr">
        <is>
          <t>MX_NVT_03B</t>
        </is>
      </c>
      <c r="B189" s="4" t="inlineStr">
        <is>
          <t>C21</t>
        </is>
      </c>
      <c r="C189" s="4" t="inlineStr">
        <is>
          <t>FOCAL 2020 HNB048 → MX_NVT_03B (6FO) (6FO)</t>
        </is>
      </c>
      <c r="D189" s="4" t="n">
        <v>1</v>
      </c>
      <c r="E189" s="4" t="inlineStr">
        <is>
          <t>A</t>
        </is>
      </c>
      <c r="F189" s="4" t="inlineStr">
        <is>
          <t>HNB048</t>
        </is>
      </c>
      <c r="G189" s="9" t="n"/>
      <c r="H189" s="9" t="n"/>
    </row>
    <row r="190">
      <c r="A190" s="4" t="inlineStr">
        <is>
          <t>MX_NVT_03B</t>
        </is>
      </c>
      <c r="B190" s="4" t="inlineStr">
        <is>
          <t>C21</t>
        </is>
      </c>
      <c r="C190" s="4" t="inlineStr">
        <is>
          <t>FOCAL 2020 HNB048 → MX_NVT_03B (6FO) (6FO)</t>
        </is>
      </c>
      <c r="D190" s="4" t="n">
        <v>2</v>
      </c>
      <c r="E190" s="4" t="inlineStr">
        <is>
          <t>A</t>
        </is>
      </c>
      <c r="F190" s="4" t="inlineStr">
        <is>
          <t>HNB048</t>
        </is>
      </c>
      <c r="G190" s="9" t="n"/>
      <c r="H190" s="9" t="n"/>
    </row>
    <row r="191">
      <c r="A191" s="4" t="inlineStr">
        <is>
          <t>MX_NVT_03B</t>
        </is>
      </c>
      <c r="B191" s="4" t="inlineStr">
        <is>
          <t>C09</t>
        </is>
      </c>
      <c r="C191" s="4" t="inlineStr">
        <is>
          <t>12FO NVT_03B → NVT_02B (12FO)</t>
        </is>
      </c>
      <c r="D191" s="4" t="n">
        <v>3</v>
      </c>
      <c r="E191" s="4" t="inlineStr">
        <is>
          <t>A</t>
        </is>
      </c>
      <c r="F191" s="4" t="inlineStr">
        <is>
          <t>HNB048</t>
        </is>
      </c>
      <c r="G191" s="9" t="n"/>
      <c r="H191" s="9" t="n"/>
    </row>
    <row r="192">
      <c r="A192" s="4" t="inlineStr">
        <is>
          <t>MX_NVT_03B</t>
        </is>
      </c>
      <c r="B192" s="4" t="inlineStr">
        <is>
          <t>C09</t>
        </is>
      </c>
      <c r="C192" s="4" t="inlineStr">
        <is>
          <t>12FO NVT_03B → NVT_02B (12FO)</t>
        </is>
      </c>
      <c r="D192" s="4" t="n">
        <v>4</v>
      </c>
      <c r="E192" s="4" t="inlineStr">
        <is>
          <t>A</t>
        </is>
      </c>
      <c r="F192" s="4" t="inlineStr">
        <is>
          <t>HNB048</t>
        </is>
      </c>
      <c r="G192" s="9" t="n"/>
      <c r="H192" s="9" t="n"/>
    </row>
    <row r="193">
      <c r="A193" s="4" t="inlineStr">
        <is>
          <t>MX_NVT_03B</t>
        </is>
      </c>
      <c r="B193" s="4" t="inlineStr">
        <is>
          <t>C08</t>
        </is>
      </c>
      <c r="C193" s="4" t="inlineStr">
        <is>
          <t>FOCAL 2020 ra HNB091 (6FO #2) (6FO)</t>
        </is>
      </c>
      <c r="D193" s="4" t="n">
        <v>1</v>
      </c>
      <c r="E193" s="4" t="inlineStr">
        <is>
          <t>B</t>
        </is>
      </c>
      <c r="F193" s="4" t="inlineStr">
        <is>
          <t>HNB091</t>
        </is>
      </c>
      <c r="G193" s="9" t="n"/>
      <c r="H193" s="9" t="n"/>
    </row>
    <row r="194">
      <c r="A194" s="4" t="inlineStr">
        <is>
          <t>MX_NVT_03B</t>
        </is>
      </c>
      <c r="B194" s="4" t="inlineStr">
        <is>
          <t>C08</t>
        </is>
      </c>
      <c r="C194" s="4" t="inlineStr">
        <is>
          <t>FOCAL 2020 ra HNB091 (6FO #2) (6FO)</t>
        </is>
      </c>
      <c r="D194" s="4" t="n">
        <v>2</v>
      </c>
      <c r="E194" s="4" t="inlineStr">
        <is>
          <t>B</t>
        </is>
      </c>
      <c r="F194" s="4" t="inlineStr">
        <is>
          <t>HNB091</t>
        </is>
      </c>
      <c r="G194" s="9" t="n"/>
      <c r="H194" s="9" t="n"/>
    </row>
    <row r="195">
      <c r="A195" s="4" t="inlineStr">
        <is>
          <t>MX_NVT_03B</t>
        </is>
      </c>
      <c r="B195" s="4" t="inlineStr">
        <is>
          <t>C09</t>
        </is>
      </c>
      <c r="C195" s="4" t="inlineStr">
        <is>
          <t>12FO NVT_03B → NVT_02B (12FO)</t>
        </is>
      </c>
      <c r="D195" s="4" t="n">
        <v>1</v>
      </c>
      <c r="E195" s="4" t="inlineStr">
        <is>
          <t>B</t>
        </is>
      </c>
      <c r="F195" s="4" t="inlineStr">
        <is>
          <t>HNB091</t>
        </is>
      </c>
      <c r="G195" s="9" t="n"/>
      <c r="H195" s="9" t="n"/>
    </row>
    <row r="196">
      <c r="A196" s="4" t="inlineStr">
        <is>
          <t>MX_NVT_03B</t>
        </is>
      </c>
      <c r="B196" s="4" t="inlineStr">
        <is>
          <t>C09</t>
        </is>
      </c>
      <c r="C196" s="4" t="inlineStr">
        <is>
          <t>12FO NVT_03B → NVT_02B (12FO)</t>
        </is>
      </c>
      <c r="D196" s="4" t="n">
        <v>2</v>
      </c>
      <c r="E196" s="4" t="inlineStr">
        <is>
          <t>B</t>
        </is>
      </c>
      <c r="F196" s="4" t="inlineStr">
        <is>
          <t>HNB091</t>
        </is>
      </c>
      <c r="G196" s="9" t="n"/>
      <c r="H196" s="9" t="n"/>
    </row>
  </sheetData>
  <autoFilter ref="A4:H196"/>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4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2" customWidth="1" min="3" max="3"/>
    <col width="5" customWidth="1" min="4" max="4"/>
    <col width="34" customWidth="1" min="5" max="5"/>
    <col width="6" customWidth="1" min="6" max="6"/>
    <col width="22" customWidth="1" min="7" max="7"/>
    <col width="64" customWidth="1" min="8" max="8"/>
    <col width="10" customWidth="1" min="9" max="9"/>
    <col width="12" customWidth="1" min="10" max="10"/>
    <col width="24" customWidth="1" min="11" max="11"/>
    <col width="70" customWidth="1" min="12" max="12"/>
  </cols>
  <sheetData>
    <row r="1">
      <c r="A1" s="1" t="inlineStr">
        <is>
          <t>Core tại từng trạm: đi đến đâu thực tế (phụ thuộc măng xông phối core, hàn hết hay không, sợi nối trực tiếp)</t>
        </is>
      </c>
    </row>
    <row r="2">
      <c r="A2" s="2" t="inlineStr">
        <is>
          <t>Suy từ đường đi đã lần + số mối hàn MX thẳng + nhãn sơ đồ MX. "Chưa ghi hàn" = chưa có dữ liệu hàn tại măng xông đó (có thể dự phòng hoặc không hàn). Cột "Cổng ODF" giả định cổng i ↔ core i (cần xác nhận).</t>
        </is>
      </c>
    </row>
    <row r="4" ht="32" customHeight="1">
      <c r="A4" s="3" t="inlineStr">
        <is>
          <t>Trạm</t>
        </is>
      </c>
      <c r="B4" s="3" t="inlineStr">
        <is>
          <t>Cáp</t>
        </is>
      </c>
      <c r="C4" s="3" t="inlineStr">
        <is>
          <t>Mã cáp</t>
        </is>
      </c>
      <c r="D4" s="3" t="inlineStr">
        <is>
          <t>FO</t>
        </is>
      </c>
      <c r="E4" s="3" t="inlineStr">
        <is>
          <t>Đầu kia</t>
        </is>
      </c>
      <c r="F4" s="3" t="inlineStr">
        <is>
          <t>Core</t>
        </is>
      </c>
      <c r="G4" s="3" t="inlineStr">
        <is>
          <t>Cổng ODF (giả định)</t>
        </is>
      </c>
      <c r="H4" s="3" t="inlineStr">
        <is>
          <t>Trạng thái</t>
        </is>
      </c>
      <c r="I4" s="3" t="inlineStr">
        <is>
          <t>Đích</t>
        </is>
      </c>
      <c r="J4" s="3" t="inlineStr">
        <is>
          <t>Link</t>
        </is>
      </c>
      <c r="K4" s="3" t="inlineStr">
        <is>
          <t>Nguồn dữ liệu</t>
        </is>
      </c>
      <c r="L4" s="3" t="inlineStr">
        <is>
          <t>Qua</t>
        </is>
      </c>
    </row>
    <row r="5">
      <c r="A5" s="4" t="inlineStr">
        <is>
          <t>HNB005</t>
        </is>
      </c>
      <c r="B5" s="4" t="inlineStr">
        <is>
          <t>C47</t>
        </is>
      </c>
      <c r="C5" s="4" t="inlineStr">
        <is>
          <t>VINA-OFC 2016</t>
        </is>
      </c>
      <c r="D5" s="4" t="n">
        <v>8</v>
      </c>
      <c r="E5" s="4" t="inlineStr">
        <is>
          <t>MX_HTP-02</t>
        </is>
      </c>
      <c r="F5" s="4" t="n">
        <v>1</v>
      </c>
      <c r="G5" s="4" t="inlineStr">
        <is>
          <t>1</t>
        </is>
      </c>
      <c r="H5" s="11" t="inlineStr">
        <is>
          <t>đang chạy link R7-01 → NBE12</t>
        </is>
      </c>
      <c r="I5" s="4" t="inlineStr">
        <is>
          <t>NBE12</t>
        </is>
      </c>
      <c r="J5" s="4" t="inlineStr">
        <is>
          <t>R7-01</t>
        </is>
      </c>
      <c r="K5" s="4" t="inlineStr">
        <is>
          <t>mô tả</t>
        </is>
      </c>
      <c r="L5" s="4" t="inlineStr">
        <is>
          <t>MX_HTP-02→MX_HTP-01→MX_LVL-03→MX_LVL-04→MX_LVL-05→MX_NVT_02B→MX_NVT_02A→MX_NVT_01→MX nhập đài Long Thới–NVT→VNPT Long Thới (ODF-02 NBE12)</t>
        </is>
      </c>
    </row>
    <row r="6">
      <c r="A6" s="4" t="inlineStr">
        <is>
          <t>HNB005</t>
        </is>
      </c>
      <c r="B6" s="4" t="inlineStr">
        <is>
          <t>C47</t>
        </is>
      </c>
      <c r="C6" s="4" t="inlineStr">
        <is>
          <t>VINA-OFC 2016</t>
        </is>
      </c>
      <c r="D6" s="4" t="n">
        <v>8</v>
      </c>
      <c r="E6" s="4" t="inlineStr">
        <is>
          <t>MX_HTP-02</t>
        </is>
      </c>
      <c r="F6" s="4" t="n">
        <v>2</v>
      </c>
      <c r="G6" s="4" t="inlineStr">
        <is>
          <t>2</t>
        </is>
      </c>
      <c r="H6" s="11" t="inlineStr">
        <is>
          <t>đang chạy link R7-01 → NBE12</t>
        </is>
      </c>
      <c r="I6" s="4" t="inlineStr">
        <is>
          <t>NBE12</t>
        </is>
      </c>
      <c r="J6" s="4" t="inlineStr">
        <is>
          <t>R7-01</t>
        </is>
      </c>
      <c r="K6" s="4" t="inlineStr">
        <is>
          <t>mô tả</t>
        </is>
      </c>
      <c r="L6" s="4" t="inlineStr">
        <is>
          <t>MX_HTP-02→MX_HTP-01→MX_LVL-03→MX_LVL-04→MX_LVL-05→MX_NVT_02B→MX_NVT_02A→MX_NVT_01→MX nhập đài Long Thới–NVT→VNPT Long Thới (ODF-02 NBE12)</t>
        </is>
      </c>
    </row>
    <row r="7">
      <c r="A7" s="4" t="inlineStr">
        <is>
          <t>HNB005</t>
        </is>
      </c>
      <c r="B7" s="4" t="inlineStr">
        <is>
          <t>C47</t>
        </is>
      </c>
      <c r="C7" s="4" t="inlineStr">
        <is>
          <t>VINA-OFC 2016</t>
        </is>
      </c>
      <c r="D7" s="4" t="n">
        <v>8</v>
      </c>
      <c r="E7" s="4" t="inlineStr">
        <is>
          <t>MX_HTP-02</t>
        </is>
      </c>
      <c r="F7" s="4" t="n">
        <v>3</v>
      </c>
      <c r="G7" s="4" t="inlineStr">
        <is>
          <t>3</t>
        </is>
      </c>
      <c r="H7" s="12" t="inlineStr">
        <is>
          <t>chưa ghi hàn tại MX_HTP-02 (dự phòng / chưa rõ / không hàn)</t>
        </is>
      </c>
      <c r="I7" s="4" t="inlineStr"/>
      <c r="J7" s="4" t="inlineStr"/>
      <c r="K7" s="4" t="inlineStr"/>
      <c r="L7" s="4" t="inlineStr">
        <is>
          <t>MX_HTP-02</t>
        </is>
      </c>
    </row>
    <row r="8">
      <c r="A8" s="4" t="inlineStr">
        <is>
          <t>HNB005</t>
        </is>
      </c>
      <c r="B8" s="4" t="inlineStr">
        <is>
          <t>C47</t>
        </is>
      </c>
      <c r="C8" s="4" t="inlineStr">
        <is>
          <t>VINA-OFC 2016</t>
        </is>
      </c>
      <c r="D8" s="4" t="n">
        <v>8</v>
      </c>
      <c r="E8" s="4" t="inlineStr">
        <is>
          <t>MX_HTP-02</t>
        </is>
      </c>
      <c r="F8" s="4" t="n">
        <v>4</v>
      </c>
      <c r="G8" s="4" t="inlineStr">
        <is>
          <t>4</t>
        </is>
      </c>
      <c r="H8" s="12" t="inlineStr">
        <is>
          <t>chưa ghi hàn tại MX_HTP-02 (dự phòng / chưa rõ / không hàn)</t>
        </is>
      </c>
      <c r="I8" s="4" t="inlineStr"/>
      <c r="J8" s="4" t="inlineStr"/>
      <c r="K8" s="4" t="inlineStr"/>
      <c r="L8" s="4" t="inlineStr">
        <is>
          <t>MX_HTP-02</t>
        </is>
      </c>
    </row>
    <row r="9">
      <c r="A9" s="4" t="inlineStr">
        <is>
          <t>HNB005</t>
        </is>
      </c>
      <c r="B9" s="4" t="inlineStr">
        <is>
          <t>C47</t>
        </is>
      </c>
      <c r="C9" s="4" t="inlineStr">
        <is>
          <t>VINA-OFC 2016</t>
        </is>
      </c>
      <c r="D9" s="4" t="n">
        <v>8</v>
      </c>
      <c r="E9" s="4" t="inlineStr">
        <is>
          <t>MX_HTP-02</t>
        </is>
      </c>
      <c r="F9" s="4" t="n">
        <v>5</v>
      </c>
      <c r="G9" s="4" t="inlineStr">
        <is>
          <t>5</t>
        </is>
      </c>
      <c r="H9" s="12" t="inlineStr">
        <is>
          <t>chưa ghi hàn tại MX_HTP-02 (dự phòng / chưa rõ / không hàn)</t>
        </is>
      </c>
      <c r="I9" s="4" t="inlineStr"/>
      <c r="J9" s="4" t="inlineStr"/>
      <c r="K9" s="4" t="inlineStr"/>
      <c r="L9" s="4" t="inlineStr">
        <is>
          <t>MX_HTP-02</t>
        </is>
      </c>
    </row>
    <row r="10">
      <c r="A10" s="4" t="inlineStr">
        <is>
          <t>HNB005</t>
        </is>
      </c>
      <c r="B10" s="4" t="inlineStr">
        <is>
          <t>C47</t>
        </is>
      </c>
      <c r="C10" s="4" t="inlineStr">
        <is>
          <t>VINA-OFC 2016</t>
        </is>
      </c>
      <c r="D10" s="4" t="n">
        <v>8</v>
      </c>
      <c r="E10" s="4" t="inlineStr">
        <is>
          <t>MX_HTP-02</t>
        </is>
      </c>
      <c r="F10" s="4" t="n">
        <v>6</v>
      </c>
      <c r="G10" s="4" t="inlineStr">
        <is>
          <t>6</t>
        </is>
      </c>
      <c r="H10" s="12" t="inlineStr">
        <is>
          <t>chưa ghi hàn tại MX_HTP-02 (dự phòng / chưa rõ / không hàn)</t>
        </is>
      </c>
      <c r="I10" s="4" t="inlineStr"/>
      <c r="J10" s="4" t="inlineStr"/>
      <c r="K10" s="4" t="inlineStr"/>
      <c r="L10" s="4" t="inlineStr">
        <is>
          <t>MX_HTP-02</t>
        </is>
      </c>
    </row>
    <row r="11">
      <c r="A11" s="4" t="inlineStr">
        <is>
          <t>HNB005</t>
        </is>
      </c>
      <c r="B11" s="4" t="inlineStr">
        <is>
          <t>C47</t>
        </is>
      </c>
      <c r="C11" s="4" t="inlineStr">
        <is>
          <t>VINA-OFC 2016</t>
        </is>
      </c>
      <c r="D11" s="4" t="n">
        <v>8</v>
      </c>
      <c r="E11" s="4" t="inlineStr">
        <is>
          <t>MX_HTP-02</t>
        </is>
      </c>
      <c r="F11" s="4" t="n">
        <v>7</v>
      </c>
      <c r="G11" s="4" t="inlineStr">
        <is>
          <t>không có cổng ODF (ODF chỉ có 6 cổng hướng này)</t>
        </is>
      </c>
      <c r="H11" s="12" t="inlineStr">
        <is>
          <t>chưa ghi hàn tại MX_HTP-02 (dự phòng / chưa rõ / không hàn)</t>
        </is>
      </c>
      <c r="I11" s="4" t="inlineStr"/>
      <c r="J11" s="4" t="inlineStr"/>
      <c r="K11" s="4" t="inlineStr"/>
      <c r="L11" s="4" t="inlineStr">
        <is>
          <t>MX_HTP-02</t>
        </is>
      </c>
    </row>
    <row r="12">
      <c r="A12" s="4" t="inlineStr">
        <is>
          <t>HNB005</t>
        </is>
      </c>
      <c r="B12" s="4" t="inlineStr">
        <is>
          <t>C47</t>
        </is>
      </c>
      <c r="C12" s="4" t="inlineStr">
        <is>
          <t>VINA-OFC 2016</t>
        </is>
      </c>
      <c r="D12" s="4" t="n">
        <v>8</v>
      </c>
      <c r="E12" s="4" t="inlineStr">
        <is>
          <t>MX_HTP-02</t>
        </is>
      </c>
      <c r="F12" s="4" t="n">
        <v>8</v>
      </c>
      <c r="G12" s="4" t="inlineStr">
        <is>
          <t>không có cổng ODF (ODF chỉ có 6 cổng hướng này)</t>
        </is>
      </c>
      <c r="H12" s="12" t="inlineStr">
        <is>
          <t>chưa ghi hàn tại MX_HTP-02 (dự phòng / chưa rõ / không hàn)</t>
        </is>
      </c>
      <c r="I12" s="4" t="inlineStr"/>
      <c r="J12" s="4" t="inlineStr"/>
      <c r="K12" s="4" t="inlineStr"/>
      <c r="L12" s="4" t="inlineStr">
        <is>
          <t>MX_HTP-02</t>
        </is>
      </c>
    </row>
    <row r="13">
      <c r="A13" s="4" t="inlineStr">
        <is>
          <t>HNB005</t>
        </is>
      </c>
      <c r="B13" s="4" t="inlineStr">
        <is>
          <t>C62</t>
        </is>
      </c>
      <c r="C13" s="4" t="inlineStr">
        <is>
          <t>POSTEF 1/2019</t>
        </is>
      </c>
      <c r="D13" s="4" t="n">
        <v>8</v>
      </c>
      <c r="E13" s="4" t="inlineStr">
        <is>
          <t>HNB062</t>
        </is>
      </c>
      <c r="F13" s="4" t="n">
        <v>1</v>
      </c>
      <c r="G13" s="4" t="inlineStr">
        <is>
          <t>1</t>
        </is>
      </c>
      <c r="H13" s="13" t="inlineStr">
        <is>
          <t>sợi nối trực tiếp → HNB062 (chưa rõ đã hàn pigtail ở ODF hai đầu)</t>
        </is>
      </c>
      <c r="I13" s="4" t="inlineStr">
        <is>
          <t>HNB062</t>
        </is>
      </c>
      <c r="J13" s="4" t="inlineStr"/>
      <c r="K13" s="4" t="inlineStr"/>
      <c r="L13" s="4" t="inlineStr">
        <is>
          <t>HNB062</t>
        </is>
      </c>
    </row>
    <row r="14">
      <c r="A14" s="4" t="inlineStr">
        <is>
          <t>HNB005</t>
        </is>
      </c>
      <c r="B14" s="4" t="inlineStr">
        <is>
          <t>C62</t>
        </is>
      </c>
      <c r="C14" s="4" t="inlineStr">
        <is>
          <t>POSTEF 1/2019</t>
        </is>
      </c>
      <c r="D14" s="4" t="n">
        <v>8</v>
      </c>
      <c r="E14" s="4" t="inlineStr">
        <is>
          <t>HNB062</t>
        </is>
      </c>
      <c r="F14" s="4" t="n">
        <v>2</v>
      </c>
      <c r="G14" s="4" t="inlineStr">
        <is>
          <t>2</t>
        </is>
      </c>
      <c r="H14" s="13" t="inlineStr">
        <is>
          <t>sợi nối trực tiếp → HNB062 (chưa rõ đã hàn pigtail ở ODF hai đầu)</t>
        </is>
      </c>
      <c r="I14" s="4" t="inlineStr">
        <is>
          <t>HNB062</t>
        </is>
      </c>
      <c r="J14" s="4" t="inlineStr"/>
      <c r="K14" s="4" t="inlineStr"/>
      <c r="L14" s="4" t="inlineStr">
        <is>
          <t>HNB062</t>
        </is>
      </c>
    </row>
    <row r="15">
      <c r="A15" s="4" t="inlineStr">
        <is>
          <t>HNB005</t>
        </is>
      </c>
      <c r="B15" s="4" t="inlineStr">
        <is>
          <t>C62</t>
        </is>
      </c>
      <c r="C15" s="4" t="inlineStr">
        <is>
          <t>POSTEF 1/2019</t>
        </is>
      </c>
      <c r="D15" s="4" t="n">
        <v>8</v>
      </c>
      <c r="E15" s="4" t="inlineStr">
        <is>
          <t>HNB062</t>
        </is>
      </c>
      <c r="F15" s="4" t="n">
        <v>3</v>
      </c>
      <c r="G15" s="4" t="inlineStr">
        <is>
          <t>3</t>
        </is>
      </c>
      <c r="H15" s="13" t="inlineStr">
        <is>
          <t>sợi nối trực tiếp → HNB062 (chưa rõ đã hàn pigtail ở ODF hai đầu)</t>
        </is>
      </c>
      <c r="I15" s="4" t="inlineStr">
        <is>
          <t>HNB062</t>
        </is>
      </c>
      <c r="J15" s="4" t="inlineStr"/>
      <c r="K15" s="4" t="inlineStr"/>
      <c r="L15" s="4" t="inlineStr">
        <is>
          <t>HNB062</t>
        </is>
      </c>
    </row>
    <row r="16">
      <c r="A16" s="4" t="inlineStr">
        <is>
          <t>HNB005</t>
        </is>
      </c>
      <c r="B16" s="4" t="inlineStr">
        <is>
          <t>C62</t>
        </is>
      </c>
      <c r="C16" s="4" t="inlineStr">
        <is>
          <t>POSTEF 1/2019</t>
        </is>
      </c>
      <c r="D16" s="4" t="n">
        <v>8</v>
      </c>
      <c r="E16" s="4" t="inlineStr">
        <is>
          <t>HNB062</t>
        </is>
      </c>
      <c r="F16" s="4" t="n">
        <v>4</v>
      </c>
      <c r="G16" s="4" t="inlineStr">
        <is>
          <t>4</t>
        </is>
      </c>
      <c r="H16" s="13" t="inlineStr">
        <is>
          <t>sợi nối trực tiếp → HNB062 (chưa rõ đã hàn pigtail ở ODF hai đầu)</t>
        </is>
      </c>
      <c r="I16" s="4" t="inlineStr">
        <is>
          <t>HNB062</t>
        </is>
      </c>
      <c r="J16" s="4" t="inlineStr"/>
      <c r="K16" s="4" t="inlineStr"/>
      <c r="L16" s="4" t="inlineStr">
        <is>
          <t>HNB062</t>
        </is>
      </c>
    </row>
    <row r="17">
      <c r="A17" s="4" t="inlineStr">
        <is>
          <t>HNB005</t>
        </is>
      </c>
      <c r="B17" s="4" t="inlineStr">
        <is>
          <t>C62</t>
        </is>
      </c>
      <c r="C17" s="4" t="inlineStr">
        <is>
          <t>POSTEF 1/2019</t>
        </is>
      </c>
      <c r="D17" s="4" t="n">
        <v>8</v>
      </c>
      <c r="E17" s="4" t="inlineStr">
        <is>
          <t>HNB062</t>
        </is>
      </c>
      <c r="F17" s="4" t="n">
        <v>5</v>
      </c>
      <c r="G17" s="4" t="inlineStr">
        <is>
          <t>5</t>
        </is>
      </c>
      <c r="H17" s="13" t="inlineStr">
        <is>
          <t>sợi nối trực tiếp → HNB062 (chưa rõ đã hàn pigtail ở ODF hai đầu)</t>
        </is>
      </c>
      <c r="I17" s="4" t="inlineStr">
        <is>
          <t>HNB062</t>
        </is>
      </c>
      <c r="J17" s="4" t="inlineStr"/>
      <c r="K17" s="4" t="inlineStr"/>
      <c r="L17" s="4" t="inlineStr">
        <is>
          <t>HNB062</t>
        </is>
      </c>
    </row>
    <row r="18">
      <c r="A18" s="4" t="inlineStr">
        <is>
          <t>HNB005</t>
        </is>
      </c>
      <c r="B18" s="4" t="inlineStr">
        <is>
          <t>C62</t>
        </is>
      </c>
      <c r="C18" s="4" t="inlineStr">
        <is>
          <t>POSTEF 1/2019</t>
        </is>
      </c>
      <c r="D18" s="4" t="n">
        <v>8</v>
      </c>
      <c r="E18" s="4" t="inlineStr">
        <is>
          <t>HNB062</t>
        </is>
      </c>
      <c r="F18" s="4" t="n">
        <v>6</v>
      </c>
      <c r="G18" s="4" t="inlineStr">
        <is>
          <t>6</t>
        </is>
      </c>
      <c r="H18" s="13" t="inlineStr">
        <is>
          <t>sợi nối trực tiếp → HNB062 (chưa rõ đã hàn pigtail ở ODF hai đầu)</t>
        </is>
      </c>
      <c r="I18" s="4" t="inlineStr">
        <is>
          <t>HNB062</t>
        </is>
      </c>
      <c r="J18" s="4" t="inlineStr"/>
      <c r="K18" s="4" t="inlineStr"/>
      <c r="L18" s="4" t="inlineStr">
        <is>
          <t>HNB062</t>
        </is>
      </c>
    </row>
    <row r="19">
      <c r="A19" s="4" t="inlineStr">
        <is>
          <t>HNB005</t>
        </is>
      </c>
      <c r="B19" s="4" t="inlineStr">
        <is>
          <t>C62</t>
        </is>
      </c>
      <c r="C19" s="4" t="inlineStr">
        <is>
          <t>POSTEF 1/2019</t>
        </is>
      </c>
      <c r="D19" s="4" t="n">
        <v>8</v>
      </c>
      <c r="E19" s="4" t="inlineStr">
        <is>
          <t>HNB062</t>
        </is>
      </c>
      <c r="F19" s="4" t="n">
        <v>7</v>
      </c>
      <c r="G19" s="4" t="inlineStr">
        <is>
          <t>không có cổng ODF (ODF chỉ có 6 cổng hướng này)</t>
        </is>
      </c>
      <c r="H19" s="13" t="inlineStr">
        <is>
          <t>sợi nối trực tiếp → HNB062 (chưa rõ đã hàn pigtail ở ODF hai đầu)</t>
        </is>
      </c>
      <c r="I19" s="4" t="inlineStr">
        <is>
          <t>HNB062</t>
        </is>
      </c>
      <c r="J19" s="4" t="inlineStr"/>
      <c r="K19" s="4" t="inlineStr"/>
      <c r="L19" s="4" t="inlineStr">
        <is>
          <t>HNB062</t>
        </is>
      </c>
    </row>
    <row r="20">
      <c r="A20" s="4" t="inlineStr">
        <is>
          <t>HNB005</t>
        </is>
      </c>
      <c r="B20" s="4" t="inlineStr">
        <is>
          <t>C62</t>
        </is>
      </c>
      <c r="C20" s="4" t="inlineStr">
        <is>
          <t>POSTEF 1/2019</t>
        </is>
      </c>
      <c r="D20" s="4" t="n">
        <v>8</v>
      </c>
      <c r="E20" s="4" t="inlineStr">
        <is>
          <t>HNB062</t>
        </is>
      </c>
      <c r="F20" s="4" t="n">
        <v>8</v>
      </c>
      <c r="G20" s="4" t="inlineStr">
        <is>
          <t>không có cổng ODF (ODF chỉ có 6 cổng hướng này)</t>
        </is>
      </c>
      <c r="H20" s="13" t="inlineStr">
        <is>
          <t>sợi nối trực tiếp → HNB062 (chưa rõ đã hàn pigtail ở ODF hai đầu)</t>
        </is>
      </c>
      <c r="I20" s="4" t="inlineStr">
        <is>
          <t>HNB062</t>
        </is>
      </c>
      <c r="J20" s="4" t="inlineStr"/>
      <c r="K20" s="4" t="inlineStr"/>
      <c r="L20" s="4" t="inlineStr">
        <is>
          <t>HNB062</t>
        </is>
      </c>
    </row>
    <row r="21">
      <c r="A21" s="4" t="inlineStr">
        <is>
          <t>HNB006</t>
        </is>
      </c>
      <c r="B21" s="4" t="inlineStr">
        <is>
          <t>C05</t>
        </is>
      </c>
      <c r="C21" s="4" t="inlineStr"/>
      <c r="D21" s="4" t="n">
        <v>12</v>
      </c>
      <c r="E21" s="4" t="inlineStr">
        <is>
          <t>MX_NVT_02A</t>
        </is>
      </c>
      <c r="F21" s="4" t="n">
        <v>1</v>
      </c>
      <c r="G21" s="4" t="inlineStr">
        <is>
          <t>1</t>
        </is>
      </c>
      <c r="H21" s="11" t="inlineStr">
        <is>
          <t>đang chạy link R2-02 → HNB054</t>
        </is>
      </c>
      <c r="I21" s="4" t="inlineStr">
        <is>
          <t>HNB054</t>
        </is>
      </c>
      <c r="J21" s="4" t="inlineStr">
        <is>
          <t>R2-02</t>
        </is>
      </c>
      <c r="K21" s="4" t="inlineStr">
        <is>
          <t>mô tả</t>
        </is>
      </c>
      <c r="L21" s="4" t="inlineStr">
        <is>
          <t>MX_NVT_02A→MX_NVT_01→HNB054</t>
        </is>
      </c>
    </row>
    <row r="22">
      <c r="A22" s="4" t="inlineStr">
        <is>
          <t>HNB006</t>
        </is>
      </c>
      <c r="B22" s="4" t="inlineStr">
        <is>
          <t>C05</t>
        </is>
      </c>
      <c r="C22" s="4" t="inlineStr"/>
      <c r="D22" s="4" t="n">
        <v>12</v>
      </c>
      <c r="E22" s="4" t="inlineStr">
        <is>
          <t>MX_NVT_02A</t>
        </is>
      </c>
      <c r="F22" s="4" t="n">
        <v>2</v>
      </c>
      <c r="G22" s="4" t="inlineStr">
        <is>
          <t>2</t>
        </is>
      </c>
      <c r="H22" s="11" t="inlineStr">
        <is>
          <t>đang chạy link R2-02 → HNB054</t>
        </is>
      </c>
      <c r="I22" s="4" t="inlineStr">
        <is>
          <t>HNB054</t>
        </is>
      </c>
      <c r="J22" s="4" t="inlineStr">
        <is>
          <t>R2-02</t>
        </is>
      </c>
      <c r="K22" s="4" t="inlineStr">
        <is>
          <t>mô tả</t>
        </is>
      </c>
      <c r="L22" s="4" t="inlineStr">
        <is>
          <t>MX_NVT_02A→MX_NVT_01→HNB054</t>
        </is>
      </c>
    </row>
    <row r="23">
      <c r="A23" s="4" t="inlineStr">
        <is>
          <t>HNB006</t>
        </is>
      </c>
      <c r="B23" s="4" t="inlineStr">
        <is>
          <t>C05</t>
        </is>
      </c>
      <c r="C23" s="4" t="inlineStr"/>
      <c r="D23" s="4" t="n">
        <v>12</v>
      </c>
      <c r="E23" s="4" t="inlineStr">
        <is>
          <t>MX_NVT_02A</t>
        </is>
      </c>
      <c r="F23" s="4" t="n">
        <v>3</v>
      </c>
      <c r="G23" s="4" t="inlineStr">
        <is>
          <t>3</t>
        </is>
      </c>
      <c r="H23" s="11" t="inlineStr">
        <is>
          <t>đang chạy link R2-03 → HNB091</t>
        </is>
      </c>
      <c r="I23" s="4" t="inlineStr">
        <is>
          <t>HNB091</t>
        </is>
      </c>
      <c r="J23" s="4" t="inlineStr">
        <is>
          <t>R2-03</t>
        </is>
      </c>
      <c r="K23" s="4" t="inlineStr">
        <is>
          <t>mô tả</t>
        </is>
      </c>
      <c r="L23" s="4" t="inlineStr">
        <is>
          <t>MX_NVT_02A→MX_NVT_03A→HNB091</t>
        </is>
      </c>
    </row>
    <row r="24">
      <c r="A24" s="4" t="inlineStr">
        <is>
          <t>HNB006</t>
        </is>
      </c>
      <c r="B24" s="4" t="inlineStr">
        <is>
          <t>C05</t>
        </is>
      </c>
      <c r="C24" s="4" t="inlineStr"/>
      <c r="D24" s="4" t="n">
        <v>12</v>
      </c>
      <c r="E24" s="4" t="inlineStr">
        <is>
          <t>MX_NVT_02A</t>
        </is>
      </c>
      <c r="F24" s="4" t="n">
        <v>4</v>
      </c>
      <c r="G24" s="4" t="inlineStr">
        <is>
          <t>4</t>
        </is>
      </c>
      <c r="H24" s="11" t="inlineStr">
        <is>
          <t>đang chạy link R2-03 → HNB091</t>
        </is>
      </c>
      <c r="I24" s="4" t="inlineStr">
        <is>
          <t>HNB091</t>
        </is>
      </c>
      <c r="J24" s="4" t="inlineStr">
        <is>
          <t>R2-03</t>
        </is>
      </c>
      <c r="K24" s="4" t="inlineStr">
        <is>
          <t>mô tả</t>
        </is>
      </c>
      <c r="L24" s="4" t="inlineStr">
        <is>
          <t>MX_NVT_02A→MX_NVT_03A→HNB091</t>
        </is>
      </c>
    </row>
    <row r="25">
      <c r="A25" s="4" t="inlineStr">
        <is>
          <t>HNB006</t>
        </is>
      </c>
      <c r="B25" s="4" t="inlineStr">
        <is>
          <t>C05</t>
        </is>
      </c>
      <c r="C25" s="4" t="inlineStr"/>
      <c r="D25" s="4" t="n">
        <v>12</v>
      </c>
      <c r="E25" s="4" t="inlineStr">
        <is>
          <t>MX_NVT_02A</t>
        </is>
      </c>
      <c r="F25" s="4" t="n">
        <v>5</v>
      </c>
      <c r="G25" s="4" t="inlineStr">
        <is>
          <t>5</t>
        </is>
      </c>
      <c r="H25" s="12" t="inlineStr">
        <is>
          <t>chưa ghi hàn tại MX_NVT_02A (dự phòng / chưa rõ / không hàn)</t>
        </is>
      </c>
      <c r="I25" s="4" t="inlineStr"/>
      <c r="J25" s="4" t="inlineStr"/>
      <c r="K25" s="4" t="inlineStr"/>
      <c r="L25" s="4" t="inlineStr">
        <is>
          <t>MX_NVT_02A</t>
        </is>
      </c>
    </row>
    <row r="26">
      <c r="A26" s="4" t="inlineStr">
        <is>
          <t>HNB006</t>
        </is>
      </c>
      <c r="B26" s="4" t="inlineStr">
        <is>
          <t>C05</t>
        </is>
      </c>
      <c r="C26" s="4" t="inlineStr"/>
      <c r="D26" s="4" t="n">
        <v>12</v>
      </c>
      <c r="E26" s="4" t="inlineStr">
        <is>
          <t>MX_NVT_02A</t>
        </is>
      </c>
      <c r="F26" s="4" t="n">
        <v>6</v>
      </c>
      <c r="G26" s="4" t="inlineStr">
        <is>
          <t>6</t>
        </is>
      </c>
      <c r="H26" s="12" t="inlineStr">
        <is>
          <t>chưa ghi hàn tại MX_NVT_02A (dự phòng / chưa rõ / không hàn)</t>
        </is>
      </c>
      <c r="I26" s="4" t="inlineStr"/>
      <c r="J26" s="4" t="inlineStr"/>
      <c r="K26" s="4" t="inlineStr"/>
      <c r="L26" s="4" t="inlineStr">
        <is>
          <t>MX_NVT_02A</t>
        </is>
      </c>
    </row>
    <row r="27">
      <c r="A27" s="4" t="inlineStr">
        <is>
          <t>HNB006</t>
        </is>
      </c>
      <c r="B27" s="4" t="inlineStr">
        <is>
          <t>C05</t>
        </is>
      </c>
      <c r="C27" s="4" t="inlineStr"/>
      <c r="D27" s="4" t="n">
        <v>12</v>
      </c>
      <c r="E27" s="4" t="inlineStr">
        <is>
          <t>MX_NVT_02A</t>
        </is>
      </c>
      <c r="F27" s="4" t="n">
        <v>7</v>
      </c>
      <c r="G27" s="4" t="inlineStr">
        <is>
          <t>7</t>
        </is>
      </c>
      <c r="H27" s="12" t="inlineStr">
        <is>
          <t>chưa ghi hàn tại MX_NVT_02A (dự phòng / chưa rõ / không hàn)</t>
        </is>
      </c>
      <c r="I27" s="4" t="inlineStr"/>
      <c r="J27" s="4" t="inlineStr"/>
      <c r="K27" s="4" t="inlineStr"/>
      <c r="L27" s="4" t="inlineStr">
        <is>
          <t>MX_NVT_02A</t>
        </is>
      </c>
    </row>
    <row r="28">
      <c r="A28" s="4" t="inlineStr">
        <is>
          <t>HNB006</t>
        </is>
      </c>
      <c r="B28" s="4" t="inlineStr">
        <is>
          <t>C05</t>
        </is>
      </c>
      <c r="C28" s="4" t="inlineStr"/>
      <c r="D28" s="4" t="n">
        <v>12</v>
      </c>
      <c r="E28" s="4" t="inlineStr">
        <is>
          <t>MX_NVT_02A</t>
        </is>
      </c>
      <c r="F28" s="4" t="n">
        <v>8</v>
      </c>
      <c r="G28" s="4" t="inlineStr">
        <is>
          <t>8</t>
        </is>
      </c>
      <c r="H28" s="12" t="inlineStr">
        <is>
          <t>chưa ghi hàn tại MX_NVT_02A (dự phòng / chưa rõ / không hàn)</t>
        </is>
      </c>
      <c r="I28" s="4" t="inlineStr"/>
      <c r="J28" s="4" t="inlineStr"/>
      <c r="K28" s="4" t="inlineStr"/>
      <c r="L28" s="4" t="inlineStr">
        <is>
          <t>MX_NVT_02A</t>
        </is>
      </c>
    </row>
    <row r="29">
      <c r="A29" s="4" t="inlineStr">
        <is>
          <t>HNB006</t>
        </is>
      </c>
      <c r="B29" s="4" t="inlineStr">
        <is>
          <t>C05</t>
        </is>
      </c>
      <c r="C29" s="4" t="inlineStr"/>
      <c r="D29" s="4" t="n">
        <v>12</v>
      </c>
      <c r="E29" s="4" t="inlineStr">
        <is>
          <t>MX_NVT_02A</t>
        </is>
      </c>
      <c r="F29" s="4" t="n">
        <v>9</v>
      </c>
      <c r="G29" s="4" t="inlineStr">
        <is>
          <t>9</t>
        </is>
      </c>
      <c r="H29" s="12" t="inlineStr">
        <is>
          <t>chưa ghi hàn tại MX_NVT_02A (dự phòng / chưa rõ / không hàn)</t>
        </is>
      </c>
      <c r="I29" s="4" t="inlineStr"/>
      <c r="J29" s="4" t="inlineStr"/>
      <c r="K29" s="4" t="inlineStr"/>
      <c r="L29" s="4" t="inlineStr">
        <is>
          <t>MX_NVT_02A</t>
        </is>
      </c>
    </row>
    <row r="30">
      <c r="A30" s="4" t="inlineStr">
        <is>
          <t>HNB006</t>
        </is>
      </c>
      <c r="B30" s="4" t="inlineStr">
        <is>
          <t>C05</t>
        </is>
      </c>
      <c r="C30" s="4" t="inlineStr"/>
      <c r="D30" s="4" t="n">
        <v>12</v>
      </c>
      <c r="E30" s="4" t="inlineStr">
        <is>
          <t>MX_NVT_02A</t>
        </is>
      </c>
      <c r="F30" s="4" t="n">
        <v>10</v>
      </c>
      <c r="G30" s="4" t="inlineStr">
        <is>
          <t>10</t>
        </is>
      </c>
      <c r="H30" s="12" t="inlineStr">
        <is>
          <t>chưa ghi hàn tại MX_NVT_02A (dự phòng / chưa rõ / không hàn)</t>
        </is>
      </c>
      <c r="I30" s="4" t="inlineStr"/>
      <c r="J30" s="4" t="inlineStr"/>
      <c r="K30" s="4" t="inlineStr"/>
      <c r="L30" s="4" t="inlineStr">
        <is>
          <t>MX_NVT_02A</t>
        </is>
      </c>
    </row>
    <row r="31">
      <c r="A31" s="4" t="inlineStr">
        <is>
          <t>HNB006</t>
        </is>
      </c>
      <c r="B31" s="4" t="inlineStr">
        <is>
          <t>C05</t>
        </is>
      </c>
      <c r="C31" s="4" t="inlineStr"/>
      <c r="D31" s="4" t="n">
        <v>12</v>
      </c>
      <c r="E31" s="4" t="inlineStr">
        <is>
          <t>MX_NVT_02A</t>
        </is>
      </c>
      <c r="F31" s="4" t="n">
        <v>11</v>
      </c>
      <c r="G31" s="4" t="inlineStr">
        <is>
          <t>11</t>
        </is>
      </c>
      <c r="H31" s="12" t="inlineStr">
        <is>
          <t>chưa ghi hàn tại MX_NVT_02A (dự phòng / chưa rõ / không hàn)</t>
        </is>
      </c>
      <c r="I31" s="4" t="inlineStr"/>
      <c r="J31" s="4" t="inlineStr"/>
      <c r="K31" s="4" t="inlineStr"/>
      <c r="L31" s="4" t="inlineStr">
        <is>
          <t>MX_NVT_02A</t>
        </is>
      </c>
    </row>
    <row r="32">
      <c r="A32" s="4" t="inlineStr">
        <is>
          <t>HNB006</t>
        </is>
      </c>
      <c r="B32" s="4" t="inlineStr">
        <is>
          <t>C05</t>
        </is>
      </c>
      <c r="C32" s="4" t="inlineStr"/>
      <c r="D32" s="4" t="n">
        <v>12</v>
      </c>
      <c r="E32" s="4" t="inlineStr">
        <is>
          <t>MX_NVT_02A</t>
        </is>
      </c>
      <c r="F32" s="4" t="n">
        <v>12</v>
      </c>
      <c r="G32" s="4" t="inlineStr">
        <is>
          <t>12</t>
        </is>
      </c>
      <c r="H32" s="12" t="inlineStr">
        <is>
          <t>chưa ghi hàn tại MX_NVT_02A (dự phòng / chưa rõ / không hàn)</t>
        </is>
      </c>
      <c r="I32" s="4" t="inlineStr"/>
      <c r="J32" s="4" t="inlineStr"/>
      <c r="K32" s="4" t="inlineStr"/>
      <c r="L32" s="4" t="inlineStr">
        <is>
          <t>MX_NVT_02A</t>
        </is>
      </c>
    </row>
    <row r="33">
      <c r="A33" s="4" t="inlineStr">
        <is>
          <t>HNB011</t>
        </is>
      </c>
      <c r="B33" s="4" t="inlineStr">
        <is>
          <t>C54</t>
        </is>
      </c>
      <c r="C33" s="4" t="inlineStr">
        <is>
          <t>VINA 2018</t>
        </is>
      </c>
      <c r="D33" s="4" t="n">
        <v>8</v>
      </c>
      <c r="E33" s="4" t="inlineStr">
        <is>
          <t>MX_LVL-01</t>
        </is>
      </c>
      <c r="F33" s="4" t="n">
        <v>1</v>
      </c>
      <c r="G33" s="4" t="inlineStr">
        <is>
          <t>1</t>
        </is>
      </c>
      <c r="H33" s="11" t="inlineStr">
        <is>
          <t>đang chạy link R4-01 → NBE12</t>
        </is>
      </c>
      <c r="I33" s="4" t="inlineStr">
        <is>
          <t>NBE12</t>
        </is>
      </c>
      <c r="J33" s="4" t="inlineStr">
        <is>
          <t>R4-01</t>
        </is>
      </c>
      <c r="K33" s="4" t="inlineStr">
        <is>
          <t>mô tả</t>
        </is>
      </c>
      <c r="L33" s="4" t="inlineStr">
        <is>
          <t>MX_LVL-01→MX_DST→MX thẳng LVL-05/DST→MX_LVL-05→MX_NB-01→VNPT Long Thới (ODF-01 NBE12)</t>
        </is>
      </c>
    </row>
    <row r="34">
      <c r="A34" s="4" t="inlineStr">
        <is>
          <t>HNB011</t>
        </is>
      </c>
      <c r="B34" s="4" t="inlineStr">
        <is>
          <t>C54</t>
        </is>
      </c>
      <c r="C34" s="4" t="inlineStr">
        <is>
          <t>VINA 2018</t>
        </is>
      </c>
      <c r="D34" s="4" t="n">
        <v>8</v>
      </c>
      <c r="E34" s="4" t="inlineStr">
        <is>
          <t>MX_LVL-01</t>
        </is>
      </c>
      <c r="F34" s="4" t="n">
        <v>2</v>
      </c>
      <c r="G34" s="4" t="inlineStr">
        <is>
          <t>2</t>
        </is>
      </c>
      <c r="H34" s="11" t="inlineStr">
        <is>
          <t>đang chạy link R4-01 → NBE12</t>
        </is>
      </c>
      <c r="I34" s="4" t="inlineStr">
        <is>
          <t>NBE12</t>
        </is>
      </c>
      <c r="J34" s="4" t="inlineStr">
        <is>
          <t>R4-01</t>
        </is>
      </c>
      <c r="K34" s="4" t="inlineStr">
        <is>
          <t>mô tả</t>
        </is>
      </c>
      <c r="L34" s="4" t="inlineStr">
        <is>
          <t>MX_LVL-01→MX_DST→MX thẳng LVL-05/DST→MX_LVL-05→MX_NB-01→VNPT Long Thới (ODF-01 NBE12)</t>
        </is>
      </c>
    </row>
    <row r="35">
      <c r="A35" s="4" t="inlineStr">
        <is>
          <t>HNB011</t>
        </is>
      </c>
      <c r="B35" s="4" t="inlineStr">
        <is>
          <t>C54</t>
        </is>
      </c>
      <c r="C35" s="4" t="inlineStr">
        <is>
          <t>VINA 2018</t>
        </is>
      </c>
      <c r="D35" s="4" t="n">
        <v>8</v>
      </c>
      <c r="E35" s="4" t="inlineStr">
        <is>
          <t>MX_LVL-01</t>
        </is>
      </c>
      <c r="F35" s="4" t="n">
        <v>3</v>
      </c>
      <c r="G35" s="4" t="inlineStr">
        <is>
          <t>3</t>
        </is>
      </c>
      <c r="H35" s="12" t="inlineStr">
        <is>
          <t>chưa ghi hàn tại MX_LVL-01 (dự phòng / chưa rõ / không hàn)</t>
        </is>
      </c>
      <c r="I35" s="4" t="inlineStr"/>
      <c r="J35" s="4" t="inlineStr"/>
      <c r="K35" s="4" t="inlineStr"/>
      <c r="L35" s="4" t="inlineStr">
        <is>
          <t>MX_LVL-01</t>
        </is>
      </c>
    </row>
    <row r="36">
      <c r="A36" s="4" t="inlineStr">
        <is>
          <t>HNB011</t>
        </is>
      </c>
      <c r="B36" s="4" t="inlineStr">
        <is>
          <t>C54</t>
        </is>
      </c>
      <c r="C36" s="4" t="inlineStr">
        <is>
          <t>VINA 2018</t>
        </is>
      </c>
      <c r="D36" s="4" t="n">
        <v>8</v>
      </c>
      <c r="E36" s="4" t="inlineStr">
        <is>
          <t>MX_LVL-01</t>
        </is>
      </c>
      <c r="F36" s="4" t="n">
        <v>4</v>
      </c>
      <c r="G36" s="4" t="inlineStr">
        <is>
          <t>4</t>
        </is>
      </c>
      <c r="H36" s="12" t="inlineStr">
        <is>
          <t>chưa ghi hàn tại MX_LVL-01 (dự phòng / chưa rõ / không hàn)</t>
        </is>
      </c>
      <c r="I36" s="4" t="inlineStr"/>
      <c r="J36" s="4" t="inlineStr"/>
      <c r="K36" s="4" t="inlineStr"/>
      <c r="L36" s="4" t="inlineStr">
        <is>
          <t>MX_LVL-01</t>
        </is>
      </c>
    </row>
    <row r="37">
      <c r="A37" s="4" t="inlineStr">
        <is>
          <t>HNB011</t>
        </is>
      </c>
      <c r="B37" s="4" t="inlineStr">
        <is>
          <t>C54</t>
        </is>
      </c>
      <c r="C37" s="4" t="inlineStr">
        <is>
          <t>VINA 2018</t>
        </is>
      </c>
      <c r="D37" s="4" t="n">
        <v>8</v>
      </c>
      <c r="E37" s="4" t="inlineStr">
        <is>
          <t>MX_LVL-01</t>
        </is>
      </c>
      <c r="F37" s="4" t="n">
        <v>5</v>
      </c>
      <c r="G37" s="4" t="inlineStr">
        <is>
          <t>5</t>
        </is>
      </c>
      <c r="H37" s="12" t="inlineStr">
        <is>
          <t>chưa ghi hàn tại MX_LVL-01 (dự phòng / chưa rõ / không hàn)</t>
        </is>
      </c>
      <c r="I37" s="4" t="inlineStr"/>
      <c r="J37" s="4" t="inlineStr"/>
      <c r="K37" s="4" t="inlineStr"/>
      <c r="L37" s="4" t="inlineStr">
        <is>
          <t>MX_LVL-01</t>
        </is>
      </c>
    </row>
    <row r="38">
      <c r="A38" s="4" t="inlineStr">
        <is>
          <t>HNB011</t>
        </is>
      </c>
      <c r="B38" s="4" t="inlineStr">
        <is>
          <t>C54</t>
        </is>
      </c>
      <c r="C38" s="4" t="inlineStr">
        <is>
          <t>VINA 2018</t>
        </is>
      </c>
      <c r="D38" s="4" t="n">
        <v>8</v>
      </c>
      <c r="E38" s="4" t="inlineStr">
        <is>
          <t>MX_LVL-01</t>
        </is>
      </c>
      <c r="F38" s="4" t="n">
        <v>6</v>
      </c>
      <c r="G38" s="4" t="inlineStr">
        <is>
          <t>6</t>
        </is>
      </c>
      <c r="H38" s="12" t="inlineStr">
        <is>
          <t>chưa ghi hàn tại MX_LVL-01 (dự phòng / chưa rõ / không hàn)</t>
        </is>
      </c>
      <c r="I38" s="4" t="inlineStr"/>
      <c r="J38" s="4" t="inlineStr"/>
      <c r="K38" s="4" t="inlineStr"/>
      <c r="L38" s="4" t="inlineStr">
        <is>
          <t>MX_LVL-01</t>
        </is>
      </c>
    </row>
    <row r="39">
      <c r="A39" s="4" t="inlineStr">
        <is>
          <t>HNB011</t>
        </is>
      </c>
      <c r="B39" s="4" t="inlineStr">
        <is>
          <t>C54</t>
        </is>
      </c>
      <c r="C39" s="4" t="inlineStr">
        <is>
          <t>VINA 2018</t>
        </is>
      </c>
      <c r="D39" s="4" t="n">
        <v>8</v>
      </c>
      <c r="E39" s="4" t="inlineStr">
        <is>
          <t>MX_LVL-01</t>
        </is>
      </c>
      <c r="F39" s="4" t="n">
        <v>7</v>
      </c>
      <c r="G39" s="4" t="inlineStr">
        <is>
          <t>không có cổng ODF (ODF chỉ có 6 cổng hướng này)</t>
        </is>
      </c>
      <c r="H39" s="12" t="inlineStr">
        <is>
          <t>chưa ghi hàn tại MX_LVL-01 (dự phòng / chưa rõ / không hàn)</t>
        </is>
      </c>
      <c r="I39" s="4" t="inlineStr"/>
      <c r="J39" s="4" t="inlineStr"/>
      <c r="K39" s="4" t="inlineStr"/>
      <c r="L39" s="4" t="inlineStr">
        <is>
          <t>MX_LVL-01</t>
        </is>
      </c>
    </row>
    <row r="40">
      <c r="A40" s="4" t="inlineStr">
        <is>
          <t>HNB011</t>
        </is>
      </c>
      <c r="B40" s="4" t="inlineStr">
        <is>
          <t>C54</t>
        </is>
      </c>
      <c r="C40" s="4" t="inlineStr">
        <is>
          <t>VINA 2018</t>
        </is>
      </c>
      <c r="D40" s="4" t="n">
        <v>8</v>
      </c>
      <c r="E40" s="4" t="inlineStr">
        <is>
          <t>MX_LVL-01</t>
        </is>
      </c>
      <c r="F40" s="4" t="n">
        <v>8</v>
      </c>
      <c r="G40" s="4" t="inlineStr">
        <is>
          <t>không có cổng ODF (ODF chỉ có 6 cổng hướng này)</t>
        </is>
      </c>
      <c r="H40" s="12" t="inlineStr">
        <is>
          <t>chưa ghi hàn tại MX_LVL-01 (dự phòng / chưa rõ / không hàn)</t>
        </is>
      </c>
      <c r="I40" s="4" t="inlineStr"/>
      <c r="J40" s="4" t="inlineStr"/>
      <c r="K40" s="4" t="inlineStr"/>
      <c r="L40" s="4" t="inlineStr">
        <is>
          <t>MX_LVL-01</t>
        </is>
      </c>
    </row>
    <row r="41">
      <c r="A41" s="4" t="inlineStr">
        <is>
          <t>HNB011</t>
        </is>
      </c>
      <c r="B41" s="4" t="inlineStr">
        <is>
          <t>C58</t>
        </is>
      </c>
      <c r="C41" s="4" t="inlineStr">
        <is>
          <t>PRYSMIAN 2009</t>
        </is>
      </c>
      <c r="D41" s="4" t="n">
        <v>8</v>
      </c>
      <c r="E41" s="4" t="inlineStr">
        <is>
          <t>MX thẳng 11-56</t>
        </is>
      </c>
      <c r="F41" s="4" t="n">
        <v>1</v>
      </c>
      <c r="G41" s="4" t="inlineStr">
        <is>
          <t>1</t>
        </is>
      </c>
      <c r="H41" s="11" t="inlineStr">
        <is>
          <t>đang chạy link R4-02 → HNB056</t>
        </is>
      </c>
      <c r="I41" s="4" t="inlineStr">
        <is>
          <t>HNB056</t>
        </is>
      </c>
      <c r="J41" s="4" t="inlineStr">
        <is>
          <t>R4-02</t>
        </is>
      </c>
      <c r="K41" s="4" t="inlineStr">
        <is>
          <t>mô tả</t>
        </is>
      </c>
      <c r="L41" s="4" t="inlineStr">
        <is>
          <t>MX thẳng 11-56→HNB056</t>
        </is>
      </c>
    </row>
    <row r="42">
      <c r="A42" s="4" t="inlineStr">
        <is>
          <t>HNB011</t>
        </is>
      </c>
      <c r="B42" s="4" t="inlineStr">
        <is>
          <t>C58</t>
        </is>
      </c>
      <c r="C42" s="4" t="inlineStr">
        <is>
          <t>PRYSMIAN 2009</t>
        </is>
      </c>
      <c r="D42" s="4" t="n">
        <v>8</v>
      </c>
      <c r="E42" s="4" t="inlineStr">
        <is>
          <t>MX thẳng 11-56</t>
        </is>
      </c>
      <c r="F42" s="4" t="n">
        <v>2</v>
      </c>
      <c r="G42" s="4" t="inlineStr">
        <is>
          <t>2</t>
        </is>
      </c>
      <c r="H42" s="11" t="inlineStr">
        <is>
          <t>đang chạy link R4-02 → HNB056</t>
        </is>
      </c>
      <c r="I42" s="4" t="inlineStr">
        <is>
          <t>HNB056</t>
        </is>
      </c>
      <c r="J42" s="4" t="inlineStr">
        <is>
          <t>R4-02</t>
        </is>
      </c>
      <c r="K42" s="4" t="inlineStr">
        <is>
          <t>mô tả</t>
        </is>
      </c>
      <c r="L42" s="4" t="inlineStr">
        <is>
          <t>MX thẳng 11-56→HNB056</t>
        </is>
      </c>
    </row>
    <row r="43">
      <c r="A43" s="4" t="inlineStr">
        <is>
          <t>HNB011</t>
        </is>
      </c>
      <c r="B43" s="4" t="inlineStr">
        <is>
          <t>C58</t>
        </is>
      </c>
      <c r="C43" s="4" t="inlineStr">
        <is>
          <t>PRYSMIAN 2009</t>
        </is>
      </c>
      <c r="D43" s="4" t="n">
        <v>8</v>
      </c>
      <c r="E43" s="4" t="inlineStr">
        <is>
          <t>MX thẳng 11-56</t>
        </is>
      </c>
      <c r="F43" s="4" t="n">
        <v>3</v>
      </c>
      <c r="G43" s="4" t="inlineStr">
        <is>
          <t>3</t>
        </is>
      </c>
      <c r="H43" s="13" t="inlineStr">
        <is>
          <t>hàn thông (MX thẳng, theo số mối hàn) → HNB056</t>
        </is>
      </c>
      <c r="I43" s="4" t="inlineStr">
        <is>
          <t>HNB056</t>
        </is>
      </c>
      <c r="J43" s="4" t="inlineStr"/>
      <c r="K43" s="4" t="inlineStr">
        <is>
          <t>MX thẳng (số mối hàn)</t>
        </is>
      </c>
      <c r="L43" s="4" t="inlineStr">
        <is>
          <t>MX thẳng 11-56→HNB056</t>
        </is>
      </c>
    </row>
    <row r="44">
      <c r="A44" s="4" t="inlineStr">
        <is>
          <t>HNB011</t>
        </is>
      </c>
      <c r="B44" s="4" t="inlineStr">
        <is>
          <t>C58</t>
        </is>
      </c>
      <c r="C44" s="4" t="inlineStr">
        <is>
          <t>PRYSMIAN 2009</t>
        </is>
      </c>
      <c r="D44" s="4" t="n">
        <v>8</v>
      </c>
      <c r="E44" s="4" t="inlineStr">
        <is>
          <t>MX thẳng 11-56</t>
        </is>
      </c>
      <c r="F44" s="4" t="n">
        <v>4</v>
      </c>
      <c r="G44" s="4" t="inlineStr">
        <is>
          <t>4</t>
        </is>
      </c>
      <c r="H44" s="13" t="inlineStr">
        <is>
          <t>hàn thông (MX thẳng, theo số mối hàn) → HNB056</t>
        </is>
      </c>
      <c r="I44" s="4" t="inlineStr">
        <is>
          <t>HNB056</t>
        </is>
      </c>
      <c r="J44" s="4" t="inlineStr"/>
      <c r="K44" s="4" t="inlineStr">
        <is>
          <t>MX thẳng (số mối hàn)</t>
        </is>
      </c>
      <c r="L44" s="4" t="inlineStr">
        <is>
          <t>MX thẳng 11-56→HNB056</t>
        </is>
      </c>
    </row>
    <row r="45">
      <c r="A45" s="4" t="inlineStr">
        <is>
          <t>HNB011</t>
        </is>
      </c>
      <c r="B45" s="4" t="inlineStr">
        <is>
          <t>C58</t>
        </is>
      </c>
      <c r="C45" s="4" t="inlineStr">
        <is>
          <t>PRYSMIAN 2009</t>
        </is>
      </c>
      <c r="D45" s="4" t="n">
        <v>8</v>
      </c>
      <c r="E45" s="4" t="inlineStr">
        <is>
          <t>MX thẳng 11-56</t>
        </is>
      </c>
      <c r="F45" s="4" t="n">
        <v>5</v>
      </c>
      <c r="G45" s="4" t="inlineStr">
        <is>
          <t>5</t>
        </is>
      </c>
      <c r="H45" s="13" t="inlineStr">
        <is>
          <t>hàn thông (MX thẳng, theo số mối hàn) → HNB056</t>
        </is>
      </c>
      <c r="I45" s="4" t="inlineStr">
        <is>
          <t>HNB056</t>
        </is>
      </c>
      <c r="J45" s="4" t="inlineStr"/>
      <c r="K45" s="4" t="inlineStr">
        <is>
          <t>MX thẳng (số mối hàn)</t>
        </is>
      </c>
      <c r="L45" s="4" t="inlineStr">
        <is>
          <t>MX thẳng 11-56→HNB056</t>
        </is>
      </c>
    </row>
    <row r="46">
      <c r="A46" s="4" t="inlineStr">
        <is>
          <t>HNB011</t>
        </is>
      </c>
      <c r="B46" s="4" t="inlineStr">
        <is>
          <t>C58</t>
        </is>
      </c>
      <c r="C46" s="4" t="inlineStr">
        <is>
          <t>PRYSMIAN 2009</t>
        </is>
      </c>
      <c r="D46" s="4" t="n">
        <v>8</v>
      </c>
      <c r="E46" s="4" t="inlineStr">
        <is>
          <t>MX thẳng 11-56</t>
        </is>
      </c>
      <c r="F46" s="4" t="n">
        <v>6</v>
      </c>
      <c r="G46" s="4" t="inlineStr">
        <is>
          <t>6</t>
        </is>
      </c>
      <c r="H46" s="13" t="inlineStr">
        <is>
          <t>hàn thông (MX thẳng, theo số mối hàn) → HNB056</t>
        </is>
      </c>
      <c r="I46" s="4" t="inlineStr">
        <is>
          <t>HNB056</t>
        </is>
      </c>
      <c r="J46" s="4" t="inlineStr"/>
      <c r="K46" s="4" t="inlineStr">
        <is>
          <t>MX thẳng (số mối hàn)</t>
        </is>
      </c>
      <c r="L46" s="4" t="inlineStr">
        <is>
          <t>MX thẳng 11-56→HNB056</t>
        </is>
      </c>
    </row>
    <row r="47">
      <c r="A47" s="4" t="inlineStr">
        <is>
          <t>HNB011</t>
        </is>
      </c>
      <c r="B47" s="4" t="inlineStr">
        <is>
          <t>C58</t>
        </is>
      </c>
      <c r="C47" s="4" t="inlineStr">
        <is>
          <t>PRYSMIAN 2009</t>
        </is>
      </c>
      <c r="D47" s="4" t="n">
        <v>8</v>
      </c>
      <c r="E47" s="4" t="inlineStr">
        <is>
          <t>MX thẳng 11-56</t>
        </is>
      </c>
      <c r="F47" s="4" t="n">
        <v>7</v>
      </c>
      <c r="G47" s="4" t="inlineStr">
        <is>
          <t>không có cổng ODF (ODF chỉ có 6 cổng hướng này)</t>
        </is>
      </c>
      <c r="H47" s="12" t="inlineStr">
        <is>
          <t>chưa ghi hàn tại MX thẳng 11-56 (dự phòng / chưa rõ / không hàn)</t>
        </is>
      </c>
      <c r="I47" s="4" t="inlineStr"/>
      <c r="J47" s="4" t="inlineStr"/>
      <c r="K47" s="4" t="inlineStr"/>
      <c r="L47" s="4" t="inlineStr">
        <is>
          <t>MX thẳng 11-56</t>
        </is>
      </c>
    </row>
    <row r="48">
      <c r="A48" s="4" t="inlineStr">
        <is>
          <t>HNB011</t>
        </is>
      </c>
      <c r="B48" s="4" t="inlineStr">
        <is>
          <t>C58</t>
        </is>
      </c>
      <c r="C48" s="4" t="inlineStr">
        <is>
          <t>PRYSMIAN 2009</t>
        </is>
      </c>
      <c r="D48" s="4" t="n">
        <v>8</v>
      </c>
      <c r="E48" s="4" t="inlineStr">
        <is>
          <t>MX thẳng 11-56</t>
        </is>
      </c>
      <c r="F48" s="4" t="n">
        <v>8</v>
      </c>
      <c r="G48" s="4" t="inlineStr">
        <is>
          <t>không có cổng ODF (ODF chỉ có 6 cổng hướng này)</t>
        </is>
      </c>
      <c r="H48" s="12" t="inlineStr">
        <is>
          <t>chưa ghi hàn tại MX thẳng 11-56 (dự phòng / chưa rõ / không hàn)</t>
        </is>
      </c>
      <c r="I48" s="4" t="inlineStr"/>
      <c r="J48" s="4" t="inlineStr"/>
      <c r="K48" s="4" t="inlineStr"/>
      <c r="L48" s="4" t="inlineStr">
        <is>
          <t>MX thẳng 11-56</t>
        </is>
      </c>
    </row>
    <row r="49">
      <c r="A49" s="4" t="inlineStr">
        <is>
          <t>HNB012</t>
        </is>
      </c>
      <c r="B49" s="4" t="inlineStr">
        <is>
          <t>C44</t>
        </is>
      </c>
      <c r="C49" s="4" t="inlineStr">
        <is>
          <t>FOCAL 2020</t>
        </is>
      </c>
      <c r="D49" s="4" t="n">
        <v>6</v>
      </c>
      <c r="E49" s="4" t="inlineStr">
        <is>
          <t>MX băng sông 1</t>
        </is>
      </c>
      <c r="F49" s="4" t="n">
        <v>1</v>
      </c>
      <c r="G49" s="4" t="inlineStr">
        <is>
          <t>1</t>
        </is>
      </c>
      <c r="H49" s="11" t="inlineStr">
        <is>
          <t>đang chạy link R5-01 → NBE12</t>
        </is>
      </c>
      <c r="I49" s="4" t="inlineStr">
        <is>
          <t>NBE12</t>
        </is>
      </c>
      <c r="J49" s="4" t="inlineStr">
        <is>
          <t>R5-01</t>
        </is>
      </c>
      <c r="K49" s="4" t="inlineStr">
        <is>
          <t>mô tả</t>
        </is>
      </c>
      <c r="L49" s="4" t="inlineStr">
        <is>
          <t>MX băng sông 1→MX băng sông 2→MX_DST→MX thẳng LVL-05/DST→MX_LVL-05→MX_NB-01→VNPT Long Thới (ODF-01 NBE12)</t>
        </is>
      </c>
    </row>
    <row r="50">
      <c r="A50" s="4" t="inlineStr">
        <is>
          <t>HNB012</t>
        </is>
      </c>
      <c r="B50" s="4" t="inlineStr">
        <is>
          <t>C44</t>
        </is>
      </c>
      <c r="C50" s="4" t="inlineStr">
        <is>
          <t>FOCAL 2020</t>
        </is>
      </c>
      <c r="D50" s="4" t="n">
        <v>6</v>
      </c>
      <c r="E50" s="4" t="inlineStr">
        <is>
          <t>MX băng sông 1</t>
        </is>
      </c>
      <c r="F50" s="4" t="n">
        <v>2</v>
      </c>
      <c r="G50" s="4" t="inlineStr">
        <is>
          <t>2</t>
        </is>
      </c>
      <c r="H50" s="11" t="inlineStr">
        <is>
          <t>đang chạy link R5-01 → NBE12</t>
        </is>
      </c>
      <c r="I50" s="4" t="inlineStr">
        <is>
          <t>NBE12</t>
        </is>
      </c>
      <c r="J50" s="4" t="inlineStr">
        <is>
          <t>R5-01</t>
        </is>
      </c>
      <c r="K50" s="4" t="inlineStr">
        <is>
          <t>mô tả</t>
        </is>
      </c>
      <c r="L50" s="4" t="inlineStr">
        <is>
          <t>MX băng sông 1→MX băng sông 2→MX_DST→MX thẳng LVL-05/DST→MX_LVL-05→MX_NB-01→VNPT Long Thới (ODF-01 NBE12)</t>
        </is>
      </c>
    </row>
    <row r="51">
      <c r="A51" s="4" t="inlineStr">
        <is>
          <t>HNB012</t>
        </is>
      </c>
      <c r="B51" s="4" t="inlineStr">
        <is>
          <t>C44</t>
        </is>
      </c>
      <c r="C51" s="4" t="inlineStr">
        <is>
          <t>FOCAL 2020</t>
        </is>
      </c>
      <c r="D51" s="4" t="n">
        <v>6</v>
      </c>
      <c r="E51" s="4" t="inlineStr">
        <is>
          <t>MX băng sông 1</t>
        </is>
      </c>
      <c r="F51" s="4" t="n">
        <v>3</v>
      </c>
      <c r="G51" s="4" t="inlineStr">
        <is>
          <t>3</t>
        </is>
      </c>
      <c r="H51" s="12" t="inlineStr">
        <is>
          <t>chưa ghi hàn tại MX_DST (dự phòng / chưa rõ / không hàn)</t>
        </is>
      </c>
      <c r="I51" s="4" t="inlineStr"/>
      <c r="J51" s="4" t="inlineStr"/>
      <c r="K51" s="4" t="inlineStr">
        <is>
          <t>MX thẳng (số mối hàn)</t>
        </is>
      </c>
      <c r="L51" s="4" t="inlineStr">
        <is>
          <t>MX_DST</t>
        </is>
      </c>
    </row>
    <row r="52">
      <c r="A52" s="4" t="inlineStr">
        <is>
          <t>HNB012</t>
        </is>
      </c>
      <c r="B52" s="4" t="inlineStr">
        <is>
          <t>C44</t>
        </is>
      </c>
      <c r="C52" s="4" t="inlineStr">
        <is>
          <t>FOCAL 2020</t>
        </is>
      </c>
      <c r="D52" s="4" t="n">
        <v>6</v>
      </c>
      <c r="E52" s="4" t="inlineStr">
        <is>
          <t>MX băng sông 1</t>
        </is>
      </c>
      <c r="F52" s="4" t="n">
        <v>4</v>
      </c>
      <c r="G52" s="4" t="inlineStr">
        <is>
          <t>4</t>
        </is>
      </c>
      <c r="H52" s="12" t="inlineStr">
        <is>
          <t>chưa ghi hàn tại MX_DST (dự phòng / chưa rõ / không hàn)</t>
        </is>
      </c>
      <c r="I52" s="4" t="inlineStr"/>
      <c r="J52" s="4" t="inlineStr"/>
      <c r="K52" s="4" t="inlineStr">
        <is>
          <t>MX thẳng (số mối hàn)</t>
        </is>
      </c>
      <c r="L52" s="4" t="inlineStr">
        <is>
          <t>MX_DST</t>
        </is>
      </c>
    </row>
    <row r="53">
      <c r="A53" s="4" t="inlineStr">
        <is>
          <t>HNB012</t>
        </is>
      </c>
      <c r="B53" s="4" t="inlineStr">
        <is>
          <t>C44</t>
        </is>
      </c>
      <c r="C53" s="4" t="inlineStr">
        <is>
          <t>FOCAL 2020</t>
        </is>
      </c>
      <c r="D53" s="4" t="n">
        <v>6</v>
      </c>
      <c r="E53" s="4" t="inlineStr">
        <is>
          <t>MX băng sông 1</t>
        </is>
      </c>
      <c r="F53" s="4" t="n">
        <v>5</v>
      </c>
      <c r="G53" s="4" t="inlineStr">
        <is>
          <t>5</t>
        </is>
      </c>
      <c r="H53" s="12" t="inlineStr">
        <is>
          <t>chưa ghi hàn tại MX băng sông 2 (dự phòng / chưa rõ / không hàn)</t>
        </is>
      </c>
      <c r="I53" s="4" t="inlineStr"/>
      <c r="J53" s="4" t="inlineStr"/>
      <c r="K53" s="4" t="inlineStr">
        <is>
          <t>MX thẳng (số mối hàn)</t>
        </is>
      </c>
      <c r="L53" s="4" t="inlineStr">
        <is>
          <t>MX băng sông 2</t>
        </is>
      </c>
    </row>
    <row r="54">
      <c r="A54" s="4" t="inlineStr">
        <is>
          <t>HNB012</t>
        </is>
      </c>
      <c r="B54" s="4" t="inlineStr">
        <is>
          <t>C44</t>
        </is>
      </c>
      <c r="C54" s="4" t="inlineStr">
        <is>
          <t>FOCAL 2020</t>
        </is>
      </c>
      <c r="D54" s="4" t="n">
        <v>6</v>
      </c>
      <c r="E54" s="4" t="inlineStr">
        <is>
          <t>MX băng sông 1</t>
        </is>
      </c>
      <c r="F54" s="4" t="n">
        <v>6</v>
      </c>
      <c r="G54" s="4" t="inlineStr">
        <is>
          <t>6</t>
        </is>
      </c>
      <c r="H54" s="12" t="inlineStr">
        <is>
          <t>chưa ghi hàn tại MX băng sông 2 (dự phòng / chưa rõ / không hàn)</t>
        </is>
      </c>
      <c r="I54" s="4" t="inlineStr"/>
      <c r="J54" s="4" t="inlineStr"/>
      <c r="K54" s="4" t="inlineStr">
        <is>
          <t>MX thẳng (số mối hàn)</t>
        </is>
      </c>
      <c r="L54" s="4" t="inlineStr">
        <is>
          <t>MX băng sông 2</t>
        </is>
      </c>
    </row>
    <row r="55">
      <c r="A55" s="4" t="inlineStr">
        <is>
          <t>HNB012</t>
        </is>
      </c>
      <c r="B55" s="4" t="inlineStr">
        <is>
          <t>C71</t>
        </is>
      </c>
      <c r="C55" s="4" t="inlineStr">
        <is>
          <t>Fiber 6/2007</t>
        </is>
      </c>
      <c r="D55" s="4" t="n">
        <v>8</v>
      </c>
      <c r="E55" s="4" t="inlineStr">
        <is>
          <t>MX_PHẠM HÙNG</t>
        </is>
      </c>
      <c r="F55" s="4" t="n">
        <v>1</v>
      </c>
      <c r="G55" s="4" t="inlineStr">
        <is>
          <t>1</t>
        </is>
      </c>
      <c r="H55" s="11" t="inlineStr">
        <is>
          <t>đang chạy link R5-02 → HNB014</t>
        </is>
      </c>
      <c r="I55" s="4" t="inlineStr">
        <is>
          <t>HNB014</t>
        </is>
      </c>
      <c r="J55" s="4" t="inlineStr">
        <is>
          <t>R5-02</t>
        </is>
      </c>
      <c r="K55" s="4" t="inlineStr">
        <is>
          <t>mô tả</t>
        </is>
      </c>
      <c r="L55" s="4" t="inlineStr">
        <is>
          <t>MX_PHẠM HÙNG→MX thẳng Phạm Hùng→MX cầu NVL 2→MX cầu NVL 1→HNB014</t>
        </is>
      </c>
    </row>
    <row r="56">
      <c r="A56" s="4" t="inlineStr">
        <is>
          <t>HNB012</t>
        </is>
      </c>
      <c r="B56" s="4" t="inlineStr">
        <is>
          <t>C71</t>
        </is>
      </c>
      <c r="C56" s="4" t="inlineStr">
        <is>
          <t>Fiber 6/2007</t>
        </is>
      </c>
      <c r="D56" s="4" t="n">
        <v>8</v>
      </c>
      <c r="E56" s="4" t="inlineStr">
        <is>
          <t>MX_PHẠM HÙNG</t>
        </is>
      </c>
      <c r="F56" s="4" t="n">
        <v>2</v>
      </c>
      <c r="G56" s="4" t="inlineStr">
        <is>
          <t>2</t>
        </is>
      </c>
      <c r="H56" s="11" t="inlineStr">
        <is>
          <t>đang chạy link R5-02 → HNB014</t>
        </is>
      </c>
      <c r="I56" s="4" t="inlineStr">
        <is>
          <t>HNB014</t>
        </is>
      </c>
      <c r="J56" s="4" t="inlineStr">
        <is>
          <t>R5-02</t>
        </is>
      </c>
      <c r="K56" s="4" t="inlineStr">
        <is>
          <t>mô tả</t>
        </is>
      </c>
      <c r="L56" s="4" t="inlineStr">
        <is>
          <t>MX_PHẠM HÙNG→MX thẳng Phạm Hùng→MX cầu NVL 2→MX cầu NVL 1→HNB014</t>
        </is>
      </c>
    </row>
    <row r="57">
      <c r="A57" s="4" t="inlineStr">
        <is>
          <t>HNB012</t>
        </is>
      </c>
      <c r="B57" s="4" t="inlineStr">
        <is>
          <t>C71</t>
        </is>
      </c>
      <c r="C57" s="4" t="inlineStr">
        <is>
          <t>Fiber 6/2007</t>
        </is>
      </c>
      <c r="D57" s="4" t="n">
        <v>8</v>
      </c>
      <c r="E57" s="4" t="inlineStr">
        <is>
          <t>MX_PHẠM HÙNG</t>
        </is>
      </c>
      <c r="F57" s="4" t="n">
        <v>3</v>
      </c>
      <c r="G57" s="4" t="inlineStr">
        <is>
          <t>3</t>
        </is>
      </c>
      <c r="H57" s="13" t="inlineStr">
        <is>
          <t>hàn thông theo nhãn sơ đồ → HNB014 (chưa gán link)</t>
        </is>
      </c>
      <c r="I57" s="4" t="inlineStr">
        <is>
          <t>HNB014</t>
        </is>
      </c>
      <c r="J57" s="4" t="inlineStr"/>
      <c r="K57" s="4" t="inlineStr">
        <is>
          <t>MX thẳng (số mối hàn), sơ đồ MX</t>
        </is>
      </c>
      <c r="L57" s="4" t="inlineStr">
        <is>
          <t>MX_PHẠM HÙNG→MX thẳng Phạm Hùng→MX cầu NVL 2→MX cầu NVL 1→HNB014</t>
        </is>
      </c>
    </row>
    <row r="58">
      <c r="A58" s="4" t="inlineStr">
        <is>
          <t>HNB012</t>
        </is>
      </c>
      <c r="B58" s="4" t="inlineStr">
        <is>
          <t>C71</t>
        </is>
      </c>
      <c r="C58" s="4" t="inlineStr">
        <is>
          <t>Fiber 6/2007</t>
        </is>
      </c>
      <c r="D58" s="4" t="n">
        <v>8</v>
      </c>
      <c r="E58" s="4" t="inlineStr">
        <is>
          <t>MX_PHẠM HÙNG</t>
        </is>
      </c>
      <c r="F58" s="4" t="n">
        <v>4</v>
      </c>
      <c r="G58" s="4" t="inlineStr">
        <is>
          <t>4</t>
        </is>
      </c>
      <c r="H58" s="13" t="inlineStr">
        <is>
          <t>hàn thông theo nhãn sơ đồ → HNB014 (chưa gán link)</t>
        </is>
      </c>
      <c r="I58" s="4" t="inlineStr">
        <is>
          <t>HNB014</t>
        </is>
      </c>
      <c r="J58" s="4" t="inlineStr"/>
      <c r="K58" s="4" t="inlineStr">
        <is>
          <t>MX thẳng (số mối hàn), sơ đồ MX</t>
        </is>
      </c>
      <c r="L58" s="4" t="inlineStr">
        <is>
          <t>MX_PHẠM HÙNG→MX thẳng Phạm Hùng→MX cầu NVL 2→MX cầu NVL 1→HNB014</t>
        </is>
      </c>
    </row>
    <row r="59">
      <c r="A59" s="4" t="inlineStr">
        <is>
          <t>HNB012</t>
        </is>
      </c>
      <c r="B59" s="4" t="inlineStr">
        <is>
          <t>C71</t>
        </is>
      </c>
      <c r="C59" s="4" t="inlineStr">
        <is>
          <t>Fiber 6/2007</t>
        </is>
      </c>
      <c r="D59" s="4" t="n">
        <v>8</v>
      </c>
      <c r="E59" s="4" t="inlineStr">
        <is>
          <t>MX_PHẠM HÙNG</t>
        </is>
      </c>
      <c r="F59" s="4" t="n">
        <v>5</v>
      </c>
      <c r="G59" s="4" t="inlineStr">
        <is>
          <t>5</t>
        </is>
      </c>
      <c r="H59" s="12" t="inlineStr">
        <is>
          <t>chưa ghi hàn tại MX_PHẠM HÙNG (dự phòng / chưa rõ / không hàn)</t>
        </is>
      </c>
      <c r="I59" s="4" t="inlineStr"/>
      <c r="J59" s="4" t="inlineStr"/>
      <c r="K59" s="4" t="inlineStr"/>
      <c r="L59" s="4" t="inlineStr">
        <is>
          <t>MX_PHẠM HÙNG</t>
        </is>
      </c>
    </row>
    <row r="60">
      <c r="A60" s="4" t="inlineStr">
        <is>
          <t>HNB012</t>
        </is>
      </c>
      <c r="B60" s="4" t="inlineStr">
        <is>
          <t>C71</t>
        </is>
      </c>
      <c r="C60" s="4" t="inlineStr">
        <is>
          <t>Fiber 6/2007</t>
        </is>
      </c>
      <c r="D60" s="4" t="n">
        <v>8</v>
      </c>
      <c r="E60" s="4" t="inlineStr">
        <is>
          <t>MX_PHẠM HÙNG</t>
        </is>
      </c>
      <c r="F60" s="4" t="n">
        <v>6</v>
      </c>
      <c r="G60" s="4" t="inlineStr">
        <is>
          <t>6</t>
        </is>
      </c>
      <c r="H60" s="12" t="inlineStr">
        <is>
          <t>chưa ghi hàn tại MX_PHẠM HÙNG (dự phòng / chưa rõ / không hàn)</t>
        </is>
      </c>
      <c r="I60" s="4" t="inlineStr"/>
      <c r="J60" s="4" t="inlineStr"/>
      <c r="K60" s="4" t="inlineStr"/>
      <c r="L60" s="4" t="inlineStr">
        <is>
          <t>MX_PHẠM HÙNG</t>
        </is>
      </c>
    </row>
    <row r="61">
      <c r="A61" s="4" t="inlineStr">
        <is>
          <t>HNB012</t>
        </is>
      </c>
      <c r="B61" s="4" t="inlineStr">
        <is>
          <t>C71</t>
        </is>
      </c>
      <c r="C61" s="4" t="inlineStr">
        <is>
          <t>Fiber 6/2007</t>
        </is>
      </c>
      <c r="D61" s="4" t="n">
        <v>8</v>
      </c>
      <c r="E61" s="4" t="inlineStr">
        <is>
          <t>MX_PHẠM HÙNG</t>
        </is>
      </c>
      <c r="F61" s="4" t="n">
        <v>7</v>
      </c>
      <c r="G61" s="4" t="inlineStr">
        <is>
          <t>7</t>
        </is>
      </c>
      <c r="H61" s="12" t="inlineStr">
        <is>
          <t>chưa ghi hàn tại MX_PHẠM HÙNG (dự phòng / chưa rõ / không hàn)</t>
        </is>
      </c>
      <c r="I61" s="4" t="inlineStr"/>
      <c r="J61" s="4" t="inlineStr"/>
      <c r="K61" s="4" t="inlineStr"/>
      <c r="L61" s="4" t="inlineStr">
        <is>
          <t>MX_PHẠM HÙNG</t>
        </is>
      </c>
    </row>
    <row r="62">
      <c r="A62" s="4" t="inlineStr">
        <is>
          <t>HNB012</t>
        </is>
      </c>
      <c r="B62" s="4" t="inlineStr">
        <is>
          <t>C71</t>
        </is>
      </c>
      <c r="C62" s="4" t="inlineStr">
        <is>
          <t>Fiber 6/2007</t>
        </is>
      </c>
      <c r="D62" s="4" t="n">
        <v>8</v>
      </c>
      <c r="E62" s="4" t="inlineStr">
        <is>
          <t>MX_PHẠM HÙNG</t>
        </is>
      </c>
      <c r="F62" s="4" t="n">
        <v>8</v>
      </c>
      <c r="G62" s="4" t="inlineStr">
        <is>
          <t>8</t>
        </is>
      </c>
      <c r="H62" s="12" t="inlineStr">
        <is>
          <t>chưa ghi hàn tại MX_PHẠM HÙNG (dự phòng / chưa rõ / không hàn)</t>
        </is>
      </c>
      <c r="I62" s="4" t="inlineStr"/>
      <c r="J62" s="4" t="inlineStr"/>
      <c r="K62" s="4" t="inlineStr"/>
      <c r="L62" s="4" t="inlineStr">
        <is>
          <t>MX_PHẠM HÙNG</t>
        </is>
      </c>
    </row>
    <row r="63">
      <c r="A63" s="4" t="inlineStr">
        <is>
          <t>HNB013</t>
        </is>
      </c>
      <c r="B63" s="4" t="inlineStr">
        <is>
          <t>C48</t>
        </is>
      </c>
      <c r="C63" s="4" t="inlineStr">
        <is>
          <t>POSTEF 2017</t>
        </is>
      </c>
      <c r="D63" s="4" t="n">
        <v>8</v>
      </c>
      <c r="E63" s="4" t="inlineStr">
        <is>
          <t>MX_HTP-03A</t>
        </is>
      </c>
      <c r="F63" s="4" t="n">
        <v>1</v>
      </c>
      <c r="G63" s="4" t="inlineStr">
        <is>
          <t>1</t>
        </is>
      </c>
      <c r="H63" s="11" t="inlineStr">
        <is>
          <t>đang chạy link R7-05 → NBE22</t>
        </is>
      </c>
      <c r="I63" s="4" t="inlineStr">
        <is>
          <t>NBE22</t>
        </is>
      </c>
      <c r="J63" s="4" t="inlineStr">
        <is>
          <t>R7-05</t>
        </is>
      </c>
      <c r="K63" s="4" t="inlineStr">
        <is>
          <t>mô tả</t>
        </is>
      </c>
      <c r="L63" s="4" t="inlineStr">
        <is>
          <t>MX_HTP-03A→ODF-01 NBE22</t>
        </is>
      </c>
    </row>
    <row r="64">
      <c r="A64" s="4" t="inlineStr">
        <is>
          <t>HNB013</t>
        </is>
      </c>
      <c r="B64" s="4" t="inlineStr">
        <is>
          <t>C48</t>
        </is>
      </c>
      <c r="C64" s="4" t="inlineStr">
        <is>
          <t>POSTEF 2017</t>
        </is>
      </c>
      <c r="D64" s="4" t="n">
        <v>8</v>
      </c>
      <c r="E64" s="4" t="inlineStr">
        <is>
          <t>MX_HTP-03A</t>
        </is>
      </c>
      <c r="F64" s="4" t="n">
        <v>2</v>
      </c>
      <c r="G64" s="4" t="inlineStr">
        <is>
          <t>2</t>
        </is>
      </c>
      <c r="H64" s="11" t="inlineStr">
        <is>
          <t>đang chạy link R7-05 → NBE22</t>
        </is>
      </c>
      <c r="I64" s="4" t="inlineStr">
        <is>
          <t>NBE22</t>
        </is>
      </c>
      <c r="J64" s="4" t="inlineStr">
        <is>
          <t>R7-05</t>
        </is>
      </c>
      <c r="K64" s="4" t="inlineStr">
        <is>
          <t>mô tả</t>
        </is>
      </c>
      <c r="L64" s="4" t="inlineStr">
        <is>
          <t>MX_HTP-03A→ODF-01 NBE22</t>
        </is>
      </c>
    </row>
    <row r="65">
      <c r="A65" s="4" t="inlineStr">
        <is>
          <t>HNB013</t>
        </is>
      </c>
      <c r="B65" s="4" t="inlineStr">
        <is>
          <t>C48</t>
        </is>
      </c>
      <c r="C65" s="4" t="inlineStr">
        <is>
          <t>POSTEF 2017</t>
        </is>
      </c>
      <c r="D65" s="4" t="n">
        <v>8</v>
      </c>
      <c r="E65" s="4" t="inlineStr">
        <is>
          <t>MX_HTP-03A</t>
        </is>
      </c>
      <c r="F65" s="4" t="n">
        <v>3</v>
      </c>
      <c r="G65" s="4" t="inlineStr">
        <is>
          <t>3</t>
        </is>
      </c>
      <c r="H65" s="13" t="inlineStr">
        <is>
          <t>hàn thông theo nhãn sơ đồ → NBE22 (chưa gán link)</t>
        </is>
      </c>
      <c r="I65" s="4" t="inlineStr">
        <is>
          <t>NBE22</t>
        </is>
      </c>
      <c r="J65" s="4" t="inlineStr"/>
      <c r="K65" s="4" t="inlineStr">
        <is>
          <t>sơ đồ MX</t>
        </is>
      </c>
      <c r="L65" s="4" t="inlineStr">
        <is>
          <t>MX_HTP-03A→ODF-01 NBE22</t>
        </is>
      </c>
    </row>
    <row r="66">
      <c r="A66" s="4" t="inlineStr">
        <is>
          <t>HNB013</t>
        </is>
      </c>
      <c r="B66" s="4" t="inlineStr">
        <is>
          <t>C48</t>
        </is>
      </c>
      <c r="C66" s="4" t="inlineStr">
        <is>
          <t>POSTEF 2017</t>
        </is>
      </c>
      <c r="D66" s="4" t="n">
        <v>8</v>
      </c>
      <c r="E66" s="4" t="inlineStr">
        <is>
          <t>MX_HTP-03A</t>
        </is>
      </c>
      <c r="F66" s="4" t="n">
        <v>4</v>
      </c>
      <c r="G66" s="4" t="inlineStr">
        <is>
          <t>4</t>
        </is>
      </c>
      <c r="H66" s="13" t="inlineStr">
        <is>
          <t>hàn thông theo nhãn sơ đồ → NBE22 (chưa gán link)</t>
        </is>
      </c>
      <c r="I66" s="4" t="inlineStr">
        <is>
          <t>NBE22</t>
        </is>
      </c>
      <c r="J66" s="4" t="inlineStr"/>
      <c r="K66" s="4" t="inlineStr">
        <is>
          <t>sơ đồ MX</t>
        </is>
      </c>
      <c r="L66" s="4" t="inlineStr">
        <is>
          <t>MX_HTP-03A→ODF-01 NBE22</t>
        </is>
      </c>
    </row>
    <row r="67">
      <c r="A67" s="4" t="inlineStr">
        <is>
          <t>HNB013</t>
        </is>
      </c>
      <c r="B67" s="4" t="inlineStr">
        <is>
          <t>C48</t>
        </is>
      </c>
      <c r="C67" s="4" t="inlineStr">
        <is>
          <t>POSTEF 2017</t>
        </is>
      </c>
      <c r="D67" s="4" t="n">
        <v>8</v>
      </c>
      <c r="E67" s="4" t="inlineStr">
        <is>
          <t>MX_HTP-03A</t>
        </is>
      </c>
      <c r="F67" s="4" t="n">
        <v>5</v>
      </c>
      <c r="G67" s="4" t="inlineStr">
        <is>
          <t>5</t>
        </is>
      </c>
      <c r="H67" s="13" t="inlineStr">
        <is>
          <t>hàn thông theo nhãn sơ đồ → NBE22 (chưa gán link)</t>
        </is>
      </c>
      <c r="I67" s="4" t="inlineStr">
        <is>
          <t>NBE22</t>
        </is>
      </c>
      <c r="J67" s="4" t="inlineStr"/>
      <c r="K67" s="4" t="inlineStr">
        <is>
          <t>sơ đồ MX</t>
        </is>
      </c>
      <c r="L67" s="4" t="inlineStr">
        <is>
          <t>MX_HTP-03A→ODF-01 NBE22</t>
        </is>
      </c>
    </row>
    <row r="68">
      <c r="A68" s="4" t="inlineStr">
        <is>
          <t>HNB013</t>
        </is>
      </c>
      <c r="B68" s="4" t="inlineStr">
        <is>
          <t>C48</t>
        </is>
      </c>
      <c r="C68" s="4" t="inlineStr">
        <is>
          <t>POSTEF 2017</t>
        </is>
      </c>
      <c r="D68" s="4" t="n">
        <v>8</v>
      </c>
      <c r="E68" s="4" t="inlineStr">
        <is>
          <t>MX_HTP-03A</t>
        </is>
      </c>
      <c r="F68" s="4" t="n">
        <v>6</v>
      </c>
      <c r="G68" s="4" t="inlineStr">
        <is>
          <t>6</t>
        </is>
      </c>
      <c r="H68" s="13" t="inlineStr">
        <is>
          <t>hàn thông theo nhãn sơ đồ → NBE22 (chưa gán link)</t>
        </is>
      </c>
      <c r="I68" s="4" t="inlineStr">
        <is>
          <t>NBE22</t>
        </is>
      </c>
      <c r="J68" s="4" t="inlineStr"/>
      <c r="K68" s="4" t="inlineStr">
        <is>
          <t>sơ đồ MX</t>
        </is>
      </c>
      <c r="L68" s="4" t="inlineStr">
        <is>
          <t>MX_HTP-03A→ODF-01 NBE22</t>
        </is>
      </c>
    </row>
    <row r="69">
      <c r="A69" s="4" t="inlineStr">
        <is>
          <t>HNB013</t>
        </is>
      </c>
      <c r="B69" s="4" t="inlineStr">
        <is>
          <t>C48</t>
        </is>
      </c>
      <c r="C69" s="4" t="inlineStr">
        <is>
          <t>POSTEF 2017</t>
        </is>
      </c>
      <c r="D69" s="4" t="n">
        <v>8</v>
      </c>
      <c r="E69" s="4" t="inlineStr">
        <is>
          <t>MX_HTP-03A</t>
        </is>
      </c>
      <c r="F69" s="4" t="n">
        <v>7</v>
      </c>
      <c r="G69" s="4" t="inlineStr">
        <is>
          <t>không có cổng ODF (ODF chỉ có 6 cổng hướng này)</t>
        </is>
      </c>
      <c r="H69" s="12" t="inlineStr">
        <is>
          <t>chưa ghi hàn tại MX_HTP-03A (dự phòng / chưa rõ / không hàn)</t>
        </is>
      </c>
      <c r="I69" s="4" t="inlineStr"/>
      <c r="J69" s="4" t="inlineStr"/>
      <c r="K69" s="4" t="inlineStr"/>
      <c r="L69" s="4" t="inlineStr">
        <is>
          <t>MX_HTP-03A</t>
        </is>
      </c>
    </row>
    <row r="70">
      <c r="A70" s="4" t="inlineStr">
        <is>
          <t>HNB013</t>
        </is>
      </c>
      <c r="B70" s="4" t="inlineStr">
        <is>
          <t>C48</t>
        </is>
      </c>
      <c r="C70" s="4" t="inlineStr">
        <is>
          <t>POSTEF 2017</t>
        </is>
      </c>
      <c r="D70" s="4" t="n">
        <v>8</v>
      </c>
      <c r="E70" s="4" t="inlineStr">
        <is>
          <t>MX_HTP-03A</t>
        </is>
      </c>
      <c r="F70" s="4" t="n">
        <v>8</v>
      </c>
      <c r="G70" s="4" t="inlineStr">
        <is>
          <t>không có cổng ODF (ODF chỉ có 6 cổng hướng này)</t>
        </is>
      </c>
      <c r="H70" s="12" t="inlineStr">
        <is>
          <t>chưa ghi hàn tại MX_HTP-03A (dự phòng / chưa rõ / không hàn)</t>
        </is>
      </c>
      <c r="I70" s="4" t="inlineStr"/>
      <c r="J70" s="4" t="inlineStr"/>
      <c r="K70" s="4" t="inlineStr"/>
      <c r="L70" s="4" t="inlineStr">
        <is>
          <t>MX_HTP-03A</t>
        </is>
      </c>
    </row>
    <row r="71">
      <c r="A71" s="4" t="inlineStr">
        <is>
          <t>HNB013</t>
        </is>
      </c>
      <c r="B71" s="4" t="inlineStr">
        <is>
          <t>C66</t>
        </is>
      </c>
      <c r="C71" s="4" t="inlineStr">
        <is>
          <t>ETCC-2009</t>
        </is>
      </c>
      <c r="D71" s="4" t="n">
        <v>8</v>
      </c>
      <c r="E71" s="4" t="inlineStr">
        <is>
          <t>MX thẳng 13-21</t>
        </is>
      </c>
      <c r="F71" s="4" t="n">
        <v>1</v>
      </c>
      <c r="G71" s="4" t="inlineStr">
        <is>
          <t>1</t>
        </is>
      </c>
      <c r="H71" s="11" t="inlineStr">
        <is>
          <t>đang chạy link R7-04 → HNB021</t>
        </is>
      </c>
      <c r="I71" s="4" t="inlineStr">
        <is>
          <t>HNB021</t>
        </is>
      </c>
      <c r="J71" s="4" t="inlineStr">
        <is>
          <t>R7-04</t>
        </is>
      </c>
      <c r="K71" s="4" t="inlineStr">
        <is>
          <t>mô tả</t>
        </is>
      </c>
      <c r="L71" s="4" t="inlineStr">
        <is>
          <t>MX thẳng 13-21→HNB021</t>
        </is>
      </c>
    </row>
    <row r="72">
      <c r="A72" s="4" t="inlineStr">
        <is>
          <t>HNB013</t>
        </is>
      </c>
      <c r="B72" s="4" t="inlineStr">
        <is>
          <t>C66</t>
        </is>
      </c>
      <c r="C72" s="4" t="inlineStr">
        <is>
          <t>ETCC-2009</t>
        </is>
      </c>
      <c r="D72" s="4" t="n">
        <v>8</v>
      </c>
      <c r="E72" s="4" t="inlineStr">
        <is>
          <t>MX thẳng 13-21</t>
        </is>
      </c>
      <c r="F72" s="4" t="n">
        <v>2</v>
      </c>
      <c r="G72" s="4" t="inlineStr">
        <is>
          <t>2</t>
        </is>
      </c>
      <c r="H72" s="11" t="inlineStr">
        <is>
          <t>đang chạy link R7-04 → HNB021</t>
        </is>
      </c>
      <c r="I72" s="4" t="inlineStr">
        <is>
          <t>HNB021</t>
        </is>
      </c>
      <c r="J72" s="4" t="inlineStr">
        <is>
          <t>R7-04</t>
        </is>
      </c>
      <c r="K72" s="4" t="inlineStr">
        <is>
          <t>mô tả</t>
        </is>
      </c>
      <c r="L72" s="4" t="inlineStr">
        <is>
          <t>MX thẳng 13-21→HNB021</t>
        </is>
      </c>
    </row>
    <row r="73">
      <c r="A73" s="4" t="inlineStr">
        <is>
          <t>HNB013</t>
        </is>
      </c>
      <c r="B73" s="4" t="inlineStr">
        <is>
          <t>C66</t>
        </is>
      </c>
      <c r="C73" s="4" t="inlineStr">
        <is>
          <t>ETCC-2009</t>
        </is>
      </c>
      <c r="D73" s="4" t="n">
        <v>8</v>
      </c>
      <c r="E73" s="4" t="inlineStr">
        <is>
          <t>MX thẳng 13-21</t>
        </is>
      </c>
      <c r="F73" s="4" t="n">
        <v>3</v>
      </c>
      <c r="G73" s="4" t="inlineStr">
        <is>
          <t>3</t>
        </is>
      </c>
      <c r="H73" s="13" t="inlineStr">
        <is>
          <t>hàn thông (MX thẳng, theo số mối hàn) → HNB021</t>
        </is>
      </c>
      <c r="I73" s="4" t="inlineStr">
        <is>
          <t>HNB021</t>
        </is>
      </c>
      <c r="J73" s="4" t="inlineStr"/>
      <c r="K73" s="4" t="inlineStr">
        <is>
          <t>MX thẳng (số mối hàn)</t>
        </is>
      </c>
      <c r="L73" s="4" t="inlineStr">
        <is>
          <t>MX thẳng 13-21→HNB021</t>
        </is>
      </c>
    </row>
    <row r="74">
      <c r="A74" s="4" t="inlineStr">
        <is>
          <t>HNB013</t>
        </is>
      </c>
      <c r="B74" s="4" t="inlineStr">
        <is>
          <t>C66</t>
        </is>
      </c>
      <c r="C74" s="4" t="inlineStr">
        <is>
          <t>ETCC-2009</t>
        </is>
      </c>
      <c r="D74" s="4" t="n">
        <v>8</v>
      </c>
      <c r="E74" s="4" t="inlineStr">
        <is>
          <t>MX thẳng 13-21</t>
        </is>
      </c>
      <c r="F74" s="4" t="n">
        <v>4</v>
      </c>
      <c r="G74" s="4" t="inlineStr">
        <is>
          <t>4</t>
        </is>
      </c>
      <c r="H74" s="13" t="inlineStr">
        <is>
          <t>hàn thông (MX thẳng, theo số mối hàn) → HNB021</t>
        </is>
      </c>
      <c r="I74" s="4" t="inlineStr">
        <is>
          <t>HNB021</t>
        </is>
      </c>
      <c r="J74" s="4" t="inlineStr"/>
      <c r="K74" s="4" t="inlineStr">
        <is>
          <t>MX thẳng (số mối hàn)</t>
        </is>
      </c>
      <c r="L74" s="4" t="inlineStr">
        <is>
          <t>MX thẳng 13-21→HNB021</t>
        </is>
      </c>
    </row>
    <row r="75">
      <c r="A75" s="4" t="inlineStr">
        <is>
          <t>HNB013</t>
        </is>
      </c>
      <c r="B75" s="4" t="inlineStr">
        <is>
          <t>C66</t>
        </is>
      </c>
      <c r="C75" s="4" t="inlineStr">
        <is>
          <t>ETCC-2009</t>
        </is>
      </c>
      <c r="D75" s="4" t="n">
        <v>8</v>
      </c>
      <c r="E75" s="4" t="inlineStr">
        <is>
          <t>MX thẳng 13-21</t>
        </is>
      </c>
      <c r="F75" s="4" t="n">
        <v>5</v>
      </c>
      <c r="G75" s="4" t="inlineStr">
        <is>
          <t>5</t>
        </is>
      </c>
      <c r="H75" s="13" t="inlineStr">
        <is>
          <t>hàn thông (MX thẳng, theo số mối hàn) → HNB021</t>
        </is>
      </c>
      <c r="I75" s="4" t="inlineStr">
        <is>
          <t>HNB021</t>
        </is>
      </c>
      <c r="J75" s="4" t="inlineStr"/>
      <c r="K75" s="4" t="inlineStr">
        <is>
          <t>MX thẳng (số mối hàn)</t>
        </is>
      </c>
      <c r="L75" s="4" t="inlineStr">
        <is>
          <t>MX thẳng 13-21→HNB021</t>
        </is>
      </c>
    </row>
    <row r="76">
      <c r="A76" s="4" t="inlineStr">
        <is>
          <t>HNB013</t>
        </is>
      </c>
      <c r="B76" s="4" t="inlineStr">
        <is>
          <t>C66</t>
        </is>
      </c>
      <c r="C76" s="4" t="inlineStr">
        <is>
          <t>ETCC-2009</t>
        </is>
      </c>
      <c r="D76" s="4" t="n">
        <v>8</v>
      </c>
      <c r="E76" s="4" t="inlineStr">
        <is>
          <t>MX thẳng 13-21</t>
        </is>
      </c>
      <c r="F76" s="4" t="n">
        <v>6</v>
      </c>
      <c r="G76" s="4" t="inlineStr">
        <is>
          <t>6</t>
        </is>
      </c>
      <c r="H76" s="13" t="inlineStr">
        <is>
          <t>hàn thông (MX thẳng, theo số mối hàn) → HNB021</t>
        </is>
      </c>
      <c r="I76" s="4" t="inlineStr">
        <is>
          <t>HNB021</t>
        </is>
      </c>
      <c r="J76" s="4" t="inlineStr"/>
      <c r="K76" s="4" t="inlineStr">
        <is>
          <t>MX thẳng (số mối hàn)</t>
        </is>
      </c>
      <c r="L76" s="4" t="inlineStr">
        <is>
          <t>MX thẳng 13-21→HNB021</t>
        </is>
      </c>
    </row>
    <row r="77">
      <c r="A77" s="4" t="inlineStr">
        <is>
          <t>HNB013</t>
        </is>
      </c>
      <c r="B77" s="4" t="inlineStr">
        <is>
          <t>C66</t>
        </is>
      </c>
      <c r="C77" s="4" t="inlineStr">
        <is>
          <t>ETCC-2009</t>
        </is>
      </c>
      <c r="D77" s="4" t="n">
        <v>8</v>
      </c>
      <c r="E77" s="4" t="inlineStr">
        <is>
          <t>MX thẳng 13-21</t>
        </is>
      </c>
      <c r="F77" s="4" t="n">
        <v>7</v>
      </c>
      <c r="G77" s="4" t="inlineStr">
        <is>
          <t>không có cổng ODF (ODF chỉ có 6 cổng hướng này)</t>
        </is>
      </c>
      <c r="H77" s="13" t="inlineStr">
        <is>
          <t>hàn thông (MX thẳng, theo số mối hàn) → HNB021</t>
        </is>
      </c>
      <c r="I77" s="4" t="inlineStr">
        <is>
          <t>HNB021</t>
        </is>
      </c>
      <c r="J77" s="4" t="inlineStr"/>
      <c r="K77" s="4" t="inlineStr">
        <is>
          <t>MX thẳng (số mối hàn)</t>
        </is>
      </c>
      <c r="L77" s="4" t="inlineStr">
        <is>
          <t>MX thẳng 13-21→HNB021</t>
        </is>
      </c>
    </row>
    <row r="78">
      <c r="A78" s="4" t="inlineStr">
        <is>
          <t>HNB013</t>
        </is>
      </c>
      <c r="B78" s="4" t="inlineStr">
        <is>
          <t>C66</t>
        </is>
      </c>
      <c r="C78" s="4" t="inlineStr">
        <is>
          <t>ETCC-2009</t>
        </is>
      </c>
      <c r="D78" s="4" t="n">
        <v>8</v>
      </c>
      <c r="E78" s="4" t="inlineStr">
        <is>
          <t>MX thẳng 13-21</t>
        </is>
      </c>
      <c r="F78" s="4" t="n">
        <v>8</v>
      </c>
      <c r="G78" s="4" t="inlineStr">
        <is>
          <t>không có cổng ODF (ODF chỉ có 6 cổng hướng này)</t>
        </is>
      </c>
      <c r="H78" s="13" t="inlineStr">
        <is>
          <t>hàn thông (MX thẳng, theo số mối hàn) → HNB021</t>
        </is>
      </c>
      <c r="I78" s="4" t="inlineStr">
        <is>
          <t>HNB021</t>
        </is>
      </c>
      <c r="J78" s="4" t="inlineStr"/>
      <c r="K78" s="4" t="inlineStr">
        <is>
          <t>MX thẳng (số mối hàn)</t>
        </is>
      </c>
      <c r="L78" s="4" t="inlineStr">
        <is>
          <t>MX thẳng 13-21→HNB021</t>
        </is>
      </c>
    </row>
    <row r="79">
      <c r="A79" s="4" t="inlineStr">
        <is>
          <t>HNB014</t>
        </is>
      </c>
      <c r="B79" s="4" t="inlineStr">
        <is>
          <t>C70</t>
        </is>
      </c>
      <c r="C79" s="4" t="inlineStr">
        <is>
          <t>FOCAL 2020</t>
        </is>
      </c>
      <c r="D79" s="4" t="n">
        <v>6</v>
      </c>
      <c r="E79" s="4" t="inlineStr">
        <is>
          <t>HNB075</t>
        </is>
      </c>
      <c r="F79" s="4" t="n">
        <v>1</v>
      </c>
      <c r="G79" s="4" t="inlineStr">
        <is>
          <t>1</t>
        </is>
      </c>
      <c r="H79" s="13" t="inlineStr">
        <is>
          <t>sợi nối trực tiếp → HNB075 (chưa rõ đã hàn pigtail ở ODF hai đầu)</t>
        </is>
      </c>
      <c r="I79" s="4" t="inlineStr">
        <is>
          <t>HNB075</t>
        </is>
      </c>
      <c r="J79" s="4" t="inlineStr"/>
      <c r="K79" s="4" t="inlineStr"/>
      <c r="L79" s="4" t="inlineStr">
        <is>
          <t>HNB075</t>
        </is>
      </c>
    </row>
    <row r="80">
      <c r="A80" s="4" t="inlineStr">
        <is>
          <t>HNB014</t>
        </is>
      </c>
      <c r="B80" s="4" t="inlineStr">
        <is>
          <t>C70</t>
        </is>
      </c>
      <c r="C80" s="4" t="inlineStr">
        <is>
          <t>FOCAL 2020</t>
        </is>
      </c>
      <c r="D80" s="4" t="n">
        <v>6</v>
      </c>
      <c r="E80" s="4" t="inlineStr">
        <is>
          <t>HNB075</t>
        </is>
      </c>
      <c r="F80" s="4" t="n">
        <v>2</v>
      </c>
      <c r="G80" s="4" t="inlineStr">
        <is>
          <t>2</t>
        </is>
      </c>
      <c r="H80" s="13" t="inlineStr">
        <is>
          <t>sợi nối trực tiếp → HNB075 (chưa rõ đã hàn pigtail ở ODF hai đầu)</t>
        </is>
      </c>
      <c r="I80" s="4" t="inlineStr">
        <is>
          <t>HNB075</t>
        </is>
      </c>
      <c r="J80" s="4" t="inlineStr"/>
      <c r="K80" s="4" t="inlineStr"/>
      <c r="L80" s="4" t="inlineStr">
        <is>
          <t>HNB075</t>
        </is>
      </c>
    </row>
    <row r="81">
      <c r="A81" s="4" t="inlineStr">
        <is>
          <t>HNB014</t>
        </is>
      </c>
      <c r="B81" s="4" t="inlineStr">
        <is>
          <t>C70</t>
        </is>
      </c>
      <c r="C81" s="4" t="inlineStr">
        <is>
          <t>FOCAL 2020</t>
        </is>
      </c>
      <c r="D81" s="4" t="n">
        <v>6</v>
      </c>
      <c r="E81" s="4" t="inlineStr">
        <is>
          <t>HNB075</t>
        </is>
      </c>
      <c r="F81" s="4" t="n">
        <v>3</v>
      </c>
      <c r="G81" s="4" t="inlineStr">
        <is>
          <t>3</t>
        </is>
      </c>
      <c r="H81" s="13" t="inlineStr">
        <is>
          <t>sợi nối trực tiếp → HNB075 (chưa rõ đã hàn pigtail ở ODF hai đầu)</t>
        </is>
      </c>
      <c r="I81" s="4" t="inlineStr">
        <is>
          <t>HNB075</t>
        </is>
      </c>
      <c r="J81" s="4" t="inlineStr"/>
      <c r="K81" s="4" t="inlineStr"/>
      <c r="L81" s="4" t="inlineStr">
        <is>
          <t>HNB075</t>
        </is>
      </c>
    </row>
    <row r="82">
      <c r="A82" s="4" t="inlineStr">
        <is>
          <t>HNB014</t>
        </is>
      </c>
      <c r="B82" s="4" t="inlineStr">
        <is>
          <t>C70</t>
        </is>
      </c>
      <c r="C82" s="4" t="inlineStr">
        <is>
          <t>FOCAL 2020</t>
        </is>
      </c>
      <c r="D82" s="4" t="n">
        <v>6</v>
      </c>
      <c r="E82" s="4" t="inlineStr">
        <is>
          <t>HNB075</t>
        </is>
      </c>
      <c r="F82" s="4" t="n">
        <v>4</v>
      </c>
      <c r="G82" s="4" t="inlineStr">
        <is>
          <t>4</t>
        </is>
      </c>
      <c r="H82" s="13" t="inlineStr">
        <is>
          <t>sợi nối trực tiếp → HNB075 (chưa rõ đã hàn pigtail ở ODF hai đầu)</t>
        </is>
      </c>
      <c r="I82" s="4" t="inlineStr">
        <is>
          <t>HNB075</t>
        </is>
      </c>
      <c r="J82" s="4" t="inlineStr"/>
      <c r="K82" s="4" t="inlineStr"/>
      <c r="L82" s="4" t="inlineStr">
        <is>
          <t>HNB075</t>
        </is>
      </c>
    </row>
    <row r="83">
      <c r="A83" s="4" t="inlineStr">
        <is>
          <t>HNB014</t>
        </is>
      </c>
      <c r="B83" s="4" t="inlineStr">
        <is>
          <t>C70</t>
        </is>
      </c>
      <c r="C83" s="4" t="inlineStr">
        <is>
          <t>FOCAL 2020</t>
        </is>
      </c>
      <c r="D83" s="4" t="n">
        <v>6</v>
      </c>
      <c r="E83" s="4" t="inlineStr">
        <is>
          <t>HNB075</t>
        </is>
      </c>
      <c r="F83" s="4" t="n">
        <v>5</v>
      </c>
      <c r="G83" s="4" t="inlineStr">
        <is>
          <t>5</t>
        </is>
      </c>
      <c r="H83" s="13" t="inlineStr">
        <is>
          <t>sợi nối trực tiếp → HNB075 (chưa rõ đã hàn pigtail ở ODF hai đầu)</t>
        </is>
      </c>
      <c r="I83" s="4" t="inlineStr">
        <is>
          <t>HNB075</t>
        </is>
      </c>
      <c r="J83" s="4" t="inlineStr"/>
      <c r="K83" s="4" t="inlineStr"/>
      <c r="L83" s="4" t="inlineStr">
        <is>
          <t>HNB075</t>
        </is>
      </c>
    </row>
    <row r="84">
      <c r="A84" s="4" t="inlineStr">
        <is>
          <t>HNB014</t>
        </is>
      </c>
      <c r="B84" s="4" t="inlineStr">
        <is>
          <t>C70</t>
        </is>
      </c>
      <c r="C84" s="4" t="inlineStr">
        <is>
          <t>FOCAL 2020</t>
        </is>
      </c>
      <c r="D84" s="4" t="n">
        <v>6</v>
      </c>
      <c r="E84" s="4" t="inlineStr">
        <is>
          <t>HNB075</t>
        </is>
      </c>
      <c r="F84" s="4" t="n">
        <v>6</v>
      </c>
      <c r="G84" s="4" t="inlineStr">
        <is>
          <t>6</t>
        </is>
      </c>
      <c r="H84" s="13" t="inlineStr">
        <is>
          <t>sợi nối trực tiếp → HNB075 (chưa rõ đã hàn pigtail ở ODF hai đầu)</t>
        </is>
      </c>
      <c r="I84" s="4" t="inlineStr">
        <is>
          <t>HNB075</t>
        </is>
      </c>
      <c r="J84" s="4" t="inlineStr"/>
      <c r="K84" s="4" t="inlineStr"/>
      <c r="L84" s="4" t="inlineStr">
        <is>
          <t>HNB075</t>
        </is>
      </c>
    </row>
    <row r="85">
      <c r="A85" s="4" t="inlineStr">
        <is>
          <t>HNB014</t>
        </is>
      </c>
      <c r="B85" s="4" t="inlineStr">
        <is>
          <t>C75</t>
        </is>
      </c>
      <c r="C85" s="4" t="inlineStr">
        <is>
          <t>FOCAL</t>
        </is>
      </c>
      <c r="D85" s="4" t="n">
        <v>8</v>
      </c>
      <c r="E85" s="4" t="inlineStr">
        <is>
          <t>MX cầu NVL 1</t>
        </is>
      </c>
      <c r="F85" s="4" t="n">
        <v>1</v>
      </c>
      <c r="G85" s="4" t="inlineStr">
        <is>
          <t>1</t>
        </is>
      </c>
      <c r="H85" s="11" t="inlineStr">
        <is>
          <t>đang chạy link R5-02 → HNB012</t>
        </is>
      </c>
      <c r="I85" s="4" t="inlineStr">
        <is>
          <t>HNB012</t>
        </is>
      </c>
      <c r="J85" s="4" t="inlineStr">
        <is>
          <t>R5-02</t>
        </is>
      </c>
      <c r="K85" s="4" t="inlineStr">
        <is>
          <t>mô tả</t>
        </is>
      </c>
      <c r="L85" s="4" t="inlineStr">
        <is>
          <t>MX cầu NVL 1→MX cầu NVL 2→MX thẳng Phạm Hùng→MX_PHẠM HÙNG→HNB012</t>
        </is>
      </c>
    </row>
    <row r="86">
      <c r="A86" s="4" t="inlineStr">
        <is>
          <t>HNB014</t>
        </is>
      </c>
      <c r="B86" s="4" t="inlineStr">
        <is>
          <t>C75</t>
        </is>
      </c>
      <c r="C86" s="4" t="inlineStr">
        <is>
          <t>FOCAL</t>
        </is>
      </c>
      <c r="D86" s="4" t="n">
        <v>8</v>
      </c>
      <c r="E86" s="4" t="inlineStr">
        <is>
          <t>MX cầu NVL 1</t>
        </is>
      </c>
      <c r="F86" s="4" t="n">
        <v>2</v>
      </c>
      <c r="G86" s="4" t="inlineStr">
        <is>
          <t>2</t>
        </is>
      </c>
      <c r="H86" s="11" t="inlineStr">
        <is>
          <t>đang chạy link R5-02 → HNB012</t>
        </is>
      </c>
      <c r="I86" s="4" t="inlineStr">
        <is>
          <t>HNB012</t>
        </is>
      </c>
      <c r="J86" s="4" t="inlineStr">
        <is>
          <t>R5-02</t>
        </is>
      </c>
      <c r="K86" s="4" t="inlineStr">
        <is>
          <t>mô tả</t>
        </is>
      </c>
      <c r="L86" s="4" t="inlineStr">
        <is>
          <t>MX cầu NVL 1→MX cầu NVL 2→MX thẳng Phạm Hùng→MX_PHẠM HÙNG→HNB012</t>
        </is>
      </c>
    </row>
    <row r="87">
      <c r="A87" s="4" t="inlineStr">
        <is>
          <t>HNB014</t>
        </is>
      </c>
      <c r="B87" s="4" t="inlineStr">
        <is>
          <t>C75</t>
        </is>
      </c>
      <c r="C87" s="4" t="inlineStr">
        <is>
          <t>FOCAL</t>
        </is>
      </c>
      <c r="D87" s="4" t="n">
        <v>8</v>
      </c>
      <c r="E87" s="4" t="inlineStr">
        <is>
          <t>MX cầu NVL 1</t>
        </is>
      </c>
      <c r="F87" s="4" t="n">
        <v>3</v>
      </c>
      <c r="G87" s="4" t="inlineStr">
        <is>
          <t>3</t>
        </is>
      </c>
      <c r="H87" s="13" t="inlineStr">
        <is>
          <t>hàn thông theo nhãn sơ đồ → HNB012 (chưa gán link)</t>
        </is>
      </c>
      <c r="I87" s="4" t="inlineStr">
        <is>
          <t>HNB012</t>
        </is>
      </c>
      <c r="J87" s="4" t="inlineStr"/>
      <c r="K87" s="4" t="inlineStr">
        <is>
          <t>MX thẳng (số mối hàn), sơ đồ MX</t>
        </is>
      </c>
      <c r="L87" s="4" t="inlineStr">
        <is>
          <t>MX cầu NVL 1→MX cầu NVL 2→MX thẳng Phạm Hùng→MX_PHẠM HÙNG→HNB012</t>
        </is>
      </c>
    </row>
    <row r="88">
      <c r="A88" s="4" t="inlineStr">
        <is>
          <t>HNB014</t>
        </is>
      </c>
      <c r="B88" s="4" t="inlineStr">
        <is>
          <t>C75</t>
        </is>
      </c>
      <c r="C88" s="4" t="inlineStr">
        <is>
          <t>FOCAL</t>
        </is>
      </c>
      <c r="D88" s="4" t="n">
        <v>8</v>
      </c>
      <c r="E88" s="4" t="inlineStr">
        <is>
          <t>MX cầu NVL 1</t>
        </is>
      </c>
      <c r="F88" s="4" t="n">
        <v>4</v>
      </c>
      <c r="G88" s="4" t="inlineStr">
        <is>
          <t>4</t>
        </is>
      </c>
      <c r="H88" s="13" t="inlineStr">
        <is>
          <t>hàn thông theo nhãn sơ đồ → HNB012 (chưa gán link)</t>
        </is>
      </c>
      <c r="I88" s="4" t="inlineStr">
        <is>
          <t>HNB012</t>
        </is>
      </c>
      <c r="J88" s="4" t="inlineStr"/>
      <c r="K88" s="4" t="inlineStr">
        <is>
          <t>MX thẳng (số mối hàn), sơ đồ MX</t>
        </is>
      </c>
      <c r="L88" s="4" t="inlineStr">
        <is>
          <t>MX cầu NVL 1→MX cầu NVL 2→MX thẳng Phạm Hùng→MX_PHẠM HÙNG→HNB012</t>
        </is>
      </c>
    </row>
    <row r="89">
      <c r="A89" s="4" t="inlineStr">
        <is>
          <t>HNB014</t>
        </is>
      </c>
      <c r="B89" s="4" t="inlineStr">
        <is>
          <t>C75</t>
        </is>
      </c>
      <c r="C89" s="4" t="inlineStr">
        <is>
          <t>FOCAL</t>
        </is>
      </c>
      <c r="D89" s="4" t="n">
        <v>8</v>
      </c>
      <c r="E89" s="4" t="inlineStr">
        <is>
          <t>MX cầu NVL 1</t>
        </is>
      </c>
      <c r="F89" s="4" t="n">
        <v>5</v>
      </c>
      <c r="G89" s="4" t="inlineStr">
        <is>
          <t>5</t>
        </is>
      </c>
      <c r="H89" s="12" t="inlineStr">
        <is>
          <t>chưa ghi hàn tại MX_PHẠM HÙNG (dự phòng / chưa rõ / không hàn)</t>
        </is>
      </c>
      <c r="I89" s="4" t="inlineStr"/>
      <c r="J89" s="4" t="inlineStr"/>
      <c r="K89" s="4" t="inlineStr">
        <is>
          <t>MX thẳng (số mối hàn)</t>
        </is>
      </c>
      <c r="L89" s="4" t="inlineStr">
        <is>
          <t>MX_PHẠM HÙNG</t>
        </is>
      </c>
    </row>
    <row r="90">
      <c r="A90" s="4" t="inlineStr">
        <is>
          <t>HNB014</t>
        </is>
      </c>
      <c r="B90" s="4" t="inlineStr">
        <is>
          <t>C75</t>
        </is>
      </c>
      <c r="C90" s="4" t="inlineStr">
        <is>
          <t>FOCAL</t>
        </is>
      </c>
      <c r="D90" s="4" t="n">
        <v>8</v>
      </c>
      <c r="E90" s="4" t="inlineStr">
        <is>
          <t>MX cầu NVL 1</t>
        </is>
      </c>
      <c r="F90" s="4" t="n">
        <v>6</v>
      </c>
      <c r="G90" s="4" t="inlineStr">
        <is>
          <t>6</t>
        </is>
      </c>
      <c r="H90" s="12" t="inlineStr">
        <is>
          <t>chưa ghi hàn tại MX_PHẠM HÙNG (dự phòng / chưa rõ / không hàn)</t>
        </is>
      </c>
      <c r="I90" s="4" t="inlineStr"/>
      <c r="J90" s="4" t="inlineStr"/>
      <c r="K90" s="4" t="inlineStr">
        <is>
          <t>MX thẳng (số mối hàn)</t>
        </is>
      </c>
      <c r="L90" s="4" t="inlineStr">
        <is>
          <t>MX_PHẠM HÙNG</t>
        </is>
      </c>
    </row>
    <row r="91">
      <c r="A91" s="4" t="inlineStr">
        <is>
          <t>HNB014</t>
        </is>
      </c>
      <c r="B91" s="4" t="inlineStr">
        <is>
          <t>C75</t>
        </is>
      </c>
      <c r="C91" s="4" t="inlineStr">
        <is>
          <t>FOCAL</t>
        </is>
      </c>
      <c r="D91" s="4" t="n">
        <v>8</v>
      </c>
      <c r="E91" s="4" t="inlineStr">
        <is>
          <t>MX cầu NVL 1</t>
        </is>
      </c>
      <c r="F91" s="4" t="n">
        <v>7</v>
      </c>
      <c r="G91" s="4" t="inlineStr">
        <is>
          <t>7</t>
        </is>
      </c>
      <c r="H91" s="12" t="inlineStr">
        <is>
          <t>chưa ghi hàn tại MX_PHẠM HÙNG (dự phòng / chưa rõ / không hàn)</t>
        </is>
      </c>
      <c r="I91" s="4" t="inlineStr"/>
      <c r="J91" s="4" t="inlineStr"/>
      <c r="K91" s="4" t="inlineStr">
        <is>
          <t>MX thẳng (số mối hàn)</t>
        </is>
      </c>
      <c r="L91" s="4" t="inlineStr">
        <is>
          <t>MX_PHẠM HÙNG</t>
        </is>
      </c>
    </row>
    <row r="92">
      <c r="A92" s="4" t="inlineStr">
        <is>
          <t>HNB014</t>
        </is>
      </c>
      <c r="B92" s="4" t="inlineStr">
        <is>
          <t>C75</t>
        </is>
      </c>
      <c r="C92" s="4" t="inlineStr">
        <is>
          <t>FOCAL</t>
        </is>
      </c>
      <c r="D92" s="4" t="n">
        <v>8</v>
      </c>
      <c r="E92" s="4" t="inlineStr">
        <is>
          <t>MX cầu NVL 1</t>
        </is>
      </c>
      <c r="F92" s="4" t="n">
        <v>8</v>
      </c>
      <c r="G92" s="4" t="inlineStr">
        <is>
          <t>8</t>
        </is>
      </c>
      <c r="H92" s="12" t="inlineStr">
        <is>
          <t>chưa ghi hàn tại MX_PHẠM HÙNG (dự phòng / chưa rõ / không hàn)</t>
        </is>
      </c>
      <c r="I92" s="4" t="inlineStr"/>
      <c r="J92" s="4" t="inlineStr"/>
      <c r="K92" s="4" t="inlineStr">
        <is>
          <t>MX thẳng (số mối hàn)</t>
        </is>
      </c>
      <c r="L92" s="4" t="inlineStr">
        <is>
          <t>MX_PHẠM HÙNG</t>
        </is>
      </c>
    </row>
    <row r="93">
      <c r="A93" s="4" t="inlineStr">
        <is>
          <t>HNB016</t>
        </is>
      </c>
      <c r="B93" s="4" t="inlineStr">
        <is>
          <t>C68</t>
        </is>
      </c>
      <c r="C93" s="4" t="inlineStr">
        <is>
          <t>POSTEF 2017</t>
        </is>
      </c>
      <c r="D93" s="4" t="n">
        <v>8</v>
      </c>
      <c r="E93" s="4" t="inlineStr">
        <is>
          <t>MX thẳng 66-16</t>
        </is>
      </c>
      <c r="F93" s="4" t="n">
        <v>1</v>
      </c>
      <c r="G93" s="4" t="inlineStr">
        <is>
          <t>1</t>
        </is>
      </c>
      <c r="H93" s="11" t="inlineStr">
        <is>
          <t>đang chạy link R8-02 → HNB066</t>
        </is>
      </c>
      <c r="I93" s="4" t="inlineStr">
        <is>
          <t>HNB066</t>
        </is>
      </c>
      <c r="J93" s="4" t="inlineStr">
        <is>
          <t>R8-02</t>
        </is>
      </c>
      <c r="K93" s="4" t="inlineStr">
        <is>
          <t>mô tả</t>
        </is>
      </c>
      <c r="L93" s="4" t="inlineStr">
        <is>
          <t>MX thẳng 66-16→HNB066</t>
        </is>
      </c>
    </row>
    <row r="94">
      <c r="A94" s="4" t="inlineStr">
        <is>
          <t>HNB016</t>
        </is>
      </c>
      <c r="B94" s="4" t="inlineStr">
        <is>
          <t>C68</t>
        </is>
      </c>
      <c r="C94" s="4" t="inlineStr">
        <is>
          <t>POSTEF 2017</t>
        </is>
      </c>
      <c r="D94" s="4" t="n">
        <v>8</v>
      </c>
      <c r="E94" s="4" t="inlineStr">
        <is>
          <t>MX thẳng 66-16</t>
        </is>
      </c>
      <c r="F94" s="4" t="n">
        <v>2</v>
      </c>
      <c r="G94" s="4" t="inlineStr">
        <is>
          <t>2</t>
        </is>
      </c>
      <c r="H94" s="11" t="inlineStr">
        <is>
          <t>đang chạy link R8-02 → HNB066</t>
        </is>
      </c>
      <c r="I94" s="4" t="inlineStr">
        <is>
          <t>HNB066</t>
        </is>
      </c>
      <c r="J94" s="4" t="inlineStr">
        <is>
          <t>R8-02</t>
        </is>
      </c>
      <c r="K94" s="4" t="inlineStr">
        <is>
          <t>mô tả</t>
        </is>
      </c>
      <c r="L94" s="4" t="inlineStr">
        <is>
          <t>MX thẳng 66-16→HNB066</t>
        </is>
      </c>
    </row>
    <row r="95">
      <c r="A95" s="4" t="inlineStr">
        <is>
          <t>HNB016</t>
        </is>
      </c>
      <c r="B95" s="4" t="inlineStr">
        <is>
          <t>C68</t>
        </is>
      </c>
      <c r="C95" s="4" t="inlineStr">
        <is>
          <t>POSTEF 2017</t>
        </is>
      </c>
      <c r="D95" s="4" t="n">
        <v>8</v>
      </c>
      <c r="E95" s="4" t="inlineStr">
        <is>
          <t>MX thẳng 66-16</t>
        </is>
      </c>
      <c r="F95" s="4" t="n">
        <v>3</v>
      </c>
      <c r="G95" s="4" t="inlineStr">
        <is>
          <t>3</t>
        </is>
      </c>
      <c r="H95" s="13" t="inlineStr">
        <is>
          <t>hàn thông (MX thẳng, theo số mối hàn) → HNB066</t>
        </is>
      </c>
      <c r="I95" s="4" t="inlineStr">
        <is>
          <t>HNB066</t>
        </is>
      </c>
      <c r="J95" s="4" t="inlineStr"/>
      <c r="K95" s="4" t="inlineStr">
        <is>
          <t>MX thẳng (số mối hàn)</t>
        </is>
      </c>
      <c r="L95" s="4" t="inlineStr">
        <is>
          <t>MX thẳng 66-16→HNB066</t>
        </is>
      </c>
    </row>
    <row r="96">
      <c r="A96" s="4" t="inlineStr">
        <is>
          <t>HNB016</t>
        </is>
      </c>
      <c r="B96" s="4" t="inlineStr">
        <is>
          <t>C68</t>
        </is>
      </c>
      <c r="C96" s="4" t="inlineStr">
        <is>
          <t>POSTEF 2017</t>
        </is>
      </c>
      <c r="D96" s="4" t="n">
        <v>8</v>
      </c>
      <c r="E96" s="4" t="inlineStr">
        <is>
          <t>MX thẳng 66-16</t>
        </is>
      </c>
      <c r="F96" s="4" t="n">
        <v>4</v>
      </c>
      <c r="G96" s="4" t="inlineStr">
        <is>
          <t>4</t>
        </is>
      </c>
      <c r="H96" s="13" t="inlineStr">
        <is>
          <t>hàn thông (MX thẳng, theo số mối hàn) → HNB066</t>
        </is>
      </c>
      <c r="I96" s="4" t="inlineStr">
        <is>
          <t>HNB066</t>
        </is>
      </c>
      <c r="J96" s="4" t="inlineStr"/>
      <c r="K96" s="4" t="inlineStr">
        <is>
          <t>MX thẳng (số mối hàn)</t>
        </is>
      </c>
      <c r="L96" s="4" t="inlineStr">
        <is>
          <t>MX thẳng 66-16→HNB066</t>
        </is>
      </c>
    </row>
    <row r="97">
      <c r="A97" s="4" t="inlineStr">
        <is>
          <t>HNB016</t>
        </is>
      </c>
      <c r="B97" s="4" t="inlineStr">
        <is>
          <t>C68</t>
        </is>
      </c>
      <c r="C97" s="4" t="inlineStr">
        <is>
          <t>POSTEF 2017</t>
        </is>
      </c>
      <c r="D97" s="4" t="n">
        <v>8</v>
      </c>
      <c r="E97" s="4" t="inlineStr">
        <is>
          <t>MX thẳng 66-16</t>
        </is>
      </c>
      <c r="F97" s="4" t="n">
        <v>5</v>
      </c>
      <c r="G97" s="4" t="inlineStr">
        <is>
          <t>5</t>
        </is>
      </c>
      <c r="H97" s="13" t="inlineStr">
        <is>
          <t>hàn thông (MX thẳng, theo số mối hàn) → HNB066</t>
        </is>
      </c>
      <c r="I97" s="4" t="inlineStr">
        <is>
          <t>HNB066</t>
        </is>
      </c>
      <c r="J97" s="4" t="inlineStr"/>
      <c r="K97" s="4" t="inlineStr">
        <is>
          <t>MX thẳng (số mối hàn)</t>
        </is>
      </c>
      <c r="L97" s="4" t="inlineStr">
        <is>
          <t>MX thẳng 66-16→HNB066</t>
        </is>
      </c>
    </row>
    <row r="98">
      <c r="A98" s="4" t="inlineStr">
        <is>
          <t>HNB016</t>
        </is>
      </c>
      <c r="B98" s="4" t="inlineStr">
        <is>
          <t>C68</t>
        </is>
      </c>
      <c r="C98" s="4" t="inlineStr">
        <is>
          <t>POSTEF 2017</t>
        </is>
      </c>
      <c r="D98" s="4" t="n">
        <v>8</v>
      </c>
      <c r="E98" s="4" t="inlineStr">
        <is>
          <t>MX thẳng 66-16</t>
        </is>
      </c>
      <c r="F98" s="4" t="n">
        <v>6</v>
      </c>
      <c r="G98" s="4" t="inlineStr">
        <is>
          <t>6</t>
        </is>
      </c>
      <c r="H98" s="13" t="inlineStr">
        <is>
          <t>hàn thông (MX thẳng, theo số mối hàn) → HNB066</t>
        </is>
      </c>
      <c r="I98" s="4" t="inlineStr">
        <is>
          <t>HNB066</t>
        </is>
      </c>
      <c r="J98" s="4" t="inlineStr"/>
      <c r="K98" s="4" t="inlineStr">
        <is>
          <t>MX thẳng (số mối hàn)</t>
        </is>
      </c>
      <c r="L98" s="4" t="inlineStr">
        <is>
          <t>MX thẳng 66-16→HNB066</t>
        </is>
      </c>
    </row>
    <row r="99">
      <c r="A99" s="4" t="inlineStr">
        <is>
          <t>HNB016</t>
        </is>
      </c>
      <c r="B99" s="4" t="inlineStr">
        <is>
          <t>C68</t>
        </is>
      </c>
      <c r="C99" s="4" t="inlineStr">
        <is>
          <t>POSTEF 2017</t>
        </is>
      </c>
      <c r="D99" s="4" t="n">
        <v>8</v>
      </c>
      <c r="E99" s="4" t="inlineStr">
        <is>
          <t>MX thẳng 66-16</t>
        </is>
      </c>
      <c r="F99" s="4" t="n">
        <v>7</v>
      </c>
      <c r="G99" s="4" t="inlineStr">
        <is>
          <t>7</t>
        </is>
      </c>
      <c r="H99" s="12" t="inlineStr">
        <is>
          <t>chưa ghi hàn tại MX thẳng 66-16 (dự phòng / chưa rõ / không hàn)</t>
        </is>
      </c>
      <c r="I99" s="4" t="inlineStr"/>
      <c r="J99" s="4" t="inlineStr"/>
      <c r="K99" s="4" t="inlineStr"/>
      <c r="L99" s="4" t="inlineStr">
        <is>
          <t>MX thẳng 66-16</t>
        </is>
      </c>
    </row>
    <row r="100">
      <c r="A100" s="4" t="inlineStr">
        <is>
          <t>HNB016</t>
        </is>
      </c>
      <c r="B100" s="4" t="inlineStr">
        <is>
          <t>C68</t>
        </is>
      </c>
      <c r="C100" s="4" t="inlineStr">
        <is>
          <t>POSTEF 2017</t>
        </is>
      </c>
      <c r="D100" s="4" t="n">
        <v>8</v>
      </c>
      <c r="E100" s="4" t="inlineStr">
        <is>
          <t>MX thẳng 66-16</t>
        </is>
      </c>
      <c r="F100" s="4" t="n">
        <v>8</v>
      </c>
      <c r="G100" s="4" t="inlineStr">
        <is>
          <t>8</t>
        </is>
      </c>
      <c r="H100" s="12" t="inlineStr">
        <is>
          <t>chưa ghi hàn tại MX thẳng 66-16 (dự phòng / chưa rõ / không hàn)</t>
        </is>
      </c>
      <c r="I100" s="4" t="inlineStr"/>
      <c r="J100" s="4" t="inlineStr"/>
      <c r="K100" s="4" t="inlineStr"/>
      <c r="L100" s="4" t="inlineStr">
        <is>
          <t>MX thẳng 66-16</t>
        </is>
      </c>
    </row>
    <row r="101">
      <c r="A101" s="4" t="inlineStr">
        <is>
          <t>HNB016</t>
        </is>
      </c>
      <c r="B101" s="4" t="inlineStr">
        <is>
          <t>C69</t>
        </is>
      </c>
      <c r="C101" s="4" t="inlineStr">
        <is>
          <t>RECOIN 12/2016</t>
        </is>
      </c>
      <c r="D101" s="4" t="n">
        <v>4</v>
      </c>
      <c r="E101" s="4" t="inlineStr">
        <is>
          <t>HNB038</t>
        </is>
      </c>
      <c r="F101" s="4" t="n">
        <v>1</v>
      </c>
      <c r="G101" s="4" t="inlineStr">
        <is>
          <t>1</t>
        </is>
      </c>
      <c r="H101" s="13" t="inlineStr">
        <is>
          <t>sợi nối trực tiếp → HNB038 (chưa rõ đã hàn pigtail ở ODF hai đầu)</t>
        </is>
      </c>
      <c r="I101" s="4" t="inlineStr">
        <is>
          <t>HNB038</t>
        </is>
      </c>
      <c r="J101" s="4" t="inlineStr"/>
      <c r="K101" s="4" t="inlineStr"/>
      <c r="L101" s="4" t="inlineStr">
        <is>
          <t>HNB038</t>
        </is>
      </c>
    </row>
    <row r="102">
      <c r="A102" s="4" t="inlineStr">
        <is>
          <t>HNB016</t>
        </is>
      </c>
      <c r="B102" s="4" t="inlineStr">
        <is>
          <t>C69</t>
        </is>
      </c>
      <c r="C102" s="4" t="inlineStr">
        <is>
          <t>RECOIN 12/2016</t>
        </is>
      </c>
      <c r="D102" s="4" t="n">
        <v>4</v>
      </c>
      <c r="E102" s="4" t="inlineStr">
        <is>
          <t>HNB038</t>
        </is>
      </c>
      <c r="F102" s="4" t="n">
        <v>2</v>
      </c>
      <c r="G102" s="4" t="inlineStr">
        <is>
          <t>2</t>
        </is>
      </c>
      <c r="H102" s="13" t="inlineStr">
        <is>
          <t>sợi nối trực tiếp → HNB038 (chưa rõ đã hàn pigtail ở ODF hai đầu)</t>
        </is>
      </c>
      <c r="I102" s="4" t="inlineStr">
        <is>
          <t>HNB038</t>
        </is>
      </c>
      <c r="J102" s="4" t="inlineStr"/>
      <c r="K102" s="4" t="inlineStr"/>
      <c r="L102" s="4" t="inlineStr">
        <is>
          <t>HNB038</t>
        </is>
      </c>
    </row>
    <row r="103">
      <c r="A103" s="4" t="inlineStr">
        <is>
          <t>HNB016</t>
        </is>
      </c>
      <c r="B103" s="4" t="inlineStr">
        <is>
          <t>C69</t>
        </is>
      </c>
      <c r="C103" s="4" t="inlineStr">
        <is>
          <t>RECOIN 12/2016</t>
        </is>
      </c>
      <c r="D103" s="4" t="n">
        <v>4</v>
      </c>
      <c r="E103" s="4" t="inlineStr">
        <is>
          <t>HNB038</t>
        </is>
      </c>
      <c r="F103" s="4" t="n">
        <v>3</v>
      </c>
      <c r="G103" s="4" t="inlineStr">
        <is>
          <t>3</t>
        </is>
      </c>
      <c r="H103" s="13" t="inlineStr">
        <is>
          <t>sợi nối trực tiếp → HNB038 (chưa rõ đã hàn pigtail ở ODF hai đầu)</t>
        </is>
      </c>
      <c r="I103" s="4" t="inlineStr">
        <is>
          <t>HNB038</t>
        </is>
      </c>
      <c r="J103" s="4" t="inlineStr"/>
      <c r="K103" s="4" t="inlineStr"/>
      <c r="L103" s="4" t="inlineStr">
        <is>
          <t>HNB038</t>
        </is>
      </c>
    </row>
    <row r="104">
      <c r="A104" s="4" t="inlineStr">
        <is>
          <t>HNB016</t>
        </is>
      </c>
      <c r="B104" s="4" t="inlineStr">
        <is>
          <t>C69</t>
        </is>
      </c>
      <c r="C104" s="4" t="inlineStr">
        <is>
          <t>RECOIN 12/2016</t>
        </is>
      </c>
      <c r="D104" s="4" t="n">
        <v>4</v>
      </c>
      <c r="E104" s="4" t="inlineStr">
        <is>
          <t>HNB038</t>
        </is>
      </c>
      <c r="F104" s="4" t="n">
        <v>4</v>
      </c>
      <c r="G104" s="4" t="inlineStr">
        <is>
          <t>4</t>
        </is>
      </c>
      <c r="H104" s="13" t="inlineStr">
        <is>
          <t>sợi nối trực tiếp → HNB038 (chưa rõ đã hàn pigtail ở ODF hai đầu)</t>
        </is>
      </c>
      <c r="I104" s="4" t="inlineStr">
        <is>
          <t>HNB038</t>
        </is>
      </c>
      <c r="J104" s="4" t="inlineStr"/>
      <c r="K104" s="4" t="inlineStr"/>
      <c r="L104" s="4" t="inlineStr">
        <is>
          <t>HNB038</t>
        </is>
      </c>
    </row>
    <row r="105">
      <c r="A105" s="4" t="inlineStr">
        <is>
          <t>HNB018</t>
        </is>
      </c>
      <c r="B105" s="4" t="inlineStr">
        <is>
          <t>C50</t>
        </is>
      </c>
      <c r="C105" s="4" t="inlineStr">
        <is>
          <t>POSTEF 8/2019</t>
        </is>
      </c>
      <c r="D105" s="4" t="n">
        <v>6</v>
      </c>
      <c r="E105" s="4" t="inlineStr">
        <is>
          <t>MX_LVL-04</t>
        </is>
      </c>
      <c r="F105" s="4" t="n">
        <v>1</v>
      </c>
      <c r="G105" s="4" t="inlineStr">
        <is>
          <t>1</t>
        </is>
      </c>
      <c r="H105" s="11" t="inlineStr">
        <is>
          <t>đang chạy link R3-S1 → HNB094</t>
        </is>
      </c>
      <c r="I105" s="4" t="inlineStr">
        <is>
          <t>HNB094</t>
        </is>
      </c>
      <c r="J105" s="4" t="inlineStr">
        <is>
          <t>R3-S1</t>
        </is>
      </c>
      <c r="K105" s="4" t="inlineStr">
        <is>
          <t>mô tả</t>
        </is>
      </c>
      <c r="L105" s="4" t="inlineStr">
        <is>
          <t>MX_LVL-04→MX_LVL-03→HNB094</t>
        </is>
      </c>
    </row>
    <row r="106">
      <c r="A106" s="4" t="inlineStr">
        <is>
          <t>HNB018</t>
        </is>
      </c>
      <c r="B106" s="4" t="inlineStr">
        <is>
          <t>C50</t>
        </is>
      </c>
      <c r="C106" s="4" t="inlineStr">
        <is>
          <t>POSTEF 8/2019</t>
        </is>
      </c>
      <c r="D106" s="4" t="n">
        <v>6</v>
      </c>
      <c r="E106" s="4" t="inlineStr">
        <is>
          <t>MX_LVL-04</t>
        </is>
      </c>
      <c r="F106" s="4" t="n">
        <v>2</v>
      </c>
      <c r="G106" s="4" t="inlineStr">
        <is>
          <t>2</t>
        </is>
      </c>
      <c r="H106" s="11" t="inlineStr">
        <is>
          <t>đang chạy link R3-S1 → HNB094</t>
        </is>
      </c>
      <c r="I106" s="4" t="inlineStr">
        <is>
          <t>HNB094</t>
        </is>
      </c>
      <c r="J106" s="4" t="inlineStr">
        <is>
          <t>R3-S1</t>
        </is>
      </c>
      <c r="K106" s="4" t="inlineStr">
        <is>
          <t>mô tả</t>
        </is>
      </c>
      <c r="L106" s="4" t="inlineStr">
        <is>
          <t>MX_LVL-04→MX_LVL-03→HNB094</t>
        </is>
      </c>
    </row>
    <row r="107">
      <c r="A107" s="4" t="inlineStr">
        <is>
          <t>HNB018</t>
        </is>
      </c>
      <c r="B107" s="4" t="inlineStr">
        <is>
          <t>C50</t>
        </is>
      </c>
      <c r="C107" s="4" t="inlineStr">
        <is>
          <t>POSTEF 8/2019</t>
        </is>
      </c>
      <c r="D107" s="4" t="n">
        <v>6</v>
      </c>
      <c r="E107" s="4" t="inlineStr">
        <is>
          <t>MX_LVL-04</t>
        </is>
      </c>
      <c r="F107" s="4" t="n">
        <v>3</v>
      </c>
      <c r="G107" s="4" t="inlineStr">
        <is>
          <t>3</t>
        </is>
      </c>
      <c r="H107" s="12" t="inlineStr">
        <is>
          <t>chưa ghi hàn tại MX_LVL-04 (dự phòng / chưa rõ / không hàn)</t>
        </is>
      </c>
      <c r="I107" s="4" t="inlineStr"/>
      <c r="J107" s="4" t="inlineStr"/>
      <c r="K107" s="4" t="inlineStr"/>
      <c r="L107" s="4" t="inlineStr">
        <is>
          <t>MX_LVL-04</t>
        </is>
      </c>
    </row>
    <row r="108">
      <c r="A108" s="4" t="inlineStr">
        <is>
          <t>HNB018</t>
        </is>
      </c>
      <c r="B108" s="4" t="inlineStr">
        <is>
          <t>C50</t>
        </is>
      </c>
      <c r="C108" s="4" t="inlineStr">
        <is>
          <t>POSTEF 8/2019</t>
        </is>
      </c>
      <c r="D108" s="4" t="n">
        <v>6</v>
      </c>
      <c r="E108" s="4" t="inlineStr">
        <is>
          <t>MX_LVL-04</t>
        </is>
      </c>
      <c r="F108" s="4" t="n">
        <v>4</v>
      </c>
      <c r="G108" s="4" t="inlineStr">
        <is>
          <t>4</t>
        </is>
      </c>
      <c r="H108" s="12" t="inlineStr">
        <is>
          <t>chưa ghi hàn tại MX_LVL-04 (dự phòng / chưa rõ / không hàn)</t>
        </is>
      </c>
      <c r="I108" s="4" t="inlineStr"/>
      <c r="J108" s="4" t="inlineStr"/>
      <c r="K108" s="4" t="inlineStr"/>
      <c r="L108" s="4" t="inlineStr">
        <is>
          <t>MX_LVL-04</t>
        </is>
      </c>
    </row>
    <row r="109">
      <c r="A109" s="4" t="inlineStr">
        <is>
          <t>HNB018</t>
        </is>
      </c>
      <c r="B109" s="4" t="inlineStr">
        <is>
          <t>C50</t>
        </is>
      </c>
      <c r="C109" s="4" t="inlineStr">
        <is>
          <t>POSTEF 8/2019</t>
        </is>
      </c>
      <c r="D109" s="4" t="n">
        <v>6</v>
      </c>
      <c r="E109" s="4" t="inlineStr">
        <is>
          <t>MX_LVL-04</t>
        </is>
      </c>
      <c r="F109" s="4" t="n">
        <v>5</v>
      </c>
      <c r="G109" s="4" t="inlineStr">
        <is>
          <t>5</t>
        </is>
      </c>
      <c r="H109" s="12" t="inlineStr">
        <is>
          <t>chưa ghi hàn tại MX_LVL-04 (dự phòng / chưa rõ / không hàn)</t>
        </is>
      </c>
      <c r="I109" s="4" t="inlineStr"/>
      <c r="J109" s="4" t="inlineStr"/>
      <c r="K109" s="4" t="inlineStr"/>
      <c r="L109" s="4" t="inlineStr">
        <is>
          <t>MX_LVL-04</t>
        </is>
      </c>
    </row>
    <row r="110">
      <c r="A110" s="4" t="inlineStr">
        <is>
          <t>HNB018</t>
        </is>
      </c>
      <c r="B110" s="4" t="inlineStr">
        <is>
          <t>C50</t>
        </is>
      </c>
      <c r="C110" s="4" t="inlineStr">
        <is>
          <t>POSTEF 8/2019</t>
        </is>
      </c>
      <c r="D110" s="4" t="n">
        <v>6</v>
      </c>
      <c r="E110" s="4" t="inlineStr">
        <is>
          <t>MX_LVL-04</t>
        </is>
      </c>
      <c r="F110" s="4" t="n">
        <v>6</v>
      </c>
      <c r="G110" s="4" t="inlineStr">
        <is>
          <t>6</t>
        </is>
      </c>
      <c r="H110" s="12" t="inlineStr">
        <is>
          <t>chưa ghi hàn tại MX_LVL-04 (dự phòng / chưa rõ / không hàn)</t>
        </is>
      </c>
      <c r="I110" s="4" t="inlineStr"/>
      <c r="J110" s="4" t="inlineStr"/>
      <c r="K110" s="4" t="inlineStr"/>
      <c r="L110" s="4" t="inlineStr">
        <is>
          <t>MX_LVL-04</t>
        </is>
      </c>
    </row>
    <row r="111">
      <c r="A111" s="4" t="inlineStr">
        <is>
          <t>HNB020</t>
        </is>
      </c>
      <c r="B111" s="4" t="inlineStr">
        <is>
          <t>C28</t>
        </is>
      </c>
      <c r="C111" s="4" t="inlineStr">
        <is>
          <t>FOCAL 2020</t>
        </is>
      </c>
      <c r="D111" s="4" t="n">
        <v>6</v>
      </c>
      <c r="E111" s="4" t="inlineStr">
        <is>
          <t>HNB031</t>
        </is>
      </c>
      <c r="F111" s="4" t="n">
        <v>1</v>
      </c>
      <c r="G111" s="4" t="inlineStr">
        <is>
          <t>1</t>
        </is>
      </c>
      <c r="H111" s="13" t="inlineStr">
        <is>
          <t>sợi nối trực tiếp → HNB031 (chưa rõ đã hàn pigtail ở ODF hai đầu)</t>
        </is>
      </c>
      <c r="I111" s="4" t="inlineStr">
        <is>
          <t>HNB031</t>
        </is>
      </c>
      <c r="J111" s="4" t="inlineStr"/>
      <c r="K111" s="4" t="inlineStr"/>
      <c r="L111" s="4" t="inlineStr">
        <is>
          <t>HNB031</t>
        </is>
      </c>
    </row>
    <row r="112">
      <c r="A112" s="4" t="inlineStr">
        <is>
          <t>HNB020</t>
        </is>
      </c>
      <c r="B112" s="4" t="inlineStr">
        <is>
          <t>C28</t>
        </is>
      </c>
      <c r="C112" s="4" t="inlineStr">
        <is>
          <t>FOCAL 2020</t>
        </is>
      </c>
      <c r="D112" s="4" t="n">
        <v>6</v>
      </c>
      <c r="E112" s="4" t="inlineStr">
        <is>
          <t>HNB031</t>
        </is>
      </c>
      <c r="F112" s="4" t="n">
        <v>2</v>
      </c>
      <c r="G112" s="4" t="inlineStr">
        <is>
          <t>2</t>
        </is>
      </c>
      <c r="H112" s="13" t="inlineStr">
        <is>
          <t>sợi nối trực tiếp → HNB031 (chưa rõ đã hàn pigtail ở ODF hai đầu)</t>
        </is>
      </c>
      <c r="I112" s="4" t="inlineStr">
        <is>
          <t>HNB031</t>
        </is>
      </c>
      <c r="J112" s="4" t="inlineStr"/>
      <c r="K112" s="4" t="inlineStr"/>
      <c r="L112" s="4" t="inlineStr">
        <is>
          <t>HNB031</t>
        </is>
      </c>
    </row>
    <row r="113">
      <c r="A113" s="4" t="inlineStr">
        <is>
          <t>HNB020</t>
        </is>
      </c>
      <c r="B113" s="4" t="inlineStr">
        <is>
          <t>C28</t>
        </is>
      </c>
      <c r="C113" s="4" t="inlineStr">
        <is>
          <t>FOCAL 2020</t>
        </is>
      </c>
      <c r="D113" s="4" t="n">
        <v>6</v>
      </c>
      <c r="E113" s="4" t="inlineStr">
        <is>
          <t>HNB031</t>
        </is>
      </c>
      <c r="F113" s="4" t="n">
        <v>3</v>
      </c>
      <c r="G113" s="4" t="inlineStr">
        <is>
          <t>3</t>
        </is>
      </c>
      <c r="H113" s="13" t="inlineStr">
        <is>
          <t>sợi nối trực tiếp → HNB031 (chưa rõ đã hàn pigtail ở ODF hai đầu)</t>
        </is>
      </c>
      <c r="I113" s="4" t="inlineStr">
        <is>
          <t>HNB031</t>
        </is>
      </c>
      <c r="J113" s="4" t="inlineStr"/>
      <c r="K113" s="4" t="inlineStr"/>
      <c r="L113" s="4" t="inlineStr">
        <is>
          <t>HNB031</t>
        </is>
      </c>
    </row>
    <row r="114">
      <c r="A114" s="4" t="inlineStr">
        <is>
          <t>HNB020</t>
        </is>
      </c>
      <c r="B114" s="4" t="inlineStr">
        <is>
          <t>C28</t>
        </is>
      </c>
      <c r="C114" s="4" t="inlineStr">
        <is>
          <t>FOCAL 2020</t>
        </is>
      </c>
      <c r="D114" s="4" t="n">
        <v>6</v>
      </c>
      <c r="E114" s="4" t="inlineStr">
        <is>
          <t>HNB031</t>
        </is>
      </c>
      <c r="F114" s="4" t="n">
        <v>4</v>
      </c>
      <c r="G114" s="4" t="inlineStr">
        <is>
          <t>4</t>
        </is>
      </c>
      <c r="H114" s="13" t="inlineStr">
        <is>
          <t>sợi nối trực tiếp → HNB031 (chưa rõ đã hàn pigtail ở ODF hai đầu)</t>
        </is>
      </c>
      <c r="I114" s="4" t="inlineStr">
        <is>
          <t>HNB031</t>
        </is>
      </c>
      <c r="J114" s="4" t="inlineStr"/>
      <c r="K114" s="4" t="inlineStr"/>
      <c r="L114" s="4" t="inlineStr">
        <is>
          <t>HNB031</t>
        </is>
      </c>
    </row>
    <row r="115">
      <c r="A115" s="4" t="inlineStr">
        <is>
          <t>HNB020</t>
        </is>
      </c>
      <c r="B115" s="4" t="inlineStr">
        <is>
          <t>C28</t>
        </is>
      </c>
      <c r="C115" s="4" t="inlineStr">
        <is>
          <t>FOCAL 2020</t>
        </is>
      </c>
      <c r="D115" s="4" t="n">
        <v>6</v>
      </c>
      <c r="E115" s="4" t="inlineStr">
        <is>
          <t>HNB031</t>
        </is>
      </c>
      <c r="F115" s="4" t="n">
        <v>5</v>
      </c>
      <c r="G115" s="4" t="inlineStr">
        <is>
          <t>5</t>
        </is>
      </c>
      <c r="H115" s="13" t="inlineStr">
        <is>
          <t>sợi nối trực tiếp → HNB031 (chưa rõ đã hàn pigtail ở ODF hai đầu)</t>
        </is>
      </c>
      <c r="I115" s="4" t="inlineStr">
        <is>
          <t>HNB031</t>
        </is>
      </c>
      <c r="J115" s="4" t="inlineStr"/>
      <c r="K115" s="4" t="inlineStr"/>
      <c r="L115" s="4" t="inlineStr">
        <is>
          <t>HNB031</t>
        </is>
      </c>
    </row>
    <row r="116">
      <c r="A116" s="4" t="inlineStr">
        <is>
          <t>HNB020</t>
        </is>
      </c>
      <c r="B116" s="4" t="inlineStr">
        <is>
          <t>C28</t>
        </is>
      </c>
      <c r="C116" s="4" t="inlineStr">
        <is>
          <t>FOCAL 2020</t>
        </is>
      </c>
      <c r="D116" s="4" t="n">
        <v>6</v>
      </c>
      <c r="E116" s="4" t="inlineStr">
        <is>
          <t>HNB031</t>
        </is>
      </c>
      <c r="F116" s="4" t="n">
        <v>6</v>
      </c>
      <c r="G116" s="4" t="inlineStr">
        <is>
          <t>6</t>
        </is>
      </c>
      <c r="H116" s="13" t="inlineStr">
        <is>
          <t>sợi nối trực tiếp → HNB031 (chưa rõ đã hàn pigtail ở ODF hai đầu)</t>
        </is>
      </c>
      <c r="I116" s="4" t="inlineStr">
        <is>
          <t>HNB031</t>
        </is>
      </c>
      <c r="J116" s="4" t="inlineStr"/>
      <c r="K116" s="4" t="inlineStr"/>
      <c r="L116" s="4" t="inlineStr">
        <is>
          <t>HNB031</t>
        </is>
      </c>
    </row>
    <row r="117">
      <c r="A117" s="4" t="inlineStr">
        <is>
          <t>HNB020</t>
        </is>
      </c>
      <c r="B117" s="4" t="inlineStr">
        <is>
          <t>C29</t>
        </is>
      </c>
      <c r="C117" s="4" t="inlineStr">
        <is>
          <t>FOCAL 2020</t>
        </is>
      </c>
      <c r="D117" s="4" t="n">
        <v>6</v>
      </c>
      <c r="E117" s="4" t="inlineStr">
        <is>
          <t>MX_NB-04</t>
        </is>
      </c>
      <c r="F117" s="4" t="n">
        <v>1</v>
      </c>
      <c r="G117" s="4" t="inlineStr">
        <is>
          <t>1</t>
        </is>
      </c>
      <c r="H117" s="11" t="inlineStr">
        <is>
          <t>đang chạy link R6-06 → NBE22</t>
        </is>
      </c>
      <c r="I117" s="4" t="inlineStr">
        <is>
          <t>NBE22</t>
        </is>
      </c>
      <c r="J117" s="4" t="inlineStr">
        <is>
          <t>R6-06</t>
        </is>
      </c>
      <c r="K117" s="4" t="inlineStr">
        <is>
          <t>mô tả</t>
        </is>
      </c>
      <c r="L117" s="4" t="inlineStr">
        <is>
          <t>MX_NB-04→MX thẳng HTP→MX_HTP-03B→ODF-02 NBE22</t>
        </is>
      </c>
    </row>
    <row r="118">
      <c r="A118" s="4" t="inlineStr">
        <is>
          <t>HNB020</t>
        </is>
      </c>
      <c r="B118" s="4" t="inlineStr">
        <is>
          <t>C29</t>
        </is>
      </c>
      <c r="C118" s="4" t="inlineStr">
        <is>
          <t>FOCAL 2020</t>
        </is>
      </c>
      <c r="D118" s="4" t="n">
        <v>6</v>
      </c>
      <c r="E118" s="4" t="inlineStr">
        <is>
          <t>MX_NB-04</t>
        </is>
      </c>
      <c r="F118" s="4" t="n">
        <v>2</v>
      </c>
      <c r="G118" s="4" t="inlineStr">
        <is>
          <t>2</t>
        </is>
      </c>
      <c r="H118" s="11" t="inlineStr">
        <is>
          <t>đang chạy link R6-06 → NBE22</t>
        </is>
      </c>
      <c r="I118" s="4" t="inlineStr">
        <is>
          <t>NBE22</t>
        </is>
      </c>
      <c r="J118" s="4" t="inlineStr">
        <is>
          <t>R6-06</t>
        </is>
      </c>
      <c r="K118" s="4" t="inlineStr">
        <is>
          <t>mô tả</t>
        </is>
      </c>
      <c r="L118" s="4" t="inlineStr">
        <is>
          <t>MX_NB-04→MX thẳng HTP→MX_HTP-03B→ODF-02 NBE22</t>
        </is>
      </c>
    </row>
    <row r="119">
      <c r="A119" s="4" t="inlineStr">
        <is>
          <t>HNB020</t>
        </is>
      </c>
      <c r="B119" s="4" t="inlineStr">
        <is>
          <t>C29</t>
        </is>
      </c>
      <c r="C119" s="4" t="inlineStr">
        <is>
          <t>FOCAL 2020</t>
        </is>
      </c>
      <c r="D119" s="4" t="n">
        <v>6</v>
      </c>
      <c r="E119" s="4" t="inlineStr">
        <is>
          <t>MX_NB-04</t>
        </is>
      </c>
      <c r="F119" s="4" t="n">
        <v>3</v>
      </c>
      <c r="G119" s="4" t="inlineStr">
        <is>
          <t>3</t>
        </is>
      </c>
      <c r="H119" s="12" t="inlineStr">
        <is>
          <t>chưa ghi hàn tại MX_NB-04 (dự phòng / chưa rõ / không hàn)</t>
        </is>
      </c>
      <c r="I119" s="4" t="inlineStr"/>
      <c r="J119" s="4" t="inlineStr"/>
      <c r="K119" s="4" t="inlineStr"/>
      <c r="L119" s="4" t="inlineStr">
        <is>
          <t>MX_NB-04</t>
        </is>
      </c>
    </row>
    <row r="120">
      <c r="A120" s="4" t="inlineStr">
        <is>
          <t>HNB020</t>
        </is>
      </c>
      <c r="B120" s="4" t="inlineStr">
        <is>
          <t>C29</t>
        </is>
      </c>
      <c r="C120" s="4" t="inlineStr">
        <is>
          <t>FOCAL 2020</t>
        </is>
      </c>
      <c r="D120" s="4" t="n">
        <v>6</v>
      </c>
      <c r="E120" s="4" t="inlineStr">
        <is>
          <t>MX_NB-04</t>
        </is>
      </c>
      <c r="F120" s="4" t="n">
        <v>4</v>
      </c>
      <c r="G120" s="4" t="inlineStr">
        <is>
          <t>4</t>
        </is>
      </c>
      <c r="H120" s="12" t="inlineStr">
        <is>
          <t>chưa ghi hàn tại MX_NB-04 (dự phòng / chưa rõ / không hàn)</t>
        </is>
      </c>
      <c r="I120" s="4" t="inlineStr"/>
      <c r="J120" s="4" t="inlineStr"/>
      <c r="K120" s="4" t="inlineStr"/>
      <c r="L120" s="4" t="inlineStr">
        <is>
          <t>MX_NB-04</t>
        </is>
      </c>
    </row>
    <row r="121">
      <c r="A121" s="4" t="inlineStr">
        <is>
          <t>HNB020</t>
        </is>
      </c>
      <c r="B121" s="4" t="inlineStr">
        <is>
          <t>C29</t>
        </is>
      </c>
      <c r="C121" s="4" t="inlineStr">
        <is>
          <t>FOCAL 2020</t>
        </is>
      </c>
      <c r="D121" s="4" t="n">
        <v>6</v>
      </c>
      <c r="E121" s="4" t="inlineStr">
        <is>
          <t>MX_NB-04</t>
        </is>
      </c>
      <c r="F121" s="4" t="n">
        <v>5</v>
      </c>
      <c r="G121" s="4" t="inlineStr">
        <is>
          <t>5</t>
        </is>
      </c>
      <c r="H121" s="12" t="inlineStr">
        <is>
          <t>chưa ghi hàn tại MX_NB-04 (dự phòng / chưa rõ / không hàn)</t>
        </is>
      </c>
      <c r="I121" s="4" t="inlineStr"/>
      <c r="J121" s="4" t="inlineStr"/>
      <c r="K121" s="4" t="inlineStr"/>
      <c r="L121" s="4" t="inlineStr">
        <is>
          <t>MX_NB-04</t>
        </is>
      </c>
    </row>
    <row r="122">
      <c r="A122" s="4" t="inlineStr">
        <is>
          <t>HNB020</t>
        </is>
      </c>
      <c r="B122" s="4" t="inlineStr">
        <is>
          <t>C29</t>
        </is>
      </c>
      <c r="C122" s="4" t="inlineStr">
        <is>
          <t>FOCAL 2020</t>
        </is>
      </c>
      <c r="D122" s="4" t="n">
        <v>6</v>
      </c>
      <c r="E122" s="4" t="inlineStr">
        <is>
          <t>MX_NB-04</t>
        </is>
      </c>
      <c r="F122" s="4" t="n">
        <v>6</v>
      </c>
      <c r="G122" s="4" t="inlineStr">
        <is>
          <t>6</t>
        </is>
      </c>
      <c r="H122" s="12" t="inlineStr">
        <is>
          <t>chưa ghi hàn tại MX_NB-04 (dự phòng / chưa rõ / không hàn)</t>
        </is>
      </c>
      <c r="I122" s="4" t="inlineStr"/>
      <c r="J122" s="4" t="inlineStr"/>
      <c r="K122" s="4" t="inlineStr"/>
      <c r="L122" s="4" t="inlineStr">
        <is>
          <t>MX_NB-04</t>
        </is>
      </c>
    </row>
    <row r="123">
      <c r="A123" s="4" t="inlineStr">
        <is>
          <t>HNB021</t>
        </is>
      </c>
      <c r="B123" s="4" t="inlineStr">
        <is>
          <t>C64</t>
        </is>
      </c>
      <c r="C123" s="4" t="inlineStr">
        <is>
          <t>FIBERHOME AERIAL</t>
        </is>
      </c>
      <c r="D123" s="4" t="n">
        <v>8</v>
      </c>
      <c r="E123" s="4" t="inlineStr">
        <is>
          <t>MX thẳng 62-21</t>
        </is>
      </c>
      <c r="F123" s="4" t="n">
        <v>1</v>
      </c>
      <c r="G123" s="4" t="inlineStr">
        <is>
          <t>1</t>
        </is>
      </c>
      <c r="H123" s="11" t="inlineStr">
        <is>
          <t>đang chạy link R7-03 → HNB062</t>
        </is>
      </c>
      <c r="I123" s="4" t="inlineStr">
        <is>
          <t>HNB062</t>
        </is>
      </c>
      <c r="J123" s="4" t="inlineStr">
        <is>
          <t>R7-03</t>
        </is>
      </c>
      <c r="K123" s="4" t="inlineStr">
        <is>
          <t>mô tả</t>
        </is>
      </c>
      <c r="L123" s="4" t="inlineStr">
        <is>
          <t>MX thẳng 62-21→HNB062</t>
        </is>
      </c>
    </row>
    <row r="124">
      <c r="A124" s="4" t="inlineStr">
        <is>
          <t>HNB021</t>
        </is>
      </c>
      <c r="B124" s="4" t="inlineStr">
        <is>
          <t>C64</t>
        </is>
      </c>
      <c r="C124" s="4" t="inlineStr">
        <is>
          <t>FIBERHOME AERIAL</t>
        </is>
      </c>
      <c r="D124" s="4" t="n">
        <v>8</v>
      </c>
      <c r="E124" s="4" t="inlineStr">
        <is>
          <t>MX thẳng 62-21</t>
        </is>
      </c>
      <c r="F124" s="4" t="n">
        <v>2</v>
      </c>
      <c r="G124" s="4" t="inlineStr">
        <is>
          <t>2</t>
        </is>
      </c>
      <c r="H124" s="11" t="inlineStr">
        <is>
          <t>đang chạy link R7-03 → HNB062</t>
        </is>
      </c>
      <c r="I124" s="4" t="inlineStr">
        <is>
          <t>HNB062</t>
        </is>
      </c>
      <c r="J124" s="4" t="inlineStr">
        <is>
          <t>R7-03</t>
        </is>
      </c>
      <c r="K124" s="4" t="inlineStr">
        <is>
          <t>mô tả</t>
        </is>
      </c>
      <c r="L124" s="4" t="inlineStr">
        <is>
          <t>MX thẳng 62-21→HNB062</t>
        </is>
      </c>
    </row>
    <row r="125">
      <c r="A125" s="4" t="inlineStr">
        <is>
          <t>HNB021</t>
        </is>
      </c>
      <c r="B125" s="4" t="inlineStr">
        <is>
          <t>C64</t>
        </is>
      </c>
      <c r="C125" s="4" t="inlineStr">
        <is>
          <t>FIBERHOME AERIAL</t>
        </is>
      </c>
      <c r="D125" s="4" t="n">
        <v>8</v>
      </c>
      <c r="E125" s="4" t="inlineStr">
        <is>
          <t>MX thẳng 62-21</t>
        </is>
      </c>
      <c r="F125" s="4" t="n">
        <v>3</v>
      </c>
      <c r="G125" s="4" t="inlineStr">
        <is>
          <t>3</t>
        </is>
      </c>
      <c r="H125" s="13" t="inlineStr">
        <is>
          <t>hàn thông (MX thẳng, theo số mối hàn) → HNB062</t>
        </is>
      </c>
      <c r="I125" s="4" t="inlineStr">
        <is>
          <t>HNB062</t>
        </is>
      </c>
      <c r="J125" s="4" t="inlineStr"/>
      <c r="K125" s="4" t="inlineStr">
        <is>
          <t>MX thẳng (số mối hàn)</t>
        </is>
      </c>
      <c r="L125" s="4" t="inlineStr">
        <is>
          <t>MX thẳng 62-21→HNB062</t>
        </is>
      </c>
    </row>
    <row r="126">
      <c r="A126" s="4" t="inlineStr">
        <is>
          <t>HNB021</t>
        </is>
      </c>
      <c r="B126" s="4" t="inlineStr">
        <is>
          <t>C64</t>
        </is>
      </c>
      <c r="C126" s="4" t="inlineStr">
        <is>
          <t>FIBERHOME AERIAL</t>
        </is>
      </c>
      <c r="D126" s="4" t="n">
        <v>8</v>
      </c>
      <c r="E126" s="4" t="inlineStr">
        <is>
          <t>MX thẳng 62-21</t>
        </is>
      </c>
      <c r="F126" s="4" t="n">
        <v>4</v>
      </c>
      <c r="G126" s="4" t="inlineStr">
        <is>
          <t>4</t>
        </is>
      </c>
      <c r="H126" s="13" t="inlineStr">
        <is>
          <t>hàn thông (MX thẳng, theo số mối hàn) → HNB062</t>
        </is>
      </c>
      <c r="I126" s="4" t="inlineStr">
        <is>
          <t>HNB062</t>
        </is>
      </c>
      <c r="J126" s="4" t="inlineStr"/>
      <c r="K126" s="4" t="inlineStr">
        <is>
          <t>MX thẳng (số mối hàn)</t>
        </is>
      </c>
      <c r="L126" s="4" t="inlineStr">
        <is>
          <t>MX thẳng 62-21→HNB062</t>
        </is>
      </c>
    </row>
    <row r="127">
      <c r="A127" s="4" t="inlineStr">
        <is>
          <t>HNB021</t>
        </is>
      </c>
      <c r="B127" s="4" t="inlineStr">
        <is>
          <t>C64</t>
        </is>
      </c>
      <c r="C127" s="4" t="inlineStr">
        <is>
          <t>FIBERHOME AERIAL</t>
        </is>
      </c>
      <c r="D127" s="4" t="n">
        <v>8</v>
      </c>
      <c r="E127" s="4" t="inlineStr">
        <is>
          <t>MX thẳng 62-21</t>
        </is>
      </c>
      <c r="F127" s="4" t="n">
        <v>5</v>
      </c>
      <c r="G127" s="4" t="inlineStr">
        <is>
          <t>5</t>
        </is>
      </c>
      <c r="H127" s="13" t="inlineStr">
        <is>
          <t>hàn thông (MX thẳng, theo số mối hàn) → HNB062</t>
        </is>
      </c>
      <c r="I127" s="4" t="inlineStr">
        <is>
          <t>HNB062</t>
        </is>
      </c>
      <c r="J127" s="4" t="inlineStr"/>
      <c r="K127" s="4" t="inlineStr">
        <is>
          <t>MX thẳng (số mối hàn)</t>
        </is>
      </c>
      <c r="L127" s="4" t="inlineStr">
        <is>
          <t>MX thẳng 62-21→HNB062</t>
        </is>
      </c>
    </row>
    <row r="128">
      <c r="A128" s="4" t="inlineStr">
        <is>
          <t>HNB021</t>
        </is>
      </c>
      <c r="B128" s="4" t="inlineStr">
        <is>
          <t>C64</t>
        </is>
      </c>
      <c r="C128" s="4" t="inlineStr">
        <is>
          <t>FIBERHOME AERIAL</t>
        </is>
      </c>
      <c r="D128" s="4" t="n">
        <v>8</v>
      </c>
      <c r="E128" s="4" t="inlineStr">
        <is>
          <t>MX thẳng 62-21</t>
        </is>
      </c>
      <c r="F128" s="4" t="n">
        <v>6</v>
      </c>
      <c r="G128" s="4" t="inlineStr">
        <is>
          <t>6</t>
        </is>
      </c>
      <c r="H128" s="13" t="inlineStr">
        <is>
          <t>hàn thông (MX thẳng, theo số mối hàn) → HNB062</t>
        </is>
      </c>
      <c r="I128" s="4" t="inlineStr">
        <is>
          <t>HNB062</t>
        </is>
      </c>
      <c r="J128" s="4" t="inlineStr"/>
      <c r="K128" s="4" t="inlineStr">
        <is>
          <t>MX thẳng (số mối hàn)</t>
        </is>
      </c>
      <c r="L128" s="4" t="inlineStr">
        <is>
          <t>MX thẳng 62-21→HNB062</t>
        </is>
      </c>
    </row>
    <row r="129">
      <c r="A129" s="4" t="inlineStr">
        <is>
          <t>HNB021</t>
        </is>
      </c>
      <c r="B129" s="4" t="inlineStr">
        <is>
          <t>C64</t>
        </is>
      </c>
      <c r="C129" s="4" t="inlineStr">
        <is>
          <t>FIBERHOME AERIAL</t>
        </is>
      </c>
      <c r="D129" s="4" t="n">
        <v>8</v>
      </c>
      <c r="E129" s="4" t="inlineStr">
        <is>
          <t>MX thẳng 62-21</t>
        </is>
      </c>
      <c r="F129" s="4" t="n">
        <v>7</v>
      </c>
      <c r="G129" s="4" t="inlineStr">
        <is>
          <t>không có cổng ODF (ODF chỉ có 6 cổng hướng này)</t>
        </is>
      </c>
      <c r="H129" s="13" t="inlineStr">
        <is>
          <t>hàn thông (MX thẳng, theo số mối hàn) → HNB062</t>
        </is>
      </c>
      <c r="I129" s="4" t="inlineStr">
        <is>
          <t>HNB062</t>
        </is>
      </c>
      <c r="J129" s="4" t="inlineStr"/>
      <c r="K129" s="4" t="inlineStr">
        <is>
          <t>MX thẳng (số mối hàn)</t>
        </is>
      </c>
      <c r="L129" s="4" t="inlineStr">
        <is>
          <t>MX thẳng 62-21→HNB062</t>
        </is>
      </c>
    </row>
    <row r="130">
      <c r="A130" s="4" t="inlineStr">
        <is>
          <t>HNB021</t>
        </is>
      </c>
      <c r="B130" s="4" t="inlineStr">
        <is>
          <t>C64</t>
        </is>
      </c>
      <c r="C130" s="4" t="inlineStr">
        <is>
          <t>FIBERHOME AERIAL</t>
        </is>
      </c>
      <c r="D130" s="4" t="n">
        <v>8</v>
      </c>
      <c r="E130" s="4" t="inlineStr">
        <is>
          <t>MX thẳng 62-21</t>
        </is>
      </c>
      <c r="F130" s="4" t="n">
        <v>8</v>
      </c>
      <c r="G130" s="4" t="inlineStr">
        <is>
          <t>không có cổng ODF (ODF chỉ có 6 cổng hướng này)</t>
        </is>
      </c>
      <c r="H130" s="13" t="inlineStr">
        <is>
          <t>hàn thông (MX thẳng, theo số mối hàn) → HNB062</t>
        </is>
      </c>
      <c r="I130" s="4" t="inlineStr">
        <is>
          <t>HNB062</t>
        </is>
      </c>
      <c r="J130" s="4" t="inlineStr"/>
      <c r="K130" s="4" t="inlineStr">
        <is>
          <t>MX thẳng (số mối hàn)</t>
        </is>
      </c>
      <c r="L130" s="4" t="inlineStr">
        <is>
          <t>MX thẳng 62-21→HNB062</t>
        </is>
      </c>
    </row>
    <row r="131">
      <c r="A131" s="4" t="inlineStr">
        <is>
          <t>HNB021</t>
        </is>
      </c>
      <c r="B131" s="4" t="inlineStr">
        <is>
          <t>C65</t>
        </is>
      </c>
      <c r="C131" s="4" t="inlineStr">
        <is>
          <t>VINACAP</t>
        </is>
      </c>
      <c r="D131" s="4" t="n">
        <v>8</v>
      </c>
      <c r="E131" s="4" t="inlineStr">
        <is>
          <t>MX thẳng 13-21</t>
        </is>
      </c>
      <c r="F131" s="4" t="n">
        <v>1</v>
      </c>
      <c r="G131" s="4" t="inlineStr">
        <is>
          <t>1</t>
        </is>
      </c>
      <c r="H131" s="11" t="inlineStr">
        <is>
          <t>đang chạy link R7-04 → HNB013</t>
        </is>
      </c>
      <c r="I131" s="4" t="inlineStr">
        <is>
          <t>HNB013</t>
        </is>
      </c>
      <c r="J131" s="4" t="inlineStr">
        <is>
          <t>R7-04</t>
        </is>
      </c>
      <c r="K131" s="4" t="inlineStr">
        <is>
          <t>mô tả</t>
        </is>
      </c>
      <c r="L131" s="4" t="inlineStr">
        <is>
          <t>MX thẳng 13-21→HNB013</t>
        </is>
      </c>
    </row>
    <row r="132">
      <c r="A132" s="4" t="inlineStr">
        <is>
          <t>HNB021</t>
        </is>
      </c>
      <c r="B132" s="4" t="inlineStr">
        <is>
          <t>C65</t>
        </is>
      </c>
      <c r="C132" s="4" t="inlineStr">
        <is>
          <t>VINACAP</t>
        </is>
      </c>
      <c r="D132" s="4" t="n">
        <v>8</v>
      </c>
      <c r="E132" s="4" t="inlineStr">
        <is>
          <t>MX thẳng 13-21</t>
        </is>
      </c>
      <c r="F132" s="4" t="n">
        <v>2</v>
      </c>
      <c r="G132" s="4" t="inlineStr">
        <is>
          <t>2</t>
        </is>
      </c>
      <c r="H132" s="11" t="inlineStr">
        <is>
          <t>đang chạy link R7-04 → HNB013</t>
        </is>
      </c>
      <c r="I132" s="4" t="inlineStr">
        <is>
          <t>HNB013</t>
        </is>
      </c>
      <c r="J132" s="4" t="inlineStr">
        <is>
          <t>R7-04</t>
        </is>
      </c>
      <c r="K132" s="4" t="inlineStr">
        <is>
          <t>mô tả</t>
        </is>
      </c>
      <c r="L132" s="4" t="inlineStr">
        <is>
          <t>MX thẳng 13-21→HNB013</t>
        </is>
      </c>
    </row>
    <row r="133">
      <c r="A133" s="4" t="inlineStr">
        <is>
          <t>HNB021</t>
        </is>
      </c>
      <c r="B133" s="4" t="inlineStr">
        <is>
          <t>C65</t>
        </is>
      </c>
      <c r="C133" s="4" t="inlineStr">
        <is>
          <t>VINACAP</t>
        </is>
      </c>
      <c r="D133" s="4" t="n">
        <v>8</v>
      </c>
      <c r="E133" s="4" t="inlineStr">
        <is>
          <t>MX thẳng 13-21</t>
        </is>
      </c>
      <c r="F133" s="4" t="n">
        <v>3</v>
      </c>
      <c r="G133" s="4" t="inlineStr">
        <is>
          <t>3</t>
        </is>
      </c>
      <c r="H133" s="13" t="inlineStr">
        <is>
          <t>hàn thông (MX thẳng, theo số mối hàn) → HNB013</t>
        </is>
      </c>
      <c r="I133" s="4" t="inlineStr">
        <is>
          <t>HNB013</t>
        </is>
      </c>
      <c r="J133" s="4" t="inlineStr"/>
      <c r="K133" s="4" t="inlineStr">
        <is>
          <t>MX thẳng (số mối hàn)</t>
        </is>
      </c>
      <c r="L133" s="4" t="inlineStr">
        <is>
          <t>MX thẳng 13-21→HNB013</t>
        </is>
      </c>
    </row>
    <row r="134">
      <c r="A134" s="4" t="inlineStr">
        <is>
          <t>HNB021</t>
        </is>
      </c>
      <c r="B134" s="4" t="inlineStr">
        <is>
          <t>C65</t>
        </is>
      </c>
      <c r="C134" s="4" t="inlineStr">
        <is>
          <t>VINACAP</t>
        </is>
      </c>
      <c r="D134" s="4" t="n">
        <v>8</v>
      </c>
      <c r="E134" s="4" t="inlineStr">
        <is>
          <t>MX thẳng 13-21</t>
        </is>
      </c>
      <c r="F134" s="4" t="n">
        <v>4</v>
      </c>
      <c r="G134" s="4" t="inlineStr">
        <is>
          <t>4</t>
        </is>
      </c>
      <c r="H134" s="13" t="inlineStr">
        <is>
          <t>hàn thông (MX thẳng, theo số mối hàn) → HNB013</t>
        </is>
      </c>
      <c r="I134" s="4" t="inlineStr">
        <is>
          <t>HNB013</t>
        </is>
      </c>
      <c r="J134" s="4" t="inlineStr"/>
      <c r="K134" s="4" t="inlineStr">
        <is>
          <t>MX thẳng (số mối hàn)</t>
        </is>
      </c>
      <c r="L134" s="4" t="inlineStr">
        <is>
          <t>MX thẳng 13-21→HNB013</t>
        </is>
      </c>
    </row>
    <row r="135">
      <c r="A135" s="4" t="inlineStr">
        <is>
          <t>HNB021</t>
        </is>
      </c>
      <c r="B135" s="4" t="inlineStr">
        <is>
          <t>C65</t>
        </is>
      </c>
      <c r="C135" s="4" t="inlineStr">
        <is>
          <t>VINACAP</t>
        </is>
      </c>
      <c r="D135" s="4" t="n">
        <v>8</v>
      </c>
      <c r="E135" s="4" t="inlineStr">
        <is>
          <t>MX thẳng 13-21</t>
        </is>
      </c>
      <c r="F135" s="4" t="n">
        <v>5</v>
      </c>
      <c r="G135" s="4" t="inlineStr">
        <is>
          <t>5</t>
        </is>
      </c>
      <c r="H135" s="13" t="inlineStr">
        <is>
          <t>hàn thông (MX thẳng, theo số mối hàn) → HNB013</t>
        </is>
      </c>
      <c r="I135" s="4" t="inlineStr">
        <is>
          <t>HNB013</t>
        </is>
      </c>
      <c r="J135" s="4" t="inlineStr"/>
      <c r="K135" s="4" t="inlineStr">
        <is>
          <t>MX thẳng (số mối hàn)</t>
        </is>
      </c>
      <c r="L135" s="4" t="inlineStr">
        <is>
          <t>MX thẳng 13-21→HNB013</t>
        </is>
      </c>
    </row>
    <row r="136">
      <c r="A136" s="4" t="inlineStr">
        <is>
          <t>HNB021</t>
        </is>
      </c>
      <c r="B136" s="4" t="inlineStr">
        <is>
          <t>C65</t>
        </is>
      </c>
      <c r="C136" s="4" t="inlineStr">
        <is>
          <t>VINACAP</t>
        </is>
      </c>
      <c r="D136" s="4" t="n">
        <v>8</v>
      </c>
      <c r="E136" s="4" t="inlineStr">
        <is>
          <t>MX thẳng 13-21</t>
        </is>
      </c>
      <c r="F136" s="4" t="n">
        <v>6</v>
      </c>
      <c r="G136" s="4" t="inlineStr">
        <is>
          <t>6</t>
        </is>
      </c>
      <c r="H136" s="13" t="inlineStr">
        <is>
          <t>hàn thông (MX thẳng, theo số mối hàn) → HNB013</t>
        </is>
      </c>
      <c r="I136" s="4" t="inlineStr">
        <is>
          <t>HNB013</t>
        </is>
      </c>
      <c r="J136" s="4" t="inlineStr"/>
      <c r="K136" s="4" t="inlineStr">
        <is>
          <t>MX thẳng (số mối hàn)</t>
        </is>
      </c>
      <c r="L136" s="4" t="inlineStr">
        <is>
          <t>MX thẳng 13-21→HNB013</t>
        </is>
      </c>
    </row>
    <row r="137">
      <c r="A137" s="4" t="inlineStr">
        <is>
          <t>HNB021</t>
        </is>
      </c>
      <c r="B137" s="4" t="inlineStr">
        <is>
          <t>C65</t>
        </is>
      </c>
      <c r="C137" s="4" t="inlineStr">
        <is>
          <t>VINACAP</t>
        </is>
      </c>
      <c r="D137" s="4" t="n">
        <v>8</v>
      </c>
      <c r="E137" s="4" t="inlineStr">
        <is>
          <t>MX thẳng 13-21</t>
        </is>
      </c>
      <c r="F137" s="4" t="n">
        <v>7</v>
      </c>
      <c r="G137" s="4" t="inlineStr">
        <is>
          <t>không có cổng ODF (ODF chỉ có 6 cổng hướng này)</t>
        </is>
      </c>
      <c r="H137" s="13" t="inlineStr">
        <is>
          <t>hàn thông (MX thẳng, theo số mối hàn) → HNB013</t>
        </is>
      </c>
      <c r="I137" s="4" t="inlineStr">
        <is>
          <t>HNB013</t>
        </is>
      </c>
      <c r="J137" s="4" t="inlineStr"/>
      <c r="K137" s="4" t="inlineStr">
        <is>
          <t>MX thẳng (số mối hàn)</t>
        </is>
      </c>
      <c r="L137" s="4" t="inlineStr">
        <is>
          <t>MX thẳng 13-21→HNB013</t>
        </is>
      </c>
    </row>
    <row r="138">
      <c r="A138" s="4" t="inlineStr">
        <is>
          <t>HNB021</t>
        </is>
      </c>
      <c r="B138" s="4" t="inlineStr">
        <is>
          <t>C65</t>
        </is>
      </c>
      <c r="C138" s="4" t="inlineStr">
        <is>
          <t>VINACAP</t>
        </is>
      </c>
      <c r="D138" s="4" t="n">
        <v>8</v>
      </c>
      <c r="E138" s="4" t="inlineStr">
        <is>
          <t>MX thẳng 13-21</t>
        </is>
      </c>
      <c r="F138" s="4" t="n">
        <v>8</v>
      </c>
      <c r="G138" s="4" t="inlineStr">
        <is>
          <t>không có cổng ODF (ODF chỉ có 6 cổng hướng này)</t>
        </is>
      </c>
      <c r="H138" s="13" t="inlineStr">
        <is>
          <t>hàn thông (MX thẳng, theo số mối hàn) → HNB013</t>
        </is>
      </c>
      <c r="I138" s="4" t="inlineStr">
        <is>
          <t>HNB013</t>
        </is>
      </c>
      <c r="J138" s="4" t="inlineStr"/>
      <c r="K138" s="4" t="inlineStr">
        <is>
          <t>MX thẳng (số mối hàn)</t>
        </is>
      </c>
      <c r="L138" s="4" t="inlineStr">
        <is>
          <t>MX thẳng 13-21→HNB013</t>
        </is>
      </c>
    </row>
    <row r="139">
      <c r="A139" s="4" t="inlineStr">
        <is>
          <t>HNB024</t>
        </is>
      </c>
      <c r="B139" s="4" t="inlineStr">
        <is>
          <t>C24</t>
        </is>
      </c>
      <c r="C139" s="4" t="inlineStr">
        <is>
          <t>FOCAL 2020</t>
        </is>
      </c>
      <c r="D139" s="4" t="n">
        <v>6</v>
      </c>
      <c r="E139" s="4" t="inlineStr">
        <is>
          <t>HNB086</t>
        </is>
      </c>
      <c r="F139" s="4" t="n">
        <v>1</v>
      </c>
      <c r="G139" s="4" t="inlineStr">
        <is>
          <t>1</t>
        </is>
      </c>
      <c r="H139" s="13" t="inlineStr">
        <is>
          <t>sợi nối trực tiếp → HNB086 (chưa rõ đã hàn pigtail ở ODF hai đầu)</t>
        </is>
      </c>
      <c r="I139" s="4" t="inlineStr">
        <is>
          <t>HNB086</t>
        </is>
      </c>
      <c r="J139" s="4" t="inlineStr"/>
      <c r="K139" s="4" t="inlineStr"/>
      <c r="L139" s="4" t="inlineStr">
        <is>
          <t>HNB086</t>
        </is>
      </c>
    </row>
    <row r="140">
      <c r="A140" s="4" t="inlineStr">
        <is>
          <t>HNB024</t>
        </is>
      </c>
      <c r="B140" s="4" t="inlineStr">
        <is>
          <t>C24</t>
        </is>
      </c>
      <c r="C140" s="4" t="inlineStr">
        <is>
          <t>FOCAL 2020</t>
        </is>
      </c>
      <c r="D140" s="4" t="n">
        <v>6</v>
      </c>
      <c r="E140" s="4" t="inlineStr">
        <is>
          <t>HNB086</t>
        </is>
      </c>
      <c r="F140" s="4" t="n">
        <v>2</v>
      </c>
      <c r="G140" s="4" t="inlineStr">
        <is>
          <t>2</t>
        </is>
      </c>
      <c r="H140" s="13" t="inlineStr">
        <is>
          <t>sợi nối trực tiếp → HNB086 (chưa rõ đã hàn pigtail ở ODF hai đầu)</t>
        </is>
      </c>
      <c r="I140" s="4" t="inlineStr">
        <is>
          <t>HNB086</t>
        </is>
      </c>
      <c r="J140" s="4" t="inlineStr"/>
      <c r="K140" s="4" t="inlineStr"/>
      <c r="L140" s="4" t="inlineStr">
        <is>
          <t>HNB086</t>
        </is>
      </c>
    </row>
    <row r="141">
      <c r="A141" s="4" t="inlineStr">
        <is>
          <t>HNB024</t>
        </is>
      </c>
      <c r="B141" s="4" t="inlineStr">
        <is>
          <t>C24</t>
        </is>
      </c>
      <c r="C141" s="4" t="inlineStr">
        <is>
          <t>FOCAL 2020</t>
        </is>
      </c>
      <c r="D141" s="4" t="n">
        <v>6</v>
      </c>
      <c r="E141" s="4" t="inlineStr">
        <is>
          <t>HNB086</t>
        </is>
      </c>
      <c r="F141" s="4" t="n">
        <v>3</v>
      </c>
      <c r="G141" s="4" t="inlineStr">
        <is>
          <t>3</t>
        </is>
      </c>
      <c r="H141" s="13" t="inlineStr">
        <is>
          <t>sợi nối trực tiếp → HNB086 (chưa rõ đã hàn pigtail ở ODF hai đầu)</t>
        </is>
      </c>
      <c r="I141" s="4" t="inlineStr">
        <is>
          <t>HNB086</t>
        </is>
      </c>
      <c r="J141" s="4" t="inlineStr"/>
      <c r="K141" s="4" t="inlineStr"/>
      <c r="L141" s="4" t="inlineStr">
        <is>
          <t>HNB086</t>
        </is>
      </c>
    </row>
    <row r="142">
      <c r="A142" s="4" t="inlineStr">
        <is>
          <t>HNB024</t>
        </is>
      </c>
      <c r="B142" s="4" t="inlineStr">
        <is>
          <t>C24</t>
        </is>
      </c>
      <c r="C142" s="4" t="inlineStr">
        <is>
          <t>FOCAL 2020</t>
        </is>
      </c>
      <c r="D142" s="4" t="n">
        <v>6</v>
      </c>
      <c r="E142" s="4" t="inlineStr">
        <is>
          <t>HNB086</t>
        </is>
      </c>
      <c r="F142" s="4" t="n">
        <v>4</v>
      </c>
      <c r="G142" s="4" t="inlineStr">
        <is>
          <t>4</t>
        </is>
      </c>
      <c r="H142" s="13" t="inlineStr">
        <is>
          <t>sợi nối trực tiếp → HNB086 (chưa rõ đã hàn pigtail ở ODF hai đầu)</t>
        </is>
      </c>
      <c r="I142" s="4" t="inlineStr">
        <is>
          <t>HNB086</t>
        </is>
      </c>
      <c r="J142" s="4" t="inlineStr"/>
      <c r="K142" s="4" t="inlineStr"/>
      <c r="L142" s="4" t="inlineStr">
        <is>
          <t>HNB086</t>
        </is>
      </c>
    </row>
    <row r="143">
      <c r="A143" s="4" t="inlineStr">
        <is>
          <t>HNB024</t>
        </is>
      </c>
      <c r="B143" s="4" t="inlineStr">
        <is>
          <t>C24</t>
        </is>
      </c>
      <c r="C143" s="4" t="inlineStr">
        <is>
          <t>FOCAL 2020</t>
        </is>
      </c>
      <c r="D143" s="4" t="n">
        <v>6</v>
      </c>
      <c r="E143" s="4" t="inlineStr">
        <is>
          <t>HNB086</t>
        </is>
      </c>
      <c r="F143" s="4" t="n">
        <v>5</v>
      </c>
      <c r="G143" s="4" t="inlineStr">
        <is>
          <t>5</t>
        </is>
      </c>
      <c r="H143" s="13" t="inlineStr">
        <is>
          <t>sợi nối trực tiếp → HNB086 (chưa rõ đã hàn pigtail ở ODF hai đầu)</t>
        </is>
      </c>
      <c r="I143" s="4" t="inlineStr">
        <is>
          <t>HNB086</t>
        </is>
      </c>
      <c r="J143" s="4" t="inlineStr"/>
      <c r="K143" s="4" t="inlineStr"/>
      <c r="L143" s="4" t="inlineStr">
        <is>
          <t>HNB086</t>
        </is>
      </c>
    </row>
    <row r="144">
      <c r="A144" s="4" t="inlineStr">
        <is>
          <t>HNB024</t>
        </is>
      </c>
      <c r="B144" s="4" t="inlineStr">
        <is>
          <t>C24</t>
        </is>
      </c>
      <c r="C144" s="4" t="inlineStr">
        <is>
          <t>FOCAL 2020</t>
        </is>
      </c>
      <c r="D144" s="4" t="n">
        <v>6</v>
      </c>
      <c r="E144" s="4" t="inlineStr">
        <is>
          <t>HNB086</t>
        </is>
      </c>
      <c r="F144" s="4" t="n">
        <v>6</v>
      </c>
      <c r="G144" s="4" t="inlineStr">
        <is>
          <t>6</t>
        </is>
      </c>
      <c r="H144" s="13" t="inlineStr">
        <is>
          <t>sợi nối trực tiếp → HNB086 (chưa rõ đã hàn pigtail ở ODF hai đầu)</t>
        </is>
      </c>
      <c r="I144" s="4" t="inlineStr">
        <is>
          <t>HNB086</t>
        </is>
      </c>
      <c r="J144" s="4" t="inlineStr"/>
      <c r="K144" s="4" t="inlineStr"/>
      <c r="L144" s="4" t="inlineStr">
        <is>
          <t>HNB086</t>
        </is>
      </c>
    </row>
    <row r="145">
      <c r="A145" s="4" t="inlineStr">
        <is>
          <t>HNB024</t>
        </is>
      </c>
      <c r="B145" s="4" t="inlineStr">
        <is>
          <t>C25</t>
        </is>
      </c>
      <c r="C145" s="4" t="inlineStr">
        <is>
          <t>FOCAL 2020</t>
        </is>
      </c>
      <c r="D145" s="4" t="n">
        <v>6</v>
      </c>
      <c r="E145" s="4" t="inlineStr">
        <is>
          <t>HNB027</t>
        </is>
      </c>
      <c r="F145" s="4" t="n">
        <v>1</v>
      </c>
      <c r="G145" s="4" t="inlineStr">
        <is>
          <t>1</t>
        </is>
      </c>
      <c r="H145" s="13" t="inlineStr">
        <is>
          <t>sợi nối trực tiếp → HNB027 (chưa rõ đã hàn pigtail ở ODF hai đầu)</t>
        </is>
      </c>
      <c r="I145" s="4" t="inlineStr">
        <is>
          <t>HNB027</t>
        </is>
      </c>
      <c r="J145" s="4" t="inlineStr"/>
      <c r="K145" s="4" t="inlineStr"/>
      <c r="L145" s="4" t="inlineStr">
        <is>
          <t>HNB027</t>
        </is>
      </c>
    </row>
    <row r="146">
      <c r="A146" s="4" t="inlineStr">
        <is>
          <t>HNB024</t>
        </is>
      </c>
      <c r="B146" s="4" t="inlineStr">
        <is>
          <t>C25</t>
        </is>
      </c>
      <c r="C146" s="4" t="inlineStr">
        <is>
          <t>FOCAL 2020</t>
        </is>
      </c>
      <c r="D146" s="4" t="n">
        <v>6</v>
      </c>
      <c r="E146" s="4" t="inlineStr">
        <is>
          <t>HNB027</t>
        </is>
      </c>
      <c r="F146" s="4" t="n">
        <v>2</v>
      </c>
      <c r="G146" s="4" t="inlineStr">
        <is>
          <t>2</t>
        </is>
      </c>
      <c r="H146" s="13" t="inlineStr">
        <is>
          <t>sợi nối trực tiếp → HNB027 (chưa rõ đã hàn pigtail ở ODF hai đầu)</t>
        </is>
      </c>
      <c r="I146" s="4" t="inlineStr">
        <is>
          <t>HNB027</t>
        </is>
      </c>
      <c r="J146" s="4" t="inlineStr"/>
      <c r="K146" s="4" t="inlineStr"/>
      <c r="L146" s="4" t="inlineStr">
        <is>
          <t>HNB027</t>
        </is>
      </c>
    </row>
    <row r="147">
      <c r="A147" s="4" t="inlineStr">
        <is>
          <t>HNB024</t>
        </is>
      </c>
      <c r="B147" s="4" t="inlineStr">
        <is>
          <t>C25</t>
        </is>
      </c>
      <c r="C147" s="4" t="inlineStr">
        <is>
          <t>FOCAL 2020</t>
        </is>
      </c>
      <c r="D147" s="4" t="n">
        <v>6</v>
      </c>
      <c r="E147" s="4" t="inlineStr">
        <is>
          <t>HNB027</t>
        </is>
      </c>
      <c r="F147" s="4" t="n">
        <v>3</v>
      </c>
      <c r="G147" s="4" t="inlineStr">
        <is>
          <t>3</t>
        </is>
      </c>
      <c r="H147" s="13" t="inlineStr">
        <is>
          <t>sợi nối trực tiếp → HNB027 (chưa rõ đã hàn pigtail ở ODF hai đầu)</t>
        </is>
      </c>
      <c r="I147" s="4" t="inlineStr">
        <is>
          <t>HNB027</t>
        </is>
      </c>
      <c r="J147" s="4" t="inlineStr"/>
      <c r="K147" s="4" t="inlineStr"/>
      <c r="L147" s="4" t="inlineStr">
        <is>
          <t>HNB027</t>
        </is>
      </c>
    </row>
    <row r="148">
      <c r="A148" s="4" t="inlineStr">
        <is>
          <t>HNB024</t>
        </is>
      </c>
      <c r="B148" s="4" t="inlineStr">
        <is>
          <t>C25</t>
        </is>
      </c>
      <c r="C148" s="4" t="inlineStr">
        <is>
          <t>FOCAL 2020</t>
        </is>
      </c>
      <c r="D148" s="4" t="n">
        <v>6</v>
      </c>
      <c r="E148" s="4" t="inlineStr">
        <is>
          <t>HNB027</t>
        </is>
      </c>
      <c r="F148" s="4" t="n">
        <v>4</v>
      </c>
      <c r="G148" s="4" t="inlineStr">
        <is>
          <t>4</t>
        </is>
      </c>
      <c r="H148" s="13" t="inlineStr">
        <is>
          <t>sợi nối trực tiếp → HNB027 (chưa rõ đã hàn pigtail ở ODF hai đầu)</t>
        </is>
      </c>
      <c r="I148" s="4" t="inlineStr">
        <is>
          <t>HNB027</t>
        </is>
      </c>
      <c r="J148" s="4" t="inlineStr"/>
      <c r="K148" s="4" t="inlineStr"/>
      <c r="L148" s="4" t="inlineStr">
        <is>
          <t>HNB027</t>
        </is>
      </c>
    </row>
    <row r="149">
      <c r="A149" s="4" t="inlineStr">
        <is>
          <t>HNB024</t>
        </is>
      </c>
      <c r="B149" s="4" t="inlineStr">
        <is>
          <t>C25</t>
        </is>
      </c>
      <c r="C149" s="4" t="inlineStr">
        <is>
          <t>FOCAL 2020</t>
        </is>
      </c>
      <c r="D149" s="4" t="n">
        <v>6</v>
      </c>
      <c r="E149" s="4" t="inlineStr">
        <is>
          <t>HNB027</t>
        </is>
      </c>
      <c r="F149" s="4" t="n">
        <v>5</v>
      </c>
      <c r="G149" s="4" t="inlineStr">
        <is>
          <t>5</t>
        </is>
      </c>
      <c r="H149" s="13" t="inlineStr">
        <is>
          <t>sợi nối trực tiếp → HNB027 (chưa rõ đã hàn pigtail ở ODF hai đầu)</t>
        </is>
      </c>
      <c r="I149" s="4" t="inlineStr">
        <is>
          <t>HNB027</t>
        </is>
      </c>
      <c r="J149" s="4" t="inlineStr"/>
      <c r="K149" s="4" t="inlineStr"/>
      <c r="L149" s="4" t="inlineStr">
        <is>
          <t>HNB027</t>
        </is>
      </c>
    </row>
    <row r="150">
      <c r="A150" s="4" t="inlineStr">
        <is>
          <t>HNB024</t>
        </is>
      </c>
      <c r="B150" s="4" t="inlineStr">
        <is>
          <t>C25</t>
        </is>
      </c>
      <c r="C150" s="4" t="inlineStr">
        <is>
          <t>FOCAL 2020</t>
        </is>
      </c>
      <c r="D150" s="4" t="n">
        <v>6</v>
      </c>
      <c r="E150" s="4" t="inlineStr">
        <is>
          <t>HNB027</t>
        </is>
      </c>
      <c r="F150" s="4" t="n">
        <v>6</v>
      </c>
      <c r="G150" s="4" t="inlineStr">
        <is>
          <t>6</t>
        </is>
      </c>
      <c r="H150" s="13" t="inlineStr">
        <is>
          <t>sợi nối trực tiếp → HNB027 (chưa rõ đã hàn pigtail ở ODF hai đầu)</t>
        </is>
      </c>
      <c r="I150" s="4" t="inlineStr">
        <is>
          <t>HNB027</t>
        </is>
      </c>
      <c r="J150" s="4" t="inlineStr"/>
      <c r="K150" s="4" t="inlineStr"/>
      <c r="L150" s="4" t="inlineStr">
        <is>
          <t>HNB027</t>
        </is>
      </c>
    </row>
    <row r="151">
      <c r="A151" s="4" t="inlineStr">
        <is>
          <t>HNB027</t>
        </is>
      </c>
      <c r="B151" s="4" t="inlineStr">
        <is>
          <t>C25</t>
        </is>
      </c>
      <c r="C151" s="4" t="inlineStr">
        <is>
          <t>FOCAL 2020</t>
        </is>
      </c>
      <c r="D151" s="4" t="n">
        <v>6</v>
      </c>
      <c r="E151" s="4" t="inlineStr">
        <is>
          <t>HNB024</t>
        </is>
      </c>
      <c r="F151" s="4" t="n">
        <v>1</v>
      </c>
      <c r="G151" s="4" t="inlineStr">
        <is>
          <t>1</t>
        </is>
      </c>
      <c r="H151" s="13" t="inlineStr">
        <is>
          <t>sợi nối trực tiếp → HNB024 (chưa rõ đã hàn pigtail ở ODF hai đầu)</t>
        </is>
      </c>
      <c r="I151" s="4" t="inlineStr">
        <is>
          <t>HNB024</t>
        </is>
      </c>
      <c r="J151" s="4" t="inlineStr"/>
      <c r="K151" s="4" t="inlineStr"/>
      <c r="L151" s="4" t="inlineStr">
        <is>
          <t>HNB024</t>
        </is>
      </c>
    </row>
    <row r="152">
      <c r="A152" s="4" t="inlineStr">
        <is>
          <t>HNB027</t>
        </is>
      </c>
      <c r="B152" s="4" t="inlineStr">
        <is>
          <t>C25</t>
        </is>
      </c>
      <c r="C152" s="4" t="inlineStr">
        <is>
          <t>FOCAL 2020</t>
        </is>
      </c>
      <c r="D152" s="4" t="n">
        <v>6</v>
      </c>
      <c r="E152" s="4" t="inlineStr">
        <is>
          <t>HNB024</t>
        </is>
      </c>
      <c r="F152" s="4" t="n">
        <v>2</v>
      </c>
      <c r="G152" s="4" t="inlineStr">
        <is>
          <t>2</t>
        </is>
      </c>
      <c r="H152" s="13" t="inlineStr">
        <is>
          <t>sợi nối trực tiếp → HNB024 (chưa rõ đã hàn pigtail ở ODF hai đầu)</t>
        </is>
      </c>
      <c r="I152" s="4" t="inlineStr">
        <is>
          <t>HNB024</t>
        </is>
      </c>
      <c r="J152" s="4" t="inlineStr"/>
      <c r="K152" s="4" t="inlineStr"/>
      <c r="L152" s="4" t="inlineStr">
        <is>
          <t>HNB024</t>
        </is>
      </c>
    </row>
    <row r="153">
      <c r="A153" s="4" t="inlineStr">
        <is>
          <t>HNB027</t>
        </is>
      </c>
      <c r="B153" s="4" t="inlineStr">
        <is>
          <t>C25</t>
        </is>
      </c>
      <c r="C153" s="4" t="inlineStr">
        <is>
          <t>FOCAL 2020</t>
        </is>
      </c>
      <c r="D153" s="4" t="n">
        <v>6</v>
      </c>
      <c r="E153" s="4" t="inlineStr">
        <is>
          <t>HNB024</t>
        </is>
      </c>
      <c r="F153" s="4" t="n">
        <v>3</v>
      </c>
      <c r="G153" s="4" t="inlineStr">
        <is>
          <t>3</t>
        </is>
      </c>
      <c r="H153" s="13" t="inlineStr">
        <is>
          <t>sợi nối trực tiếp → HNB024 (chưa rõ đã hàn pigtail ở ODF hai đầu)</t>
        </is>
      </c>
      <c r="I153" s="4" t="inlineStr">
        <is>
          <t>HNB024</t>
        </is>
      </c>
      <c r="J153" s="4" t="inlineStr"/>
      <c r="K153" s="4" t="inlineStr"/>
      <c r="L153" s="4" t="inlineStr">
        <is>
          <t>HNB024</t>
        </is>
      </c>
    </row>
    <row r="154">
      <c r="A154" s="4" t="inlineStr">
        <is>
          <t>HNB027</t>
        </is>
      </c>
      <c r="B154" s="4" t="inlineStr">
        <is>
          <t>C25</t>
        </is>
      </c>
      <c r="C154" s="4" t="inlineStr">
        <is>
          <t>FOCAL 2020</t>
        </is>
      </c>
      <c r="D154" s="4" t="n">
        <v>6</v>
      </c>
      <c r="E154" s="4" t="inlineStr">
        <is>
          <t>HNB024</t>
        </is>
      </c>
      <c r="F154" s="4" t="n">
        <v>4</v>
      </c>
      <c r="G154" s="4" t="inlineStr">
        <is>
          <t>4</t>
        </is>
      </c>
      <c r="H154" s="13" t="inlineStr">
        <is>
          <t>sợi nối trực tiếp → HNB024 (chưa rõ đã hàn pigtail ở ODF hai đầu)</t>
        </is>
      </c>
      <c r="I154" s="4" t="inlineStr">
        <is>
          <t>HNB024</t>
        </is>
      </c>
      <c r="J154" s="4" t="inlineStr"/>
      <c r="K154" s="4" t="inlineStr"/>
      <c r="L154" s="4" t="inlineStr">
        <is>
          <t>HNB024</t>
        </is>
      </c>
    </row>
    <row r="155">
      <c r="A155" s="4" t="inlineStr">
        <is>
          <t>HNB027</t>
        </is>
      </c>
      <c r="B155" s="4" t="inlineStr">
        <is>
          <t>C25</t>
        </is>
      </c>
      <c r="C155" s="4" t="inlineStr">
        <is>
          <t>FOCAL 2020</t>
        </is>
      </c>
      <c r="D155" s="4" t="n">
        <v>6</v>
      </c>
      <c r="E155" s="4" t="inlineStr">
        <is>
          <t>HNB024</t>
        </is>
      </c>
      <c r="F155" s="4" t="n">
        <v>5</v>
      </c>
      <c r="G155" s="4" t="inlineStr">
        <is>
          <t>5</t>
        </is>
      </c>
      <c r="H155" s="13" t="inlineStr">
        <is>
          <t>sợi nối trực tiếp → HNB024 (chưa rõ đã hàn pigtail ở ODF hai đầu)</t>
        </is>
      </c>
      <c r="I155" s="4" t="inlineStr">
        <is>
          <t>HNB024</t>
        </is>
      </c>
      <c r="J155" s="4" t="inlineStr"/>
      <c r="K155" s="4" t="inlineStr"/>
      <c r="L155" s="4" t="inlineStr">
        <is>
          <t>HNB024</t>
        </is>
      </c>
    </row>
    <row r="156">
      <c r="A156" s="4" t="inlineStr">
        <is>
          <t>HNB027</t>
        </is>
      </c>
      <c r="B156" s="4" t="inlineStr">
        <is>
          <t>C25</t>
        </is>
      </c>
      <c r="C156" s="4" t="inlineStr">
        <is>
          <t>FOCAL 2020</t>
        </is>
      </c>
      <c r="D156" s="4" t="n">
        <v>6</v>
      </c>
      <c r="E156" s="4" t="inlineStr">
        <is>
          <t>HNB024</t>
        </is>
      </c>
      <c r="F156" s="4" t="n">
        <v>6</v>
      </c>
      <c r="G156" s="4" t="inlineStr">
        <is>
          <t>6</t>
        </is>
      </c>
      <c r="H156" s="13" t="inlineStr">
        <is>
          <t>sợi nối trực tiếp → HNB024 (chưa rõ đã hàn pigtail ở ODF hai đầu)</t>
        </is>
      </c>
      <c r="I156" s="4" t="inlineStr">
        <is>
          <t>HNB024</t>
        </is>
      </c>
      <c r="J156" s="4" t="inlineStr"/>
      <c r="K156" s="4" t="inlineStr"/>
      <c r="L156" s="4" t="inlineStr">
        <is>
          <t>HNB024</t>
        </is>
      </c>
    </row>
    <row r="157">
      <c r="A157" s="4" t="inlineStr">
        <is>
          <t>HNB027</t>
        </is>
      </c>
      <c r="B157" s="4" t="inlineStr">
        <is>
          <t>C26</t>
        </is>
      </c>
      <c r="C157" s="4" t="inlineStr">
        <is>
          <t>FOCAL 2020</t>
        </is>
      </c>
      <c r="D157" s="4" t="n">
        <v>6</v>
      </c>
      <c r="E157" s="4" t="inlineStr">
        <is>
          <t>MX_NB-03</t>
        </is>
      </c>
      <c r="F157" s="4" t="n">
        <v>1</v>
      </c>
      <c r="G157" s="4" t="inlineStr">
        <is>
          <t>1</t>
        </is>
      </c>
      <c r="H157" s="11" t="inlineStr">
        <is>
          <t>đang chạy link R6-04 → HNB031</t>
        </is>
      </c>
      <c r="I157" s="4" t="inlineStr">
        <is>
          <t>HNB031</t>
        </is>
      </c>
      <c r="J157" s="4" t="inlineStr">
        <is>
          <t>R6-04</t>
        </is>
      </c>
      <c r="K157" s="4" t="inlineStr">
        <is>
          <t>mô tả</t>
        </is>
      </c>
      <c r="L157" s="4" t="inlineStr">
        <is>
          <t>MX_NB-03→MX_NB-04→HNB031</t>
        </is>
      </c>
    </row>
    <row r="158">
      <c r="A158" s="4" t="inlineStr">
        <is>
          <t>HNB027</t>
        </is>
      </c>
      <c r="B158" s="4" t="inlineStr">
        <is>
          <t>C26</t>
        </is>
      </c>
      <c r="C158" s="4" t="inlineStr">
        <is>
          <t>FOCAL 2020</t>
        </is>
      </c>
      <c r="D158" s="4" t="n">
        <v>6</v>
      </c>
      <c r="E158" s="4" t="inlineStr">
        <is>
          <t>MX_NB-03</t>
        </is>
      </c>
      <c r="F158" s="4" t="n">
        <v>2</v>
      </c>
      <c r="G158" s="4" t="inlineStr">
        <is>
          <t>2</t>
        </is>
      </c>
      <c r="H158" s="11" t="inlineStr">
        <is>
          <t>đang chạy link R6-04 → HNB031</t>
        </is>
      </c>
      <c r="I158" s="4" t="inlineStr">
        <is>
          <t>HNB031</t>
        </is>
      </c>
      <c r="J158" s="4" t="inlineStr">
        <is>
          <t>R6-04</t>
        </is>
      </c>
      <c r="K158" s="4" t="inlineStr">
        <is>
          <t>mô tả</t>
        </is>
      </c>
      <c r="L158" s="4" t="inlineStr">
        <is>
          <t>MX_NB-03→MX_NB-04→HNB031</t>
        </is>
      </c>
    </row>
    <row r="159">
      <c r="A159" s="4" t="inlineStr">
        <is>
          <t>HNB027</t>
        </is>
      </c>
      <c r="B159" s="4" t="inlineStr">
        <is>
          <t>C26</t>
        </is>
      </c>
      <c r="C159" s="4" t="inlineStr">
        <is>
          <t>FOCAL 2020</t>
        </is>
      </c>
      <c r="D159" s="4" t="n">
        <v>6</v>
      </c>
      <c r="E159" s="4" t="inlineStr">
        <is>
          <t>MX_NB-03</t>
        </is>
      </c>
      <c r="F159" s="4" t="n">
        <v>3</v>
      </c>
      <c r="G159" s="4" t="inlineStr">
        <is>
          <t>3</t>
        </is>
      </c>
      <c r="H159" s="12" t="inlineStr">
        <is>
          <t>chưa ghi hàn tại MX_NB-03 (dự phòng / chưa rõ / không hàn)</t>
        </is>
      </c>
      <c r="I159" s="4" t="inlineStr"/>
      <c r="J159" s="4" t="inlineStr"/>
      <c r="K159" s="4" t="inlineStr"/>
      <c r="L159" s="4" t="inlineStr">
        <is>
          <t>MX_NB-03</t>
        </is>
      </c>
    </row>
    <row r="160">
      <c r="A160" s="4" t="inlineStr">
        <is>
          <t>HNB027</t>
        </is>
      </c>
      <c r="B160" s="4" t="inlineStr">
        <is>
          <t>C26</t>
        </is>
      </c>
      <c r="C160" s="4" t="inlineStr">
        <is>
          <t>FOCAL 2020</t>
        </is>
      </c>
      <c r="D160" s="4" t="n">
        <v>6</v>
      </c>
      <c r="E160" s="4" t="inlineStr">
        <is>
          <t>MX_NB-03</t>
        </is>
      </c>
      <c r="F160" s="4" t="n">
        <v>4</v>
      </c>
      <c r="G160" s="4" t="inlineStr">
        <is>
          <t>4</t>
        </is>
      </c>
      <c r="H160" s="12" t="inlineStr">
        <is>
          <t>chưa ghi hàn tại MX_NB-03 (dự phòng / chưa rõ / không hàn)</t>
        </is>
      </c>
      <c r="I160" s="4" t="inlineStr"/>
      <c r="J160" s="4" t="inlineStr"/>
      <c r="K160" s="4" t="inlineStr"/>
      <c r="L160" s="4" t="inlineStr">
        <is>
          <t>MX_NB-03</t>
        </is>
      </c>
    </row>
    <row r="161">
      <c r="A161" s="4" t="inlineStr">
        <is>
          <t>HNB027</t>
        </is>
      </c>
      <c r="B161" s="4" t="inlineStr">
        <is>
          <t>C26</t>
        </is>
      </c>
      <c r="C161" s="4" t="inlineStr">
        <is>
          <t>FOCAL 2020</t>
        </is>
      </c>
      <c r="D161" s="4" t="n">
        <v>6</v>
      </c>
      <c r="E161" s="4" t="inlineStr">
        <is>
          <t>MX_NB-03</t>
        </is>
      </c>
      <c r="F161" s="4" t="n">
        <v>5</v>
      </c>
      <c r="G161" s="4" t="inlineStr">
        <is>
          <t>5</t>
        </is>
      </c>
      <c r="H161" s="12" t="inlineStr">
        <is>
          <t>chưa ghi hàn tại MX_NB-03 (dự phòng / chưa rõ / không hàn)</t>
        </is>
      </c>
      <c r="I161" s="4" t="inlineStr"/>
      <c r="J161" s="4" t="inlineStr"/>
      <c r="K161" s="4" t="inlineStr"/>
      <c r="L161" s="4" t="inlineStr">
        <is>
          <t>MX_NB-03</t>
        </is>
      </c>
    </row>
    <row r="162">
      <c r="A162" s="4" t="inlineStr">
        <is>
          <t>HNB027</t>
        </is>
      </c>
      <c r="B162" s="4" t="inlineStr">
        <is>
          <t>C26</t>
        </is>
      </c>
      <c r="C162" s="4" t="inlineStr">
        <is>
          <t>FOCAL 2020</t>
        </is>
      </c>
      <c r="D162" s="4" t="n">
        <v>6</v>
      </c>
      <c r="E162" s="4" t="inlineStr">
        <is>
          <t>MX_NB-03</t>
        </is>
      </c>
      <c r="F162" s="4" t="n">
        <v>6</v>
      </c>
      <c r="G162" s="4" t="inlineStr">
        <is>
          <t>6</t>
        </is>
      </c>
      <c r="H162" s="12" t="inlineStr">
        <is>
          <t>chưa ghi hàn tại MX_NB-03 (dự phòng / chưa rõ / không hàn)</t>
        </is>
      </c>
      <c r="I162" s="4" t="inlineStr"/>
      <c r="J162" s="4" t="inlineStr"/>
      <c r="K162" s="4" t="inlineStr"/>
      <c r="L162" s="4" t="inlineStr">
        <is>
          <t>MX_NB-03</t>
        </is>
      </c>
    </row>
    <row r="163">
      <c r="A163" s="4" t="inlineStr">
        <is>
          <t>HNB031</t>
        </is>
      </c>
      <c r="B163" s="4" t="inlineStr">
        <is>
          <t>C27</t>
        </is>
      </c>
      <c r="C163" s="4" t="inlineStr">
        <is>
          <t>FOCAL 2020</t>
        </is>
      </c>
      <c r="D163" s="4" t="n">
        <v>6</v>
      </c>
      <c r="E163" s="4" t="inlineStr">
        <is>
          <t>MX_NB-04</t>
        </is>
      </c>
      <c r="F163" s="4" t="n">
        <v>1</v>
      </c>
      <c r="G163" s="4" t="inlineStr">
        <is>
          <t>1</t>
        </is>
      </c>
      <c r="H163" s="11" t="inlineStr">
        <is>
          <t>đang chạy link R6-04 → HNB027</t>
        </is>
      </c>
      <c r="I163" s="4" t="inlineStr">
        <is>
          <t>HNB027</t>
        </is>
      </c>
      <c r="J163" s="4" t="inlineStr">
        <is>
          <t>R6-04</t>
        </is>
      </c>
      <c r="K163" s="4" t="inlineStr">
        <is>
          <t>mô tả</t>
        </is>
      </c>
      <c r="L163" s="4" t="inlineStr">
        <is>
          <t>MX_NB-04→MX_NB-03→HNB027</t>
        </is>
      </c>
    </row>
    <row r="164">
      <c r="A164" s="4" t="inlineStr">
        <is>
          <t>HNB031</t>
        </is>
      </c>
      <c r="B164" s="4" t="inlineStr">
        <is>
          <t>C27</t>
        </is>
      </c>
      <c r="C164" s="4" t="inlineStr">
        <is>
          <t>FOCAL 2020</t>
        </is>
      </c>
      <c r="D164" s="4" t="n">
        <v>6</v>
      </c>
      <c r="E164" s="4" t="inlineStr">
        <is>
          <t>MX_NB-04</t>
        </is>
      </c>
      <c r="F164" s="4" t="n">
        <v>2</v>
      </c>
      <c r="G164" s="4" t="inlineStr">
        <is>
          <t>2</t>
        </is>
      </c>
      <c r="H164" s="11" t="inlineStr">
        <is>
          <t>đang chạy link R6-04 → HNB027</t>
        </is>
      </c>
      <c r="I164" s="4" t="inlineStr">
        <is>
          <t>HNB027</t>
        </is>
      </c>
      <c r="J164" s="4" t="inlineStr">
        <is>
          <t>R6-04</t>
        </is>
      </c>
      <c r="K164" s="4" t="inlineStr">
        <is>
          <t>mô tả</t>
        </is>
      </c>
      <c r="L164" s="4" t="inlineStr">
        <is>
          <t>MX_NB-04→MX_NB-03→HNB027</t>
        </is>
      </c>
    </row>
    <row r="165">
      <c r="A165" s="4" t="inlineStr">
        <is>
          <t>HNB031</t>
        </is>
      </c>
      <c r="B165" s="4" t="inlineStr">
        <is>
          <t>C27</t>
        </is>
      </c>
      <c r="C165" s="4" t="inlineStr">
        <is>
          <t>FOCAL 2020</t>
        </is>
      </c>
      <c r="D165" s="4" t="n">
        <v>6</v>
      </c>
      <c r="E165" s="4" t="inlineStr">
        <is>
          <t>MX_NB-04</t>
        </is>
      </c>
      <c r="F165" s="4" t="n">
        <v>3</v>
      </c>
      <c r="G165" s="4" t="inlineStr">
        <is>
          <t>3</t>
        </is>
      </c>
      <c r="H165" s="12" t="inlineStr">
        <is>
          <t>chưa ghi hàn tại MX_NB-04 (dự phòng / chưa rõ / không hàn)</t>
        </is>
      </c>
      <c r="I165" s="4" t="inlineStr"/>
      <c r="J165" s="4" t="inlineStr"/>
      <c r="K165" s="4" t="inlineStr"/>
      <c r="L165" s="4" t="inlineStr">
        <is>
          <t>MX_NB-04</t>
        </is>
      </c>
    </row>
    <row r="166">
      <c r="A166" s="4" t="inlineStr">
        <is>
          <t>HNB031</t>
        </is>
      </c>
      <c r="B166" s="4" t="inlineStr">
        <is>
          <t>C27</t>
        </is>
      </c>
      <c r="C166" s="4" t="inlineStr">
        <is>
          <t>FOCAL 2020</t>
        </is>
      </c>
      <c r="D166" s="4" t="n">
        <v>6</v>
      </c>
      <c r="E166" s="4" t="inlineStr">
        <is>
          <t>MX_NB-04</t>
        </is>
      </c>
      <c r="F166" s="4" t="n">
        <v>4</v>
      </c>
      <c r="G166" s="4" t="inlineStr">
        <is>
          <t>4</t>
        </is>
      </c>
      <c r="H166" s="12" t="inlineStr">
        <is>
          <t>chưa ghi hàn tại MX_NB-04 (dự phòng / chưa rõ / không hàn)</t>
        </is>
      </c>
      <c r="I166" s="4" t="inlineStr"/>
      <c r="J166" s="4" t="inlineStr"/>
      <c r="K166" s="4" t="inlineStr"/>
      <c r="L166" s="4" t="inlineStr">
        <is>
          <t>MX_NB-04</t>
        </is>
      </c>
    </row>
    <row r="167">
      <c r="A167" s="4" t="inlineStr">
        <is>
          <t>HNB031</t>
        </is>
      </c>
      <c r="B167" s="4" t="inlineStr">
        <is>
          <t>C27</t>
        </is>
      </c>
      <c r="C167" s="4" t="inlineStr">
        <is>
          <t>FOCAL 2020</t>
        </is>
      </c>
      <c r="D167" s="4" t="n">
        <v>6</v>
      </c>
      <c r="E167" s="4" t="inlineStr">
        <is>
          <t>MX_NB-04</t>
        </is>
      </c>
      <c r="F167" s="4" t="n">
        <v>5</v>
      </c>
      <c r="G167" s="4" t="inlineStr">
        <is>
          <t>5</t>
        </is>
      </c>
      <c r="H167" s="12" t="inlineStr">
        <is>
          <t>chưa ghi hàn tại MX_NB-04 (dự phòng / chưa rõ / không hàn)</t>
        </is>
      </c>
      <c r="I167" s="4" t="inlineStr"/>
      <c r="J167" s="4" t="inlineStr"/>
      <c r="K167" s="4" t="inlineStr"/>
      <c r="L167" s="4" t="inlineStr">
        <is>
          <t>MX_NB-04</t>
        </is>
      </c>
    </row>
    <row r="168">
      <c r="A168" s="4" t="inlineStr">
        <is>
          <t>HNB031</t>
        </is>
      </c>
      <c r="B168" s="4" t="inlineStr">
        <is>
          <t>C27</t>
        </is>
      </c>
      <c r="C168" s="4" t="inlineStr">
        <is>
          <t>FOCAL 2020</t>
        </is>
      </c>
      <c r="D168" s="4" t="n">
        <v>6</v>
      </c>
      <c r="E168" s="4" t="inlineStr">
        <is>
          <t>MX_NB-04</t>
        </is>
      </c>
      <c r="F168" s="4" t="n">
        <v>6</v>
      </c>
      <c r="G168" s="4" t="inlineStr">
        <is>
          <t>6</t>
        </is>
      </c>
      <c r="H168" s="12" t="inlineStr">
        <is>
          <t>chưa ghi hàn tại MX_NB-04 (dự phòng / chưa rõ / không hàn)</t>
        </is>
      </c>
      <c r="I168" s="4" t="inlineStr"/>
      <c r="J168" s="4" t="inlineStr"/>
      <c r="K168" s="4" t="inlineStr"/>
      <c r="L168" s="4" t="inlineStr">
        <is>
          <t>MX_NB-04</t>
        </is>
      </c>
    </row>
    <row r="169">
      <c r="A169" s="4" t="inlineStr">
        <is>
          <t>HNB031</t>
        </is>
      </c>
      <c r="B169" s="4" t="inlineStr">
        <is>
          <t>C28</t>
        </is>
      </c>
      <c r="C169" s="4" t="inlineStr">
        <is>
          <t>FOCAL 2020</t>
        </is>
      </c>
      <c r="D169" s="4" t="n">
        <v>6</v>
      </c>
      <c r="E169" s="4" t="inlineStr">
        <is>
          <t>HNB020</t>
        </is>
      </c>
      <c r="F169" s="4" t="n">
        <v>1</v>
      </c>
      <c r="G169" s="4" t="inlineStr">
        <is>
          <t>1</t>
        </is>
      </c>
      <c r="H169" s="13" t="inlineStr">
        <is>
          <t>sợi nối trực tiếp → HNB020 (chưa rõ đã hàn pigtail ở ODF hai đầu)</t>
        </is>
      </c>
      <c r="I169" s="4" t="inlineStr">
        <is>
          <t>HNB020</t>
        </is>
      </c>
      <c r="J169" s="4" t="inlineStr"/>
      <c r="K169" s="4" t="inlineStr"/>
      <c r="L169" s="4" t="inlineStr">
        <is>
          <t>HNB020</t>
        </is>
      </c>
    </row>
    <row r="170">
      <c r="A170" s="4" t="inlineStr">
        <is>
          <t>HNB031</t>
        </is>
      </c>
      <c r="B170" s="4" t="inlineStr">
        <is>
          <t>C28</t>
        </is>
      </c>
      <c r="C170" s="4" t="inlineStr">
        <is>
          <t>FOCAL 2020</t>
        </is>
      </c>
      <c r="D170" s="4" t="n">
        <v>6</v>
      </c>
      <c r="E170" s="4" t="inlineStr">
        <is>
          <t>HNB020</t>
        </is>
      </c>
      <c r="F170" s="4" t="n">
        <v>2</v>
      </c>
      <c r="G170" s="4" t="inlineStr">
        <is>
          <t>2</t>
        </is>
      </c>
      <c r="H170" s="13" t="inlineStr">
        <is>
          <t>sợi nối trực tiếp → HNB020 (chưa rõ đã hàn pigtail ở ODF hai đầu)</t>
        </is>
      </c>
      <c r="I170" s="4" t="inlineStr">
        <is>
          <t>HNB020</t>
        </is>
      </c>
      <c r="J170" s="4" t="inlineStr"/>
      <c r="K170" s="4" t="inlineStr"/>
      <c r="L170" s="4" t="inlineStr">
        <is>
          <t>HNB020</t>
        </is>
      </c>
    </row>
    <row r="171">
      <c r="A171" s="4" t="inlineStr">
        <is>
          <t>HNB031</t>
        </is>
      </c>
      <c r="B171" s="4" t="inlineStr">
        <is>
          <t>C28</t>
        </is>
      </c>
      <c r="C171" s="4" t="inlineStr">
        <is>
          <t>FOCAL 2020</t>
        </is>
      </c>
      <c r="D171" s="4" t="n">
        <v>6</v>
      </c>
      <c r="E171" s="4" t="inlineStr">
        <is>
          <t>HNB020</t>
        </is>
      </c>
      <c r="F171" s="4" t="n">
        <v>3</v>
      </c>
      <c r="G171" s="4" t="inlineStr">
        <is>
          <t>3</t>
        </is>
      </c>
      <c r="H171" s="13" t="inlineStr">
        <is>
          <t>sợi nối trực tiếp → HNB020 (chưa rõ đã hàn pigtail ở ODF hai đầu)</t>
        </is>
      </c>
      <c r="I171" s="4" t="inlineStr">
        <is>
          <t>HNB020</t>
        </is>
      </c>
      <c r="J171" s="4" t="inlineStr"/>
      <c r="K171" s="4" t="inlineStr"/>
      <c r="L171" s="4" t="inlineStr">
        <is>
          <t>HNB020</t>
        </is>
      </c>
    </row>
    <row r="172">
      <c r="A172" s="4" t="inlineStr">
        <is>
          <t>HNB031</t>
        </is>
      </c>
      <c r="B172" s="4" t="inlineStr">
        <is>
          <t>C28</t>
        </is>
      </c>
      <c r="C172" s="4" t="inlineStr">
        <is>
          <t>FOCAL 2020</t>
        </is>
      </c>
      <c r="D172" s="4" t="n">
        <v>6</v>
      </c>
      <c r="E172" s="4" t="inlineStr">
        <is>
          <t>HNB020</t>
        </is>
      </c>
      <c r="F172" s="4" t="n">
        <v>4</v>
      </c>
      <c r="G172" s="4" t="inlineStr">
        <is>
          <t>4</t>
        </is>
      </c>
      <c r="H172" s="13" t="inlineStr">
        <is>
          <t>sợi nối trực tiếp → HNB020 (chưa rõ đã hàn pigtail ở ODF hai đầu)</t>
        </is>
      </c>
      <c r="I172" s="4" t="inlineStr">
        <is>
          <t>HNB020</t>
        </is>
      </c>
      <c r="J172" s="4" t="inlineStr"/>
      <c r="K172" s="4" t="inlineStr"/>
      <c r="L172" s="4" t="inlineStr">
        <is>
          <t>HNB020</t>
        </is>
      </c>
    </row>
    <row r="173">
      <c r="A173" s="4" t="inlineStr">
        <is>
          <t>HNB031</t>
        </is>
      </c>
      <c r="B173" s="4" t="inlineStr">
        <is>
          <t>C28</t>
        </is>
      </c>
      <c r="C173" s="4" t="inlineStr">
        <is>
          <t>FOCAL 2020</t>
        </is>
      </c>
      <c r="D173" s="4" t="n">
        <v>6</v>
      </c>
      <c r="E173" s="4" t="inlineStr">
        <is>
          <t>HNB020</t>
        </is>
      </c>
      <c r="F173" s="4" t="n">
        <v>5</v>
      </c>
      <c r="G173" s="4" t="inlineStr">
        <is>
          <t>5</t>
        </is>
      </c>
      <c r="H173" s="13" t="inlineStr">
        <is>
          <t>sợi nối trực tiếp → HNB020 (chưa rõ đã hàn pigtail ở ODF hai đầu)</t>
        </is>
      </c>
      <c r="I173" s="4" t="inlineStr">
        <is>
          <t>HNB020</t>
        </is>
      </c>
      <c r="J173" s="4" t="inlineStr"/>
      <c r="K173" s="4" t="inlineStr"/>
      <c r="L173" s="4" t="inlineStr">
        <is>
          <t>HNB020</t>
        </is>
      </c>
    </row>
    <row r="174">
      <c r="A174" s="4" t="inlineStr">
        <is>
          <t>HNB031</t>
        </is>
      </c>
      <c r="B174" s="4" t="inlineStr">
        <is>
          <t>C28</t>
        </is>
      </c>
      <c r="C174" s="4" t="inlineStr">
        <is>
          <t>FOCAL 2020</t>
        </is>
      </c>
      <c r="D174" s="4" t="n">
        <v>6</v>
      </c>
      <c r="E174" s="4" t="inlineStr">
        <is>
          <t>HNB020</t>
        </is>
      </c>
      <c r="F174" s="4" t="n">
        <v>6</v>
      </c>
      <c r="G174" s="4" t="inlineStr">
        <is>
          <t>6</t>
        </is>
      </c>
      <c r="H174" s="13" t="inlineStr">
        <is>
          <t>sợi nối trực tiếp → HNB020 (chưa rõ đã hàn pigtail ở ODF hai đầu)</t>
        </is>
      </c>
      <c r="I174" s="4" t="inlineStr">
        <is>
          <t>HNB020</t>
        </is>
      </c>
      <c r="J174" s="4" t="inlineStr"/>
      <c r="K174" s="4" t="inlineStr"/>
      <c r="L174" s="4" t="inlineStr">
        <is>
          <t>HNB020</t>
        </is>
      </c>
    </row>
    <row r="175">
      <c r="A175" s="4" t="inlineStr">
        <is>
          <t>HNB038</t>
        </is>
      </c>
      <c r="B175" s="4" t="inlineStr">
        <is>
          <t>C46</t>
        </is>
      </c>
      <c r="C175" s="4" t="inlineStr">
        <is>
          <t>POSTEF 1/2019</t>
        </is>
      </c>
      <c r="D175" s="4" t="n">
        <v>8</v>
      </c>
      <c r="E175" s="4" t="inlineStr">
        <is>
          <t>MX_HTP-02</t>
        </is>
      </c>
      <c r="F175" s="4" t="n">
        <v>1</v>
      </c>
      <c r="G175" s="4" t="inlineStr">
        <is>
          <t>1</t>
        </is>
      </c>
      <c r="H175" s="11" t="inlineStr">
        <is>
          <t>đang chạy link R8-04 → NBE22</t>
        </is>
      </c>
      <c r="I175" s="4" t="inlineStr">
        <is>
          <t>NBE22</t>
        </is>
      </c>
      <c r="J175" s="4" t="inlineStr">
        <is>
          <t>R8-04</t>
        </is>
      </c>
      <c r="K175" s="4" t="inlineStr">
        <is>
          <t>mô tả</t>
        </is>
      </c>
      <c r="L175" s="4" t="inlineStr">
        <is>
          <t>MX_HTP-02→MX_HTP-03A→ODF-01 NBE22</t>
        </is>
      </c>
    </row>
    <row r="176">
      <c r="A176" s="4" t="inlineStr">
        <is>
          <t>HNB038</t>
        </is>
      </c>
      <c r="B176" s="4" t="inlineStr">
        <is>
          <t>C46</t>
        </is>
      </c>
      <c r="C176" s="4" t="inlineStr">
        <is>
          <t>POSTEF 1/2019</t>
        </is>
      </c>
      <c r="D176" s="4" t="n">
        <v>8</v>
      </c>
      <c r="E176" s="4" t="inlineStr">
        <is>
          <t>MX_HTP-02</t>
        </is>
      </c>
      <c r="F176" s="4" t="n">
        <v>2</v>
      </c>
      <c r="G176" s="4" t="inlineStr">
        <is>
          <t>2</t>
        </is>
      </c>
      <c r="H176" s="11" t="inlineStr">
        <is>
          <t>đang chạy link R8-04 → NBE22</t>
        </is>
      </c>
      <c r="I176" s="4" t="inlineStr">
        <is>
          <t>NBE22</t>
        </is>
      </c>
      <c r="J176" s="4" t="inlineStr">
        <is>
          <t>R8-04</t>
        </is>
      </c>
      <c r="K176" s="4" t="inlineStr">
        <is>
          <t>mô tả</t>
        </is>
      </c>
      <c r="L176" s="4" t="inlineStr">
        <is>
          <t>MX_HTP-02→MX_HTP-03A→ODF-01 NBE22</t>
        </is>
      </c>
    </row>
    <row r="177">
      <c r="A177" s="4" t="inlineStr">
        <is>
          <t>HNB038</t>
        </is>
      </c>
      <c r="B177" s="4" t="inlineStr">
        <is>
          <t>C46</t>
        </is>
      </c>
      <c r="C177" s="4" t="inlineStr">
        <is>
          <t>POSTEF 1/2019</t>
        </is>
      </c>
      <c r="D177" s="4" t="n">
        <v>8</v>
      </c>
      <c r="E177" s="4" t="inlineStr">
        <is>
          <t>MX_HTP-02</t>
        </is>
      </c>
      <c r="F177" s="4" t="n">
        <v>3</v>
      </c>
      <c r="G177" s="4" t="inlineStr">
        <is>
          <t>3</t>
        </is>
      </c>
      <c r="H177" s="12" t="inlineStr">
        <is>
          <t>chưa ghi hàn tại MX_HTP-02 (dự phòng / chưa rõ / không hàn)</t>
        </is>
      </c>
      <c r="I177" s="4" t="inlineStr"/>
      <c r="J177" s="4" t="inlineStr"/>
      <c r="K177" s="4" t="inlineStr"/>
      <c r="L177" s="4" t="inlineStr">
        <is>
          <t>MX_HTP-02</t>
        </is>
      </c>
    </row>
    <row r="178">
      <c r="A178" s="4" t="inlineStr">
        <is>
          <t>HNB038</t>
        </is>
      </c>
      <c r="B178" s="4" t="inlineStr">
        <is>
          <t>C46</t>
        </is>
      </c>
      <c r="C178" s="4" t="inlineStr">
        <is>
          <t>POSTEF 1/2019</t>
        </is>
      </c>
      <c r="D178" s="4" t="n">
        <v>8</v>
      </c>
      <c r="E178" s="4" t="inlineStr">
        <is>
          <t>MX_HTP-02</t>
        </is>
      </c>
      <c r="F178" s="4" t="n">
        <v>4</v>
      </c>
      <c r="G178" s="4" t="inlineStr">
        <is>
          <t>4</t>
        </is>
      </c>
      <c r="H178" s="12" t="inlineStr">
        <is>
          <t>chưa ghi hàn tại MX_HTP-02 (dự phòng / chưa rõ / không hàn)</t>
        </is>
      </c>
      <c r="I178" s="4" t="inlineStr"/>
      <c r="J178" s="4" t="inlineStr"/>
      <c r="K178" s="4" t="inlineStr"/>
      <c r="L178" s="4" t="inlineStr">
        <is>
          <t>MX_HTP-02</t>
        </is>
      </c>
    </row>
    <row r="179">
      <c r="A179" s="4" t="inlineStr">
        <is>
          <t>HNB038</t>
        </is>
      </c>
      <c r="B179" s="4" t="inlineStr">
        <is>
          <t>C46</t>
        </is>
      </c>
      <c r="C179" s="4" t="inlineStr">
        <is>
          <t>POSTEF 1/2019</t>
        </is>
      </c>
      <c r="D179" s="4" t="n">
        <v>8</v>
      </c>
      <c r="E179" s="4" t="inlineStr">
        <is>
          <t>MX_HTP-02</t>
        </is>
      </c>
      <c r="F179" s="4" t="n">
        <v>5</v>
      </c>
      <c r="G179" s="4" t="inlineStr">
        <is>
          <t>5</t>
        </is>
      </c>
      <c r="H179" s="12" t="inlineStr">
        <is>
          <t>chưa ghi hàn tại MX_HTP-02 (dự phòng / chưa rõ / không hàn)</t>
        </is>
      </c>
      <c r="I179" s="4" t="inlineStr"/>
      <c r="J179" s="4" t="inlineStr"/>
      <c r="K179" s="4" t="inlineStr"/>
      <c r="L179" s="4" t="inlineStr">
        <is>
          <t>MX_HTP-02</t>
        </is>
      </c>
    </row>
    <row r="180">
      <c r="A180" s="4" t="inlineStr">
        <is>
          <t>HNB038</t>
        </is>
      </c>
      <c r="B180" s="4" t="inlineStr">
        <is>
          <t>C46</t>
        </is>
      </c>
      <c r="C180" s="4" t="inlineStr">
        <is>
          <t>POSTEF 1/2019</t>
        </is>
      </c>
      <c r="D180" s="4" t="n">
        <v>8</v>
      </c>
      <c r="E180" s="4" t="inlineStr">
        <is>
          <t>MX_HTP-02</t>
        </is>
      </c>
      <c r="F180" s="4" t="n">
        <v>6</v>
      </c>
      <c r="G180" s="4" t="inlineStr">
        <is>
          <t>6</t>
        </is>
      </c>
      <c r="H180" s="12" t="inlineStr">
        <is>
          <t>chưa ghi hàn tại MX_HTP-02 (dự phòng / chưa rõ / không hàn)</t>
        </is>
      </c>
      <c r="I180" s="4" t="inlineStr"/>
      <c r="J180" s="4" t="inlineStr"/>
      <c r="K180" s="4" t="inlineStr"/>
      <c r="L180" s="4" t="inlineStr">
        <is>
          <t>MX_HTP-02</t>
        </is>
      </c>
    </row>
    <row r="181">
      <c r="A181" s="4" t="inlineStr">
        <is>
          <t>HNB038</t>
        </is>
      </c>
      <c r="B181" s="4" t="inlineStr">
        <is>
          <t>C46</t>
        </is>
      </c>
      <c r="C181" s="4" t="inlineStr">
        <is>
          <t>POSTEF 1/2019</t>
        </is>
      </c>
      <c r="D181" s="4" t="n">
        <v>8</v>
      </c>
      <c r="E181" s="4" t="inlineStr">
        <is>
          <t>MX_HTP-02</t>
        </is>
      </c>
      <c r="F181" s="4" t="n">
        <v>7</v>
      </c>
      <c r="G181" s="4" t="inlineStr">
        <is>
          <t>7</t>
        </is>
      </c>
      <c r="H181" s="12" t="inlineStr">
        <is>
          <t>chưa ghi hàn tại MX_HTP-02 (dự phòng / chưa rõ / không hàn)</t>
        </is>
      </c>
      <c r="I181" s="4" t="inlineStr"/>
      <c r="J181" s="4" t="inlineStr"/>
      <c r="K181" s="4" t="inlineStr"/>
      <c r="L181" s="4" t="inlineStr">
        <is>
          <t>MX_HTP-02</t>
        </is>
      </c>
    </row>
    <row r="182">
      <c r="A182" s="4" t="inlineStr">
        <is>
          <t>HNB038</t>
        </is>
      </c>
      <c r="B182" s="4" t="inlineStr">
        <is>
          <t>C46</t>
        </is>
      </c>
      <c r="C182" s="4" t="inlineStr">
        <is>
          <t>POSTEF 1/2019</t>
        </is>
      </c>
      <c r="D182" s="4" t="n">
        <v>8</v>
      </c>
      <c r="E182" s="4" t="inlineStr">
        <is>
          <t>MX_HTP-02</t>
        </is>
      </c>
      <c r="F182" s="4" t="n">
        <v>8</v>
      </c>
      <c r="G182" s="4" t="inlineStr">
        <is>
          <t>8</t>
        </is>
      </c>
      <c r="H182" s="12" t="inlineStr">
        <is>
          <t>chưa ghi hàn tại MX_HTP-02 (dự phòng / chưa rõ / không hàn)</t>
        </is>
      </c>
      <c r="I182" s="4" t="inlineStr"/>
      <c r="J182" s="4" t="inlineStr"/>
      <c r="K182" s="4" t="inlineStr"/>
      <c r="L182" s="4" t="inlineStr">
        <is>
          <t>MX_HTP-02</t>
        </is>
      </c>
    </row>
    <row r="183">
      <c r="A183" s="4" t="inlineStr">
        <is>
          <t>HNB038</t>
        </is>
      </c>
      <c r="B183" s="4" t="inlineStr">
        <is>
          <t>C69</t>
        </is>
      </c>
      <c r="C183" s="4" t="inlineStr">
        <is>
          <t>RECOIN 12/2016</t>
        </is>
      </c>
      <c r="D183" s="4" t="n">
        <v>4</v>
      </c>
      <c r="E183" s="4" t="inlineStr">
        <is>
          <t>HNB016</t>
        </is>
      </c>
      <c r="F183" s="4" t="n">
        <v>1</v>
      </c>
      <c r="G183" s="4" t="inlineStr">
        <is>
          <t>1</t>
        </is>
      </c>
      <c r="H183" s="13" t="inlineStr">
        <is>
          <t>sợi nối trực tiếp → HNB016 (chưa rõ đã hàn pigtail ở ODF hai đầu)</t>
        </is>
      </c>
      <c r="I183" s="4" t="inlineStr">
        <is>
          <t>HNB016</t>
        </is>
      </c>
      <c r="J183" s="4" t="inlineStr"/>
      <c r="K183" s="4" t="inlineStr"/>
      <c r="L183" s="4" t="inlineStr">
        <is>
          <t>HNB016</t>
        </is>
      </c>
    </row>
    <row r="184">
      <c r="A184" s="4" t="inlineStr">
        <is>
          <t>HNB038</t>
        </is>
      </c>
      <c r="B184" s="4" t="inlineStr">
        <is>
          <t>C69</t>
        </is>
      </c>
      <c r="C184" s="4" t="inlineStr">
        <is>
          <t>RECOIN 12/2016</t>
        </is>
      </c>
      <c r="D184" s="4" t="n">
        <v>4</v>
      </c>
      <c r="E184" s="4" t="inlineStr">
        <is>
          <t>HNB016</t>
        </is>
      </c>
      <c r="F184" s="4" t="n">
        <v>2</v>
      </c>
      <c r="G184" s="4" t="inlineStr">
        <is>
          <t>2</t>
        </is>
      </c>
      <c r="H184" s="13" t="inlineStr">
        <is>
          <t>sợi nối trực tiếp → HNB016 (chưa rõ đã hàn pigtail ở ODF hai đầu)</t>
        </is>
      </c>
      <c r="I184" s="4" t="inlineStr">
        <is>
          <t>HNB016</t>
        </is>
      </c>
      <c r="J184" s="4" t="inlineStr"/>
      <c r="K184" s="4" t="inlineStr"/>
      <c r="L184" s="4" t="inlineStr">
        <is>
          <t>HNB016</t>
        </is>
      </c>
    </row>
    <row r="185">
      <c r="A185" s="4" t="inlineStr">
        <is>
          <t>HNB038</t>
        </is>
      </c>
      <c r="B185" s="4" t="inlineStr">
        <is>
          <t>C69</t>
        </is>
      </c>
      <c r="C185" s="4" t="inlineStr">
        <is>
          <t>RECOIN 12/2016</t>
        </is>
      </c>
      <c r="D185" s="4" t="n">
        <v>4</v>
      </c>
      <c r="E185" s="4" t="inlineStr">
        <is>
          <t>HNB016</t>
        </is>
      </c>
      <c r="F185" s="4" t="n">
        <v>3</v>
      </c>
      <c r="G185" s="4" t="inlineStr">
        <is>
          <t>3</t>
        </is>
      </c>
      <c r="H185" s="13" t="inlineStr">
        <is>
          <t>sợi nối trực tiếp → HNB016 (chưa rõ đã hàn pigtail ở ODF hai đầu)</t>
        </is>
      </c>
      <c r="I185" s="4" t="inlineStr">
        <is>
          <t>HNB016</t>
        </is>
      </c>
      <c r="J185" s="4" t="inlineStr"/>
      <c r="K185" s="4" t="inlineStr"/>
      <c r="L185" s="4" t="inlineStr">
        <is>
          <t>HNB016</t>
        </is>
      </c>
    </row>
    <row r="186">
      <c r="A186" s="4" t="inlineStr">
        <is>
          <t>HNB038</t>
        </is>
      </c>
      <c r="B186" s="4" t="inlineStr">
        <is>
          <t>C69</t>
        </is>
      </c>
      <c r="C186" s="4" t="inlineStr">
        <is>
          <t>RECOIN 12/2016</t>
        </is>
      </c>
      <c r="D186" s="4" t="n">
        <v>4</v>
      </c>
      <c r="E186" s="4" t="inlineStr">
        <is>
          <t>HNB016</t>
        </is>
      </c>
      <c r="F186" s="4" t="n">
        <v>4</v>
      </c>
      <c r="G186" s="4" t="inlineStr">
        <is>
          <t>4</t>
        </is>
      </c>
      <c r="H186" s="13" t="inlineStr">
        <is>
          <t>sợi nối trực tiếp → HNB016 (chưa rõ đã hàn pigtail ở ODF hai đầu)</t>
        </is>
      </c>
      <c r="I186" s="4" t="inlineStr">
        <is>
          <t>HNB016</t>
        </is>
      </c>
      <c r="J186" s="4" t="inlineStr"/>
      <c r="K186" s="4" t="inlineStr"/>
      <c r="L186" s="4" t="inlineStr">
        <is>
          <t>HNB016</t>
        </is>
      </c>
    </row>
    <row r="187">
      <c r="A187" s="4" t="inlineStr">
        <is>
          <t>HNB048</t>
        </is>
      </c>
      <c r="B187" s="4" t="inlineStr">
        <is>
          <t>C20</t>
        </is>
      </c>
      <c r="C187" s="4" t="inlineStr">
        <is>
          <t>FOCAL 2020</t>
        </is>
      </c>
      <c r="D187" s="4" t="n">
        <v>6</v>
      </c>
      <c r="E187" s="4" t="inlineStr">
        <is>
          <t>HNB060</t>
        </is>
      </c>
      <c r="F187" s="4" t="n">
        <v>1</v>
      </c>
      <c r="G187" s="4" t="inlineStr">
        <is>
          <t>1</t>
        </is>
      </c>
      <c r="H187" s="13" t="inlineStr">
        <is>
          <t>sợi nối trực tiếp → HNB060 (chưa rõ đã hàn pigtail ở ODF hai đầu)</t>
        </is>
      </c>
      <c r="I187" s="4" t="inlineStr">
        <is>
          <t>HNB060</t>
        </is>
      </c>
      <c r="J187" s="4" t="inlineStr"/>
      <c r="K187" s="4" t="inlineStr"/>
      <c r="L187" s="4" t="inlineStr">
        <is>
          <t>HNB060</t>
        </is>
      </c>
    </row>
    <row r="188">
      <c r="A188" s="4" t="inlineStr">
        <is>
          <t>HNB048</t>
        </is>
      </c>
      <c r="B188" s="4" t="inlineStr">
        <is>
          <t>C20</t>
        </is>
      </c>
      <c r="C188" s="4" t="inlineStr">
        <is>
          <t>FOCAL 2020</t>
        </is>
      </c>
      <c r="D188" s="4" t="n">
        <v>6</v>
      </c>
      <c r="E188" s="4" t="inlineStr">
        <is>
          <t>HNB060</t>
        </is>
      </c>
      <c r="F188" s="4" t="n">
        <v>2</v>
      </c>
      <c r="G188" s="4" t="inlineStr">
        <is>
          <t>2</t>
        </is>
      </c>
      <c r="H188" s="13" t="inlineStr">
        <is>
          <t>sợi nối trực tiếp → HNB060 (chưa rõ đã hàn pigtail ở ODF hai đầu)</t>
        </is>
      </c>
      <c r="I188" s="4" t="inlineStr">
        <is>
          <t>HNB060</t>
        </is>
      </c>
      <c r="J188" s="4" t="inlineStr"/>
      <c r="K188" s="4" t="inlineStr"/>
      <c r="L188" s="4" t="inlineStr">
        <is>
          <t>HNB060</t>
        </is>
      </c>
    </row>
    <row r="189">
      <c r="A189" s="4" t="inlineStr">
        <is>
          <t>HNB048</t>
        </is>
      </c>
      <c r="B189" s="4" t="inlineStr">
        <is>
          <t>C20</t>
        </is>
      </c>
      <c r="C189" s="4" t="inlineStr">
        <is>
          <t>FOCAL 2020</t>
        </is>
      </c>
      <c r="D189" s="4" t="n">
        <v>6</v>
      </c>
      <c r="E189" s="4" t="inlineStr">
        <is>
          <t>HNB060</t>
        </is>
      </c>
      <c r="F189" s="4" t="n">
        <v>3</v>
      </c>
      <c r="G189" s="4" t="inlineStr">
        <is>
          <t>3</t>
        </is>
      </c>
      <c r="H189" s="13" t="inlineStr">
        <is>
          <t>sợi nối trực tiếp → HNB060 (chưa rõ đã hàn pigtail ở ODF hai đầu)</t>
        </is>
      </c>
      <c r="I189" s="4" t="inlineStr">
        <is>
          <t>HNB060</t>
        </is>
      </c>
      <c r="J189" s="4" t="inlineStr"/>
      <c r="K189" s="4" t="inlineStr"/>
      <c r="L189" s="4" t="inlineStr">
        <is>
          <t>HNB060</t>
        </is>
      </c>
    </row>
    <row r="190">
      <c r="A190" s="4" t="inlineStr">
        <is>
          <t>HNB048</t>
        </is>
      </c>
      <c r="B190" s="4" t="inlineStr">
        <is>
          <t>C20</t>
        </is>
      </c>
      <c r="C190" s="4" t="inlineStr">
        <is>
          <t>FOCAL 2020</t>
        </is>
      </c>
      <c r="D190" s="4" t="n">
        <v>6</v>
      </c>
      <c r="E190" s="4" t="inlineStr">
        <is>
          <t>HNB060</t>
        </is>
      </c>
      <c r="F190" s="4" t="n">
        <v>4</v>
      </c>
      <c r="G190" s="4" t="inlineStr">
        <is>
          <t>4</t>
        </is>
      </c>
      <c r="H190" s="13" t="inlineStr">
        <is>
          <t>sợi nối trực tiếp → HNB060 (chưa rõ đã hàn pigtail ở ODF hai đầu)</t>
        </is>
      </c>
      <c r="I190" s="4" t="inlineStr">
        <is>
          <t>HNB060</t>
        </is>
      </c>
      <c r="J190" s="4" t="inlineStr"/>
      <c r="K190" s="4" t="inlineStr"/>
      <c r="L190" s="4" t="inlineStr">
        <is>
          <t>HNB060</t>
        </is>
      </c>
    </row>
    <row r="191">
      <c r="A191" s="4" t="inlineStr">
        <is>
          <t>HNB048</t>
        </is>
      </c>
      <c r="B191" s="4" t="inlineStr">
        <is>
          <t>C20</t>
        </is>
      </c>
      <c r="C191" s="4" t="inlineStr">
        <is>
          <t>FOCAL 2020</t>
        </is>
      </c>
      <c r="D191" s="4" t="n">
        <v>6</v>
      </c>
      <c r="E191" s="4" t="inlineStr">
        <is>
          <t>HNB060</t>
        </is>
      </c>
      <c r="F191" s="4" t="n">
        <v>5</v>
      </c>
      <c r="G191" s="4" t="inlineStr">
        <is>
          <t>5</t>
        </is>
      </c>
      <c r="H191" s="13" t="inlineStr">
        <is>
          <t>sợi nối trực tiếp → HNB060 (chưa rõ đã hàn pigtail ở ODF hai đầu)</t>
        </is>
      </c>
      <c r="I191" s="4" t="inlineStr">
        <is>
          <t>HNB060</t>
        </is>
      </c>
      <c r="J191" s="4" t="inlineStr"/>
      <c r="K191" s="4" t="inlineStr"/>
      <c r="L191" s="4" t="inlineStr">
        <is>
          <t>HNB060</t>
        </is>
      </c>
    </row>
    <row r="192">
      <c r="A192" s="4" t="inlineStr">
        <is>
          <t>HNB048</t>
        </is>
      </c>
      <c r="B192" s="4" t="inlineStr">
        <is>
          <t>C20</t>
        </is>
      </c>
      <c r="C192" s="4" t="inlineStr">
        <is>
          <t>FOCAL 2020</t>
        </is>
      </c>
      <c r="D192" s="4" t="n">
        <v>6</v>
      </c>
      <c r="E192" s="4" t="inlineStr">
        <is>
          <t>HNB060</t>
        </is>
      </c>
      <c r="F192" s="4" t="n">
        <v>6</v>
      </c>
      <c r="G192" s="4" t="inlineStr">
        <is>
          <t>6</t>
        </is>
      </c>
      <c r="H192" s="13" t="inlineStr">
        <is>
          <t>sợi nối trực tiếp → HNB060 (chưa rõ đã hàn pigtail ở ODF hai đầu)</t>
        </is>
      </c>
      <c r="I192" s="4" t="inlineStr">
        <is>
          <t>HNB060</t>
        </is>
      </c>
      <c r="J192" s="4" t="inlineStr"/>
      <c r="K192" s="4" t="inlineStr"/>
      <c r="L192" s="4" t="inlineStr">
        <is>
          <t>HNB060</t>
        </is>
      </c>
    </row>
    <row r="193">
      <c r="A193" s="4" t="inlineStr">
        <is>
          <t>HNB048</t>
        </is>
      </c>
      <c r="B193" s="4" t="inlineStr">
        <is>
          <t>C21</t>
        </is>
      </c>
      <c r="C193" s="4" t="inlineStr">
        <is>
          <t>FOCAL 2020</t>
        </is>
      </c>
      <c r="D193" s="4" t="n">
        <v>6</v>
      </c>
      <c r="E193" s="4" t="inlineStr">
        <is>
          <t>MX_NVT_03B</t>
        </is>
      </c>
      <c r="F193" s="4" t="n">
        <v>1</v>
      </c>
      <c r="G193" s="4" t="inlineStr">
        <is>
          <t>1</t>
        </is>
      </c>
      <c r="H193" s="11" t="inlineStr">
        <is>
          <t>đang chạy link R1-04 → NBE22</t>
        </is>
      </c>
      <c r="I193" s="4" t="inlineStr">
        <is>
          <t>NBE22</t>
        </is>
      </c>
      <c r="J193" s="4" t="inlineStr">
        <is>
          <t>R1-04</t>
        </is>
      </c>
      <c r="K193" s="4" t="inlineStr">
        <is>
          <t>mô tả</t>
        </is>
      </c>
      <c r="L193" s="4" t="inlineStr">
        <is>
          <t>MX_NVT_03B→MX_NVT_02B→MX_LVL-05→MX_NB-01→MX_NB-02→MX_NB-03→MX_NB-04→MX thẳng HTP→MX_HTP-03B→ODF-02 NBE22</t>
        </is>
      </c>
    </row>
    <row r="194">
      <c r="A194" s="4" t="inlineStr">
        <is>
          <t>HNB048</t>
        </is>
      </c>
      <c r="B194" s="4" t="inlineStr">
        <is>
          <t>C21</t>
        </is>
      </c>
      <c r="C194" s="4" t="inlineStr">
        <is>
          <t>FOCAL 2020</t>
        </is>
      </c>
      <c r="D194" s="4" t="n">
        <v>6</v>
      </c>
      <c r="E194" s="4" t="inlineStr">
        <is>
          <t>MX_NVT_03B</t>
        </is>
      </c>
      <c r="F194" s="4" t="n">
        <v>2</v>
      </c>
      <c r="G194" s="4" t="inlineStr">
        <is>
          <t>2</t>
        </is>
      </c>
      <c r="H194" s="11" t="inlineStr">
        <is>
          <t>đang chạy link R1-04 → NBE22</t>
        </is>
      </c>
      <c r="I194" s="4" t="inlineStr">
        <is>
          <t>NBE22</t>
        </is>
      </c>
      <c r="J194" s="4" t="inlineStr">
        <is>
          <t>R1-04</t>
        </is>
      </c>
      <c r="K194" s="4" t="inlineStr">
        <is>
          <t>mô tả</t>
        </is>
      </c>
      <c r="L194" s="4" t="inlineStr">
        <is>
          <t>MX_NVT_03B→MX_NVT_02B→MX_LVL-05→MX_NB-01→MX_NB-02→MX_NB-03→MX_NB-04→MX thẳng HTP→MX_HTP-03B→ODF-02 NBE22</t>
        </is>
      </c>
    </row>
    <row r="195">
      <c r="A195" s="4" t="inlineStr">
        <is>
          <t>HNB048</t>
        </is>
      </c>
      <c r="B195" s="4" t="inlineStr">
        <is>
          <t>C21</t>
        </is>
      </c>
      <c r="C195" s="4" t="inlineStr">
        <is>
          <t>FOCAL 2020</t>
        </is>
      </c>
      <c r="D195" s="4" t="n">
        <v>6</v>
      </c>
      <c r="E195" s="4" t="inlineStr">
        <is>
          <t>MX_NVT_03B</t>
        </is>
      </c>
      <c r="F195" s="4" t="n">
        <v>3</v>
      </c>
      <c r="G195" s="4" t="inlineStr">
        <is>
          <t>3</t>
        </is>
      </c>
      <c r="H195" s="12" t="inlineStr">
        <is>
          <t>chưa ghi hàn tại MX_NVT_03B (dự phòng / chưa rõ / không hàn)</t>
        </is>
      </c>
      <c r="I195" s="4" t="inlineStr"/>
      <c r="J195" s="4" t="inlineStr"/>
      <c r="K195" s="4" t="inlineStr"/>
      <c r="L195" s="4" t="inlineStr">
        <is>
          <t>MX_NVT_03B</t>
        </is>
      </c>
    </row>
    <row r="196">
      <c r="A196" s="4" t="inlineStr">
        <is>
          <t>HNB048</t>
        </is>
      </c>
      <c r="B196" s="4" t="inlineStr">
        <is>
          <t>C21</t>
        </is>
      </c>
      <c r="C196" s="4" t="inlineStr">
        <is>
          <t>FOCAL 2020</t>
        </is>
      </c>
      <c r="D196" s="4" t="n">
        <v>6</v>
      </c>
      <c r="E196" s="4" t="inlineStr">
        <is>
          <t>MX_NVT_03B</t>
        </is>
      </c>
      <c r="F196" s="4" t="n">
        <v>4</v>
      </c>
      <c r="G196" s="4" t="inlineStr">
        <is>
          <t>4</t>
        </is>
      </c>
      <c r="H196" s="12" t="inlineStr">
        <is>
          <t>chưa ghi hàn tại MX_NVT_03B (dự phòng / chưa rõ / không hàn)</t>
        </is>
      </c>
      <c r="I196" s="4" t="inlineStr"/>
      <c r="J196" s="4" t="inlineStr"/>
      <c r="K196" s="4" t="inlineStr"/>
      <c r="L196" s="4" t="inlineStr">
        <is>
          <t>MX_NVT_03B</t>
        </is>
      </c>
    </row>
    <row r="197">
      <c r="A197" s="4" t="inlineStr">
        <is>
          <t>HNB048</t>
        </is>
      </c>
      <c r="B197" s="4" t="inlineStr">
        <is>
          <t>C21</t>
        </is>
      </c>
      <c r="C197" s="4" t="inlineStr">
        <is>
          <t>FOCAL 2020</t>
        </is>
      </c>
      <c r="D197" s="4" t="n">
        <v>6</v>
      </c>
      <c r="E197" s="4" t="inlineStr">
        <is>
          <t>MX_NVT_03B</t>
        </is>
      </c>
      <c r="F197" s="4" t="n">
        <v>5</v>
      </c>
      <c r="G197" s="4" t="inlineStr">
        <is>
          <t>5</t>
        </is>
      </c>
      <c r="H197" s="12" t="inlineStr">
        <is>
          <t>chưa ghi hàn tại MX_NVT_03B (dự phòng / chưa rõ / không hàn)</t>
        </is>
      </c>
      <c r="I197" s="4" t="inlineStr"/>
      <c r="J197" s="4" t="inlineStr"/>
      <c r="K197" s="4" t="inlineStr"/>
      <c r="L197" s="4" t="inlineStr">
        <is>
          <t>MX_NVT_03B</t>
        </is>
      </c>
    </row>
    <row r="198">
      <c r="A198" s="4" t="inlineStr">
        <is>
          <t>HNB048</t>
        </is>
      </c>
      <c r="B198" s="4" t="inlineStr">
        <is>
          <t>C21</t>
        </is>
      </c>
      <c r="C198" s="4" t="inlineStr">
        <is>
          <t>FOCAL 2020</t>
        </is>
      </c>
      <c r="D198" s="4" t="n">
        <v>6</v>
      </c>
      <c r="E198" s="4" t="inlineStr">
        <is>
          <t>MX_NVT_03B</t>
        </is>
      </c>
      <c r="F198" s="4" t="n">
        <v>6</v>
      </c>
      <c r="G198" s="4" t="inlineStr">
        <is>
          <t>6</t>
        </is>
      </c>
      <c r="H198" s="12" t="inlineStr">
        <is>
          <t>chưa ghi hàn tại MX_NVT_03B (dự phòng / chưa rõ / không hàn)</t>
        </is>
      </c>
      <c r="I198" s="4" t="inlineStr"/>
      <c r="J198" s="4" t="inlineStr"/>
      <c r="K198" s="4" t="inlineStr"/>
      <c r="L198" s="4" t="inlineStr">
        <is>
          <t>MX_NVT_03B</t>
        </is>
      </c>
    </row>
    <row r="199">
      <c r="A199" s="4" t="inlineStr">
        <is>
          <t>HNB054</t>
        </is>
      </c>
      <c r="B199" s="4" t="inlineStr">
        <is>
          <t>C03</t>
        </is>
      </c>
      <c r="C199" s="4" t="inlineStr">
        <is>
          <t>FOCAL 9/2020</t>
        </is>
      </c>
      <c r="D199" s="4" t="n">
        <v>12</v>
      </c>
      <c r="E199" s="4" t="inlineStr">
        <is>
          <t>MX_NVT_01</t>
        </is>
      </c>
      <c r="F199" s="4" t="n">
        <v>1</v>
      </c>
      <c r="G199" s="4" t="inlineStr">
        <is>
          <t>1</t>
        </is>
      </c>
      <c r="H199" s="11" t="inlineStr">
        <is>
          <t>đang chạy link R2-01 → NBE12</t>
        </is>
      </c>
      <c r="I199" s="4" t="inlineStr">
        <is>
          <t>NBE12</t>
        </is>
      </c>
      <c r="J199" s="4" t="inlineStr">
        <is>
          <t>R2-01</t>
        </is>
      </c>
      <c r="K199" s="4" t="inlineStr">
        <is>
          <t>mô tả</t>
        </is>
      </c>
      <c r="L199" s="4" t="inlineStr">
        <is>
          <t>MX_NVT_01→MX nhập đài Long Thới–NVT→VNPT Long Thới (ODF-02 NBE12)</t>
        </is>
      </c>
    </row>
    <row r="200">
      <c r="A200" s="4" t="inlineStr">
        <is>
          <t>HNB054</t>
        </is>
      </c>
      <c r="B200" s="4" t="inlineStr">
        <is>
          <t>C03</t>
        </is>
      </c>
      <c r="C200" s="4" t="inlineStr">
        <is>
          <t>FOCAL 9/2020</t>
        </is>
      </c>
      <c r="D200" s="4" t="n">
        <v>12</v>
      </c>
      <c r="E200" s="4" t="inlineStr">
        <is>
          <t>MX_NVT_01</t>
        </is>
      </c>
      <c r="F200" s="4" t="n">
        <v>2</v>
      </c>
      <c r="G200" s="4" t="inlineStr">
        <is>
          <t>2</t>
        </is>
      </c>
      <c r="H200" s="11" t="inlineStr">
        <is>
          <t>đang chạy link R2-01 → NBE12</t>
        </is>
      </c>
      <c r="I200" s="4" t="inlineStr">
        <is>
          <t>NBE12</t>
        </is>
      </c>
      <c r="J200" s="4" t="inlineStr">
        <is>
          <t>R2-01</t>
        </is>
      </c>
      <c r="K200" s="4" t="inlineStr">
        <is>
          <t>mô tả</t>
        </is>
      </c>
      <c r="L200" s="4" t="inlineStr">
        <is>
          <t>MX_NVT_01→MX nhập đài Long Thới–NVT→VNPT Long Thới (ODF-02 NBE12)</t>
        </is>
      </c>
    </row>
    <row r="201">
      <c r="A201" s="4" t="inlineStr">
        <is>
          <t>HNB054</t>
        </is>
      </c>
      <c r="B201" s="4" t="inlineStr">
        <is>
          <t>C03</t>
        </is>
      </c>
      <c r="C201" s="4" t="inlineStr">
        <is>
          <t>FOCAL 9/2020</t>
        </is>
      </c>
      <c r="D201" s="4" t="n">
        <v>12</v>
      </c>
      <c r="E201" s="4" t="inlineStr">
        <is>
          <t>MX_NVT_01</t>
        </is>
      </c>
      <c r="F201" s="4" t="n">
        <v>3</v>
      </c>
      <c r="G201" s="4" t="inlineStr">
        <is>
          <t>3</t>
        </is>
      </c>
      <c r="H201" s="11" t="inlineStr">
        <is>
          <t>đang chạy link R2-02 → HNB006</t>
        </is>
      </c>
      <c r="I201" s="4" t="inlineStr">
        <is>
          <t>HNB006</t>
        </is>
      </c>
      <c r="J201" s="4" t="inlineStr">
        <is>
          <t>R2-02</t>
        </is>
      </c>
      <c r="K201" s="4" t="inlineStr">
        <is>
          <t>mô tả</t>
        </is>
      </c>
      <c r="L201" s="4" t="inlineStr">
        <is>
          <t>MX_NVT_01→MX_NVT_02A→HNB006</t>
        </is>
      </c>
    </row>
    <row r="202">
      <c r="A202" s="4" t="inlineStr">
        <is>
          <t>HNB054</t>
        </is>
      </c>
      <c r="B202" s="4" t="inlineStr">
        <is>
          <t>C03</t>
        </is>
      </c>
      <c r="C202" s="4" t="inlineStr">
        <is>
          <t>FOCAL 9/2020</t>
        </is>
      </c>
      <c r="D202" s="4" t="n">
        <v>12</v>
      </c>
      <c r="E202" s="4" t="inlineStr">
        <is>
          <t>MX_NVT_01</t>
        </is>
      </c>
      <c r="F202" s="4" t="n">
        <v>4</v>
      </c>
      <c r="G202" s="4" t="inlineStr">
        <is>
          <t>4</t>
        </is>
      </c>
      <c r="H202" s="11" t="inlineStr">
        <is>
          <t>đang chạy link R2-02 → HNB006</t>
        </is>
      </c>
      <c r="I202" s="4" t="inlineStr">
        <is>
          <t>HNB006</t>
        </is>
      </c>
      <c r="J202" s="4" t="inlineStr">
        <is>
          <t>R2-02</t>
        </is>
      </c>
      <c r="K202" s="4" t="inlineStr">
        <is>
          <t>mô tả</t>
        </is>
      </c>
      <c r="L202" s="4" t="inlineStr">
        <is>
          <t>MX_NVT_01→MX_NVT_02A→HNB006</t>
        </is>
      </c>
    </row>
    <row r="203">
      <c r="A203" s="4" t="inlineStr">
        <is>
          <t>HNB054</t>
        </is>
      </c>
      <c r="B203" s="4" t="inlineStr">
        <is>
          <t>C03</t>
        </is>
      </c>
      <c r="C203" s="4" t="inlineStr">
        <is>
          <t>FOCAL 9/2020</t>
        </is>
      </c>
      <c r="D203" s="4" t="n">
        <v>12</v>
      </c>
      <c r="E203" s="4" t="inlineStr">
        <is>
          <t>MX_NVT_01</t>
        </is>
      </c>
      <c r="F203" s="4" t="n">
        <v>5</v>
      </c>
      <c r="G203" s="4" t="inlineStr">
        <is>
          <t>5</t>
        </is>
      </c>
      <c r="H203" s="12" t="inlineStr">
        <is>
          <t>chưa ghi hàn tại MX_NVT_01 (dự phòng / chưa rõ / không hàn)</t>
        </is>
      </c>
      <c r="I203" s="4" t="inlineStr"/>
      <c r="J203" s="4" t="inlineStr"/>
      <c r="K203" s="4" t="inlineStr"/>
      <c r="L203" s="4" t="inlineStr">
        <is>
          <t>MX_NVT_01</t>
        </is>
      </c>
    </row>
    <row r="204">
      <c r="A204" s="4" t="inlineStr">
        <is>
          <t>HNB054</t>
        </is>
      </c>
      <c r="B204" s="4" t="inlineStr">
        <is>
          <t>C03</t>
        </is>
      </c>
      <c r="C204" s="4" t="inlineStr">
        <is>
          <t>FOCAL 9/2020</t>
        </is>
      </c>
      <c r="D204" s="4" t="n">
        <v>12</v>
      </c>
      <c r="E204" s="4" t="inlineStr">
        <is>
          <t>MX_NVT_01</t>
        </is>
      </c>
      <c r="F204" s="4" t="n">
        <v>6</v>
      </c>
      <c r="G204" s="4" t="inlineStr">
        <is>
          <t>6</t>
        </is>
      </c>
      <c r="H204" s="12" t="inlineStr">
        <is>
          <t>chưa ghi hàn tại MX_NVT_01 (dự phòng / chưa rõ / không hàn)</t>
        </is>
      </c>
      <c r="I204" s="4" t="inlineStr"/>
      <c r="J204" s="4" t="inlineStr"/>
      <c r="K204" s="4" t="inlineStr"/>
      <c r="L204" s="4" t="inlineStr">
        <is>
          <t>MX_NVT_01</t>
        </is>
      </c>
    </row>
    <row r="205">
      <c r="A205" s="4" t="inlineStr">
        <is>
          <t>HNB054</t>
        </is>
      </c>
      <c r="B205" s="4" t="inlineStr">
        <is>
          <t>C03</t>
        </is>
      </c>
      <c r="C205" s="4" t="inlineStr">
        <is>
          <t>FOCAL 9/2020</t>
        </is>
      </c>
      <c r="D205" s="4" t="n">
        <v>12</v>
      </c>
      <c r="E205" s="4" t="inlineStr">
        <is>
          <t>MX_NVT_01</t>
        </is>
      </c>
      <c r="F205" s="4" t="n">
        <v>7</v>
      </c>
      <c r="G205" s="4" t="inlineStr">
        <is>
          <t>7</t>
        </is>
      </c>
      <c r="H205" s="12" t="inlineStr">
        <is>
          <t>chưa ghi hàn tại MX_NVT_01 (dự phòng / chưa rõ / không hàn)</t>
        </is>
      </c>
      <c r="I205" s="4" t="inlineStr"/>
      <c r="J205" s="4" t="inlineStr"/>
      <c r="K205" s="4" t="inlineStr"/>
      <c r="L205" s="4" t="inlineStr">
        <is>
          <t>MX_NVT_01</t>
        </is>
      </c>
    </row>
    <row r="206">
      <c r="A206" s="4" t="inlineStr">
        <is>
          <t>HNB054</t>
        </is>
      </c>
      <c r="B206" s="4" t="inlineStr">
        <is>
          <t>C03</t>
        </is>
      </c>
      <c r="C206" s="4" t="inlineStr">
        <is>
          <t>FOCAL 9/2020</t>
        </is>
      </c>
      <c r="D206" s="4" t="n">
        <v>12</v>
      </c>
      <c r="E206" s="4" t="inlineStr">
        <is>
          <t>MX_NVT_01</t>
        </is>
      </c>
      <c r="F206" s="4" t="n">
        <v>8</v>
      </c>
      <c r="G206" s="4" t="inlineStr">
        <is>
          <t>8</t>
        </is>
      </c>
      <c r="H206" s="12" t="inlineStr">
        <is>
          <t>chưa ghi hàn tại MX_NVT_01 (dự phòng / chưa rõ / không hàn)</t>
        </is>
      </c>
      <c r="I206" s="4" t="inlineStr"/>
      <c r="J206" s="4" t="inlineStr"/>
      <c r="K206" s="4" t="inlineStr"/>
      <c r="L206" s="4" t="inlineStr">
        <is>
          <t>MX_NVT_01</t>
        </is>
      </c>
    </row>
    <row r="207">
      <c r="A207" s="4" t="inlineStr">
        <is>
          <t>HNB054</t>
        </is>
      </c>
      <c r="B207" s="4" t="inlineStr">
        <is>
          <t>C03</t>
        </is>
      </c>
      <c r="C207" s="4" t="inlineStr">
        <is>
          <t>FOCAL 9/2020</t>
        </is>
      </c>
      <c r="D207" s="4" t="n">
        <v>12</v>
      </c>
      <c r="E207" s="4" t="inlineStr">
        <is>
          <t>MX_NVT_01</t>
        </is>
      </c>
      <c r="F207" s="4" t="n">
        <v>9</v>
      </c>
      <c r="G207" s="4" t="inlineStr">
        <is>
          <t>9</t>
        </is>
      </c>
      <c r="H207" s="12" t="inlineStr">
        <is>
          <t>chưa ghi hàn tại MX_NVT_01 (dự phòng / chưa rõ / không hàn)</t>
        </is>
      </c>
      <c r="I207" s="4" t="inlineStr"/>
      <c r="J207" s="4" t="inlineStr"/>
      <c r="K207" s="4" t="inlineStr"/>
      <c r="L207" s="4" t="inlineStr">
        <is>
          <t>MX_NVT_01</t>
        </is>
      </c>
    </row>
    <row r="208">
      <c r="A208" s="4" t="inlineStr">
        <is>
          <t>HNB054</t>
        </is>
      </c>
      <c r="B208" s="4" t="inlineStr">
        <is>
          <t>C03</t>
        </is>
      </c>
      <c r="C208" s="4" t="inlineStr">
        <is>
          <t>FOCAL 9/2020</t>
        </is>
      </c>
      <c r="D208" s="4" t="n">
        <v>12</v>
      </c>
      <c r="E208" s="4" t="inlineStr">
        <is>
          <t>MX_NVT_01</t>
        </is>
      </c>
      <c r="F208" s="4" t="n">
        <v>10</v>
      </c>
      <c r="G208" s="4" t="inlineStr">
        <is>
          <t>10</t>
        </is>
      </c>
      <c r="H208" s="12" t="inlineStr">
        <is>
          <t>chưa ghi hàn tại MX_NVT_01 (dự phòng / chưa rõ / không hàn)</t>
        </is>
      </c>
      <c r="I208" s="4" t="inlineStr"/>
      <c r="J208" s="4" t="inlineStr"/>
      <c r="K208" s="4" t="inlineStr"/>
      <c r="L208" s="4" t="inlineStr">
        <is>
          <t>MX_NVT_01</t>
        </is>
      </c>
    </row>
    <row r="209">
      <c r="A209" s="4" t="inlineStr">
        <is>
          <t>HNB054</t>
        </is>
      </c>
      <c r="B209" s="4" t="inlineStr">
        <is>
          <t>C03</t>
        </is>
      </c>
      <c r="C209" s="4" t="inlineStr">
        <is>
          <t>FOCAL 9/2020</t>
        </is>
      </c>
      <c r="D209" s="4" t="n">
        <v>12</v>
      </c>
      <c r="E209" s="4" t="inlineStr">
        <is>
          <t>MX_NVT_01</t>
        </is>
      </c>
      <c r="F209" s="4" t="n">
        <v>11</v>
      </c>
      <c r="G209" s="4" t="inlineStr">
        <is>
          <t>11</t>
        </is>
      </c>
      <c r="H209" s="12" t="inlineStr">
        <is>
          <t>chưa ghi hàn tại MX_NVT_01 (dự phòng / chưa rõ / không hàn)</t>
        </is>
      </c>
      <c r="I209" s="4" t="inlineStr"/>
      <c r="J209" s="4" t="inlineStr"/>
      <c r="K209" s="4" t="inlineStr"/>
      <c r="L209" s="4" t="inlineStr">
        <is>
          <t>MX_NVT_01</t>
        </is>
      </c>
    </row>
    <row r="210">
      <c r="A210" s="4" t="inlineStr">
        <is>
          <t>HNB054</t>
        </is>
      </c>
      <c r="B210" s="4" t="inlineStr">
        <is>
          <t>C03</t>
        </is>
      </c>
      <c r="C210" s="4" t="inlineStr">
        <is>
          <t>FOCAL 9/2020</t>
        </is>
      </c>
      <c r="D210" s="4" t="n">
        <v>12</v>
      </c>
      <c r="E210" s="4" t="inlineStr">
        <is>
          <t>MX_NVT_01</t>
        </is>
      </c>
      <c r="F210" s="4" t="n">
        <v>12</v>
      </c>
      <c r="G210" s="4" t="inlineStr">
        <is>
          <t>12</t>
        </is>
      </c>
      <c r="H210" s="12" t="inlineStr">
        <is>
          <t>chưa ghi hàn tại MX_NVT_01 (dự phòng / chưa rõ / không hàn)</t>
        </is>
      </c>
      <c r="I210" s="4" t="inlineStr"/>
      <c r="J210" s="4" t="inlineStr"/>
      <c r="K210" s="4" t="inlineStr"/>
      <c r="L210" s="4" t="inlineStr">
        <is>
          <t>MX_NVT_01</t>
        </is>
      </c>
    </row>
    <row r="211">
      <c r="A211" s="4" t="inlineStr">
        <is>
          <t>HNB055</t>
        </is>
      </c>
      <c r="B211" s="4" t="inlineStr">
        <is>
          <t>C52</t>
        </is>
      </c>
      <c r="C211" s="4" t="inlineStr">
        <is>
          <t>POSTEF 6/2019</t>
        </is>
      </c>
      <c r="D211" s="4" t="n">
        <v>8</v>
      </c>
      <c r="E211" s="4" t="inlineStr">
        <is>
          <t>MX_LVL-02</t>
        </is>
      </c>
      <c r="F211" s="4" t="n">
        <v>1</v>
      </c>
      <c r="G211" s="4" t="inlineStr">
        <is>
          <t>1</t>
        </is>
      </c>
      <c r="H211" s="11" t="inlineStr">
        <is>
          <t>đang chạy link R3-01 → NBE12</t>
        </is>
      </c>
      <c r="I211" s="4" t="inlineStr">
        <is>
          <t>NBE12</t>
        </is>
      </c>
      <c r="J211" s="4" t="inlineStr">
        <is>
          <t>R3-01</t>
        </is>
      </c>
      <c r="K211" s="4" t="inlineStr">
        <is>
          <t>mô tả</t>
        </is>
      </c>
      <c r="L211" s="4" t="inlineStr">
        <is>
          <t>MX_LVL-02→MX_LVL-01→MX_DST→MX thẳng LVL-05/DST→MX_LVL-05→MX_NB-01→VNPT Long Thới (ODF-01 NBE12)</t>
        </is>
      </c>
    </row>
    <row r="212">
      <c r="A212" s="4" t="inlineStr">
        <is>
          <t>HNB055</t>
        </is>
      </c>
      <c r="B212" s="4" t="inlineStr">
        <is>
          <t>C52</t>
        </is>
      </c>
      <c r="C212" s="4" t="inlineStr">
        <is>
          <t>POSTEF 6/2019</t>
        </is>
      </c>
      <c r="D212" s="4" t="n">
        <v>8</v>
      </c>
      <c r="E212" s="4" t="inlineStr">
        <is>
          <t>MX_LVL-02</t>
        </is>
      </c>
      <c r="F212" s="4" t="n">
        <v>2</v>
      </c>
      <c r="G212" s="4" t="inlineStr">
        <is>
          <t>2</t>
        </is>
      </c>
      <c r="H212" s="11" t="inlineStr">
        <is>
          <t>đang chạy link R3-01 → NBE12</t>
        </is>
      </c>
      <c r="I212" s="4" t="inlineStr">
        <is>
          <t>NBE12</t>
        </is>
      </c>
      <c r="J212" s="4" t="inlineStr">
        <is>
          <t>R3-01</t>
        </is>
      </c>
      <c r="K212" s="4" t="inlineStr">
        <is>
          <t>mô tả</t>
        </is>
      </c>
      <c r="L212" s="4" t="inlineStr">
        <is>
          <t>MX_LVL-02→MX_LVL-01→MX_DST→MX thẳng LVL-05/DST→MX_LVL-05→MX_NB-01→VNPT Long Thới (ODF-01 NBE12)</t>
        </is>
      </c>
    </row>
    <row r="213">
      <c r="A213" s="4" t="inlineStr">
        <is>
          <t>HNB055</t>
        </is>
      </c>
      <c r="B213" s="4" t="inlineStr">
        <is>
          <t>C52</t>
        </is>
      </c>
      <c r="C213" s="4" t="inlineStr">
        <is>
          <t>POSTEF 6/2019</t>
        </is>
      </c>
      <c r="D213" s="4" t="n">
        <v>8</v>
      </c>
      <c r="E213" s="4" t="inlineStr">
        <is>
          <t>MX_LVL-02</t>
        </is>
      </c>
      <c r="F213" s="4" t="n">
        <v>3</v>
      </c>
      <c r="G213" s="4" t="inlineStr">
        <is>
          <t>3</t>
        </is>
      </c>
      <c r="H213" s="12" t="inlineStr">
        <is>
          <t>chưa ghi hàn tại MX_LVL-02 (dự phòng / chưa rõ / không hàn)</t>
        </is>
      </c>
      <c r="I213" s="4" t="inlineStr"/>
      <c r="J213" s="4" t="inlineStr"/>
      <c r="K213" s="4" t="inlineStr"/>
      <c r="L213" s="4" t="inlineStr">
        <is>
          <t>MX_LVL-02</t>
        </is>
      </c>
    </row>
    <row r="214">
      <c r="A214" s="4" t="inlineStr">
        <is>
          <t>HNB055</t>
        </is>
      </c>
      <c r="B214" s="4" t="inlineStr">
        <is>
          <t>C52</t>
        </is>
      </c>
      <c r="C214" s="4" t="inlineStr">
        <is>
          <t>POSTEF 6/2019</t>
        </is>
      </c>
      <c r="D214" s="4" t="n">
        <v>8</v>
      </c>
      <c r="E214" s="4" t="inlineStr">
        <is>
          <t>MX_LVL-02</t>
        </is>
      </c>
      <c r="F214" s="4" t="n">
        <v>4</v>
      </c>
      <c r="G214" s="4" t="inlineStr">
        <is>
          <t>4</t>
        </is>
      </c>
      <c r="H214" s="12" t="inlineStr">
        <is>
          <t>chưa ghi hàn tại MX_LVL-02 (dự phòng / chưa rõ / không hàn)</t>
        </is>
      </c>
      <c r="I214" s="4" t="inlineStr"/>
      <c r="J214" s="4" t="inlineStr"/>
      <c r="K214" s="4" t="inlineStr"/>
      <c r="L214" s="4" t="inlineStr">
        <is>
          <t>MX_LVL-02</t>
        </is>
      </c>
    </row>
    <row r="215">
      <c r="A215" s="4" t="inlineStr">
        <is>
          <t>HNB055</t>
        </is>
      </c>
      <c r="B215" s="4" t="inlineStr">
        <is>
          <t>C52</t>
        </is>
      </c>
      <c r="C215" s="4" t="inlineStr">
        <is>
          <t>POSTEF 6/2019</t>
        </is>
      </c>
      <c r="D215" s="4" t="n">
        <v>8</v>
      </c>
      <c r="E215" s="4" t="inlineStr">
        <is>
          <t>MX_LVL-02</t>
        </is>
      </c>
      <c r="F215" s="4" t="n">
        <v>5</v>
      </c>
      <c r="G215" s="4" t="inlineStr">
        <is>
          <t>5</t>
        </is>
      </c>
      <c r="H215" s="12" t="inlineStr">
        <is>
          <t>chưa ghi hàn tại MX_LVL-02 (dự phòng / chưa rõ / không hàn)</t>
        </is>
      </c>
      <c r="I215" s="4" t="inlineStr"/>
      <c r="J215" s="4" t="inlineStr"/>
      <c r="K215" s="4" t="inlineStr"/>
      <c r="L215" s="4" t="inlineStr">
        <is>
          <t>MX_LVL-02</t>
        </is>
      </c>
    </row>
    <row r="216">
      <c r="A216" s="4" t="inlineStr">
        <is>
          <t>HNB055</t>
        </is>
      </c>
      <c r="B216" s="4" t="inlineStr">
        <is>
          <t>C52</t>
        </is>
      </c>
      <c r="C216" s="4" t="inlineStr">
        <is>
          <t>POSTEF 6/2019</t>
        </is>
      </c>
      <c r="D216" s="4" t="n">
        <v>8</v>
      </c>
      <c r="E216" s="4" t="inlineStr">
        <is>
          <t>MX_LVL-02</t>
        </is>
      </c>
      <c r="F216" s="4" t="n">
        <v>6</v>
      </c>
      <c r="G216" s="4" t="inlineStr">
        <is>
          <t>6</t>
        </is>
      </c>
      <c r="H216" s="12" t="inlineStr">
        <is>
          <t>chưa ghi hàn tại MX_LVL-02 (dự phòng / chưa rõ / không hàn)</t>
        </is>
      </c>
      <c r="I216" s="4" t="inlineStr"/>
      <c r="J216" s="4" t="inlineStr"/>
      <c r="K216" s="4" t="inlineStr"/>
      <c r="L216" s="4" t="inlineStr">
        <is>
          <t>MX_LVL-02</t>
        </is>
      </c>
    </row>
    <row r="217">
      <c r="A217" s="4" t="inlineStr">
        <is>
          <t>HNB055</t>
        </is>
      </c>
      <c r="B217" s="4" t="inlineStr">
        <is>
          <t>C52</t>
        </is>
      </c>
      <c r="C217" s="4" t="inlineStr">
        <is>
          <t>POSTEF 6/2019</t>
        </is>
      </c>
      <c r="D217" s="4" t="n">
        <v>8</v>
      </c>
      <c r="E217" s="4" t="inlineStr">
        <is>
          <t>MX_LVL-02</t>
        </is>
      </c>
      <c r="F217" s="4" t="n">
        <v>7</v>
      </c>
      <c r="G217" s="4" t="inlineStr">
        <is>
          <t>không có cổng ODF (ODF chỉ có 6 cổng hướng này)</t>
        </is>
      </c>
      <c r="H217" s="12" t="inlineStr">
        <is>
          <t>chưa ghi hàn tại MX_LVL-02 (dự phòng / chưa rõ / không hàn)</t>
        </is>
      </c>
      <c r="I217" s="4" t="inlineStr"/>
      <c r="J217" s="4" t="inlineStr"/>
      <c r="K217" s="4" t="inlineStr"/>
      <c r="L217" s="4" t="inlineStr">
        <is>
          <t>MX_LVL-02</t>
        </is>
      </c>
    </row>
    <row r="218">
      <c r="A218" s="4" t="inlineStr">
        <is>
          <t>HNB055</t>
        </is>
      </c>
      <c r="B218" s="4" t="inlineStr">
        <is>
          <t>C52</t>
        </is>
      </c>
      <c r="C218" s="4" t="inlineStr">
        <is>
          <t>POSTEF 6/2019</t>
        </is>
      </c>
      <c r="D218" s="4" t="n">
        <v>8</v>
      </c>
      <c r="E218" s="4" t="inlineStr">
        <is>
          <t>MX_LVL-02</t>
        </is>
      </c>
      <c r="F218" s="4" t="n">
        <v>8</v>
      </c>
      <c r="G218" s="4" t="inlineStr">
        <is>
          <t>không có cổng ODF (ODF chỉ có 6 cổng hướng này)</t>
        </is>
      </c>
      <c r="H218" s="12" t="inlineStr">
        <is>
          <t>chưa ghi hàn tại MX_LVL-02 (dự phòng / chưa rõ / không hàn)</t>
        </is>
      </c>
      <c r="I218" s="4" t="inlineStr"/>
      <c r="J218" s="4" t="inlineStr"/>
      <c r="K218" s="4" t="inlineStr"/>
      <c r="L218" s="4" t="inlineStr">
        <is>
          <t>MX_LVL-02</t>
        </is>
      </c>
    </row>
    <row r="219">
      <c r="A219" s="4" t="inlineStr">
        <is>
          <t>HNB055</t>
        </is>
      </c>
      <c r="B219" s="4" t="inlineStr">
        <is>
          <t>C57</t>
        </is>
      </c>
      <c r="C219" s="4" t="inlineStr">
        <is>
          <t>POSTEF 6/2019</t>
        </is>
      </c>
      <c r="D219" s="4" t="n">
        <v>8</v>
      </c>
      <c r="E219" s="4" t="inlineStr">
        <is>
          <t>HNB065</t>
        </is>
      </c>
      <c r="F219" s="4" t="n">
        <v>1</v>
      </c>
      <c r="G219" s="4" t="inlineStr">
        <is>
          <t>1</t>
        </is>
      </c>
      <c r="H219" s="13" t="inlineStr">
        <is>
          <t>sợi nối trực tiếp → HNB065 (chưa rõ đã hàn pigtail ở ODF hai đầu)</t>
        </is>
      </c>
      <c r="I219" s="4" t="inlineStr">
        <is>
          <t>HNB065</t>
        </is>
      </c>
      <c r="J219" s="4" t="inlineStr"/>
      <c r="K219" s="4" t="inlineStr"/>
      <c r="L219" s="4" t="inlineStr">
        <is>
          <t>HNB065</t>
        </is>
      </c>
    </row>
    <row r="220">
      <c r="A220" s="4" t="inlineStr">
        <is>
          <t>HNB055</t>
        </is>
      </c>
      <c r="B220" s="4" t="inlineStr">
        <is>
          <t>C57</t>
        </is>
      </c>
      <c r="C220" s="4" t="inlineStr">
        <is>
          <t>POSTEF 6/2019</t>
        </is>
      </c>
      <c r="D220" s="4" t="n">
        <v>8</v>
      </c>
      <c r="E220" s="4" t="inlineStr">
        <is>
          <t>HNB065</t>
        </is>
      </c>
      <c r="F220" s="4" t="n">
        <v>2</v>
      </c>
      <c r="G220" s="4" t="inlineStr">
        <is>
          <t>2</t>
        </is>
      </c>
      <c r="H220" s="13" t="inlineStr">
        <is>
          <t>sợi nối trực tiếp → HNB065 (chưa rõ đã hàn pigtail ở ODF hai đầu)</t>
        </is>
      </c>
      <c r="I220" s="4" t="inlineStr">
        <is>
          <t>HNB065</t>
        </is>
      </c>
      <c r="J220" s="4" t="inlineStr"/>
      <c r="K220" s="4" t="inlineStr"/>
      <c r="L220" s="4" t="inlineStr">
        <is>
          <t>HNB065</t>
        </is>
      </c>
    </row>
    <row r="221">
      <c r="A221" s="4" t="inlineStr">
        <is>
          <t>HNB055</t>
        </is>
      </c>
      <c r="B221" s="4" t="inlineStr">
        <is>
          <t>C57</t>
        </is>
      </c>
      <c r="C221" s="4" t="inlineStr">
        <is>
          <t>POSTEF 6/2019</t>
        </is>
      </c>
      <c r="D221" s="4" t="n">
        <v>8</v>
      </c>
      <c r="E221" s="4" t="inlineStr">
        <is>
          <t>HNB065</t>
        </is>
      </c>
      <c r="F221" s="4" t="n">
        <v>3</v>
      </c>
      <c r="G221" s="4" t="inlineStr">
        <is>
          <t>3</t>
        </is>
      </c>
      <c r="H221" s="13" t="inlineStr">
        <is>
          <t>sợi nối trực tiếp → HNB065 (chưa rõ đã hàn pigtail ở ODF hai đầu)</t>
        </is>
      </c>
      <c r="I221" s="4" t="inlineStr">
        <is>
          <t>HNB065</t>
        </is>
      </c>
      <c r="J221" s="4" t="inlineStr"/>
      <c r="K221" s="4" t="inlineStr"/>
      <c r="L221" s="4" t="inlineStr">
        <is>
          <t>HNB065</t>
        </is>
      </c>
    </row>
    <row r="222">
      <c r="A222" s="4" t="inlineStr">
        <is>
          <t>HNB055</t>
        </is>
      </c>
      <c r="B222" s="4" t="inlineStr">
        <is>
          <t>C57</t>
        </is>
      </c>
      <c r="C222" s="4" t="inlineStr">
        <is>
          <t>POSTEF 6/2019</t>
        </is>
      </c>
      <c r="D222" s="4" t="n">
        <v>8</v>
      </c>
      <c r="E222" s="4" t="inlineStr">
        <is>
          <t>HNB065</t>
        </is>
      </c>
      <c r="F222" s="4" t="n">
        <v>4</v>
      </c>
      <c r="G222" s="4" t="inlineStr">
        <is>
          <t>4</t>
        </is>
      </c>
      <c r="H222" s="13" t="inlineStr">
        <is>
          <t>sợi nối trực tiếp → HNB065 (chưa rõ đã hàn pigtail ở ODF hai đầu)</t>
        </is>
      </c>
      <c r="I222" s="4" t="inlineStr">
        <is>
          <t>HNB065</t>
        </is>
      </c>
      <c r="J222" s="4" t="inlineStr"/>
      <c r="K222" s="4" t="inlineStr"/>
      <c r="L222" s="4" t="inlineStr">
        <is>
          <t>HNB065</t>
        </is>
      </c>
    </row>
    <row r="223">
      <c r="A223" s="4" t="inlineStr">
        <is>
          <t>HNB055</t>
        </is>
      </c>
      <c r="B223" s="4" t="inlineStr">
        <is>
          <t>C57</t>
        </is>
      </c>
      <c r="C223" s="4" t="inlineStr">
        <is>
          <t>POSTEF 6/2019</t>
        </is>
      </c>
      <c r="D223" s="4" t="n">
        <v>8</v>
      </c>
      <c r="E223" s="4" t="inlineStr">
        <is>
          <t>HNB065</t>
        </is>
      </c>
      <c r="F223" s="4" t="n">
        <v>5</v>
      </c>
      <c r="G223" s="4" t="inlineStr">
        <is>
          <t>5</t>
        </is>
      </c>
      <c r="H223" s="13" t="inlineStr">
        <is>
          <t>sợi nối trực tiếp → HNB065 (chưa rõ đã hàn pigtail ở ODF hai đầu)</t>
        </is>
      </c>
      <c r="I223" s="4" t="inlineStr">
        <is>
          <t>HNB065</t>
        </is>
      </c>
      <c r="J223" s="4" t="inlineStr"/>
      <c r="K223" s="4" t="inlineStr"/>
      <c r="L223" s="4" t="inlineStr">
        <is>
          <t>HNB065</t>
        </is>
      </c>
    </row>
    <row r="224">
      <c r="A224" s="4" t="inlineStr">
        <is>
          <t>HNB055</t>
        </is>
      </c>
      <c r="B224" s="4" t="inlineStr">
        <is>
          <t>C57</t>
        </is>
      </c>
      <c r="C224" s="4" t="inlineStr">
        <is>
          <t>POSTEF 6/2019</t>
        </is>
      </c>
      <c r="D224" s="4" t="n">
        <v>8</v>
      </c>
      <c r="E224" s="4" t="inlineStr">
        <is>
          <t>HNB065</t>
        </is>
      </c>
      <c r="F224" s="4" t="n">
        <v>6</v>
      </c>
      <c r="G224" s="4" t="inlineStr">
        <is>
          <t>6</t>
        </is>
      </c>
      <c r="H224" s="13" t="inlineStr">
        <is>
          <t>sợi nối trực tiếp → HNB065 (chưa rõ đã hàn pigtail ở ODF hai đầu)</t>
        </is>
      </c>
      <c r="I224" s="4" t="inlineStr">
        <is>
          <t>HNB065</t>
        </is>
      </c>
      <c r="J224" s="4" t="inlineStr"/>
      <c r="K224" s="4" t="inlineStr"/>
      <c r="L224" s="4" t="inlineStr">
        <is>
          <t>HNB065</t>
        </is>
      </c>
    </row>
    <row r="225">
      <c r="A225" s="4" t="inlineStr">
        <is>
          <t>HNB055</t>
        </is>
      </c>
      <c r="B225" s="4" t="inlineStr">
        <is>
          <t>C57</t>
        </is>
      </c>
      <c r="C225" s="4" t="inlineStr">
        <is>
          <t>POSTEF 6/2019</t>
        </is>
      </c>
      <c r="D225" s="4" t="n">
        <v>8</v>
      </c>
      <c r="E225" s="4" t="inlineStr">
        <is>
          <t>HNB065</t>
        </is>
      </c>
      <c r="F225" s="4" t="n">
        <v>7</v>
      </c>
      <c r="G225" s="4" t="inlineStr">
        <is>
          <t>không có cổng ODF (ODF chỉ có 6 cổng hướng này)</t>
        </is>
      </c>
      <c r="H225" s="13" t="inlineStr">
        <is>
          <t>sợi nối trực tiếp → HNB065 (chưa rõ đã hàn pigtail ở ODF hai đầu)</t>
        </is>
      </c>
      <c r="I225" s="4" t="inlineStr">
        <is>
          <t>HNB065</t>
        </is>
      </c>
      <c r="J225" s="4" t="inlineStr"/>
      <c r="K225" s="4" t="inlineStr"/>
      <c r="L225" s="4" t="inlineStr">
        <is>
          <t>HNB065</t>
        </is>
      </c>
    </row>
    <row r="226">
      <c r="A226" s="4" t="inlineStr">
        <is>
          <t>HNB055</t>
        </is>
      </c>
      <c r="B226" s="4" t="inlineStr">
        <is>
          <t>C57</t>
        </is>
      </c>
      <c r="C226" s="4" t="inlineStr">
        <is>
          <t>POSTEF 6/2019</t>
        </is>
      </c>
      <c r="D226" s="4" t="n">
        <v>8</v>
      </c>
      <c r="E226" s="4" t="inlineStr">
        <is>
          <t>HNB065</t>
        </is>
      </c>
      <c r="F226" s="4" t="n">
        <v>8</v>
      </c>
      <c r="G226" s="4" t="inlineStr">
        <is>
          <t>không có cổng ODF (ODF chỉ có 6 cổng hướng này)</t>
        </is>
      </c>
      <c r="H226" s="13" t="inlineStr">
        <is>
          <t>sợi nối trực tiếp → HNB065 (chưa rõ đã hàn pigtail ở ODF hai đầu)</t>
        </is>
      </c>
      <c r="I226" s="4" t="inlineStr">
        <is>
          <t>HNB065</t>
        </is>
      </c>
      <c r="J226" s="4" t="inlineStr"/>
      <c r="K226" s="4" t="inlineStr"/>
      <c r="L226" s="4" t="inlineStr">
        <is>
          <t>HNB065</t>
        </is>
      </c>
    </row>
    <row r="227">
      <c r="A227" s="4" t="inlineStr">
        <is>
          <t>HNB056</t>
        </is>
      </c>
      <c r="B227" s="4" t="inlineStr">
        <is>
          <t>C59</t>
        </is>
      </c>
      <c r="C227" s="4" t="inlineStr">
        <is>
          <t>VINA OFC</t>
        </is>
      </c>
      <c r="D227" s="4" t="n">
        <v>8</v>
      </c>
      <c r="E227" s="4" t="inlineStr">
        <is>
          <t>MX thẳng 11-56</t>
        </is>
      </c>
      <c r="F227" s="4" t="n">
        <v>1</v>
      </c>
      <c r="G227" s="4" t="inlineStr">
        <is>
          <t>1</t>
        </is>
      </c>
      <c r="H227" s="11" t="inlineStr">
        <is>
          <t>đang chạy link R4-02 → HNB011</t>
        </is>
      </c>
      <c r="I227" s="4" t="inlineStr">
        <is>
          <t>HNB011</t>
        </is>
      </c>
      <c r="J227" s="4" t="inlineStr">
        <is>
          <t>R4-02</t>
        </is>
      </c>
      <c r="K227" s="4" t="inlineStr">
        <is>
          <t>mô tả</t>
        </is>
      </c>
      <c r="L227" s="4" t="inlineStr">
        <is>
          <t>MX thẳng 11-56→HNB011</t>
        </is>
      </c>
    </row>
    <row r="228">
      <c r="A228" s="4" t="inlineStr">
        <is>
          <t>HNB056</t>
        </is>
      </c>
      <c r="B228" s="4" t="inlineStr">
        <is>
          <t>C59</t>
        </is>
      </c>
      <c r="C228" s="4" t="inlineStr">
        <is>
          <t>VINA OFC</t>
        </is>
      </c>
      <c r="D228" s="4" t="n">
        <v>8</v>
      </c>
      <c r="E228" s="4" t="inlineStr">
        <is>
          <t>MX thẳng 11-56</t>
        </is>
      </c>
      <c r="F228" s="4" t="n">
        <v>2</v>
      </c>
      <c r="G228" s="4" t="inlineStr">
        <is>
          <t>2</t>
        </is>
      </c>
      <c r="H228" s="11" t="inlineStr">
        <is>
          <t>đang chạy link R4-02 → HNB011</t>
        </is>
      </c>
      <c r="I228" s="4" t="inlineStr">
        <is>
          <t>HNB011</t>
        </is>
      </c>
      <c r="J228" s="4" t="inlineStr">
        <is>
          <t>R4-02</t>
        </is>
      </c>
      <c r="K228" s="4" t="inlineStr">
        <is>
          <t>mô tả</t>
        </is>
      </c>
      <c r="L228" s="4" t="inlineStr">
        <is>
          <t>MX thẳng 11-56→HNB011</t>
        </is>
      </c>
    </row>
    <row r="229">
      <c r="A229" s="4" t="inlineStr">
        <is>
          <t>HNB056</t>
        </is>
      </c>
      <c r="B229" s="4" t="inlineStr">
        <is>
          <t>C59</t>
        </is>
      </c>
      <c r="C229" s="4" t="inlineStr">
        <is>
          <t>VINA OFC</t>
        </is>
      </c>
      <c r="D229" s="4" t="n">
        <v>8</v>
      </c>
      <c r="E229" s="4" t="inlineStr">
        <is>
          <t>MX thẳng 11-56</t>
        </is>
      </c>
      <c r="F229" s="4" t="n">
        <v>3</v>
      </c>
      <c r="G229" s="4" t="inlineStr">
        <is>
          <t>3</t>
        </is>
      </c>
      <c r="H229" s="13" t="inlineStr">
        <is>
          <t>hàn thông (MX thẳng, theo số mối hàn) → HNB011</t>
        </is>
      </c>
      <c r="I229" s="4" t="inlineStr">
        <is>
          <t>HNB011</t>
        </is>
      </c>
      <c r="J229" s="4" t="inlineStr"/>
      <c r="K229" s="4" t="inlineStr">
        <is>
          <t>MX thẳng (số mối hàn)</t>
        </is>
      </c>
      <c r="L229" s="4" t="inlineStr">
        <is>
          <t>MX thẳng 11-56→HNB011</t>
        </is>
      </c>
    </row>
    <row r="230">
      <c r="A230" s="4" t="inlineStr">
        <is>
          <t>HNB056</t>
        </is>
      </c>
      <c r="B230" s="4" t="inlineStr">
        <is>
          <t>C59</t>
        </is>
      </c>
      <c r="C230" s="4" t="inlineStr">
        <is>
          <t>VINA OFC</t>
        </is>
      </c>
      <c r="D230" s="4" t="n">
        <v>8</v>
      </c>
      <c r="E230" s="4" t="inlineStr">
        <is>
          <t>MX thẳng 11-56</t>
        </is>
      </c>
      <c r="F230" s="4" t="n">
        <v>4</v>
      </c>
      <c r="G230" s="4" t="inlineStr">
        <is>
          <t>4</t>
        </is>
      </c>
      <c r="H230" s="13" t="inlineStr">
        <is>
          <t>hàn thông (MX thẳng, theo số mối hàn) → HNB011</t>
        </is>
      </c>
      <c r="I230" s="4" t="inlineStr">
        <is>
          <t>HNB011</t>
        </is>
      </c>
      <c r="J230" s="4" t="inlineStr"/>
      <c r="K230" s="4" t="inlineStr">
        <is>
          <t>MX thẳng (số mối hàn)</t>
        </is>
      </c>
      <c r="L230" s="4" t="inlineStr">
        <is>
          <t>MX thẳng 11-56→HNB011</t>
        </is>
      </c>
    </row>
    <row r="231">
      <c r="A231" s="4" t="inlineStr">
        <is>
          <t>HNB056</t>
        </is>
      </c>
      <c r="B231" s="4" t="inlineStr">
        <is>
          <t>C59</t>
        </is>
      </c>
      <c r="C231" s="4" t="inlineStr">
        <is>
          <t>VINA OFC</t>
        </is>
      </c>
      <c r="D231" s="4" t="n">
        <v>8</v>
      </c>
      <c r="E231" s="4" t="inlineStr">
        <is>
          <t>MX thẳng 11-56</t>
        </is>
      </c>
      <c r="F231" s="4" t="n">
        <v>5</v>
      </c>
      <c r="G231" s="4" t="inlineStr">
        <is>
          <t>5</t>
        </is>
      </c>
      <c r="H231" s="13" t="inlineStr">
        <is>
          <t>hàn thông (MX thẳng, theo số mối hàn) → HNB011</t>
        </is>
      </c>
      <c r="I231" s="4" t="inlineStr">
        <is>
          <t>HNB011</t>
        </is>
      </c>
      <c r="J231" s="4" t="inlineStr"/>
      <c r="K231" s="4" t="inlineStr">
        <is>
          <t>MX thẳng (số mối hàn)</t>
        </is>
      </c>
      <c r="L231" s="4" t="inlineStr">
        <is>
          <t>MX thẳng 11-56→HNB011</t>
        </is>
      </c>
    </row>
    <row r="232">
      <c r="A232" s="4" t="inlineStr">
        <is>
          <t>HNB056</t>
        </is>
      </c>
      <c r="B232" s="4" t="inlineStr">
        <is>
          <t>C59</t>
        </is>
      </c>
      <c r="C232" s="4" t="inlineStr">
        <is>
          <t>VINA OFC</t>
        </is>
      </c>
      <c r="D232" s="4" t="n">
        <v>8</v>
      </c>
      <c r="E232" s="4" t="inlineStr">
        <is>
          <t>MX thẳng 11-56</t>
        </is>
      </c>
      <c r="F232" s="4" t="n">
        <v>6</v>
      </c>
      <c r="G232" s="4" t="inlineStr">
        <is>
          <t>6</t>
        </is>
      </c>
      <c r="H232" s="13" t="inlineStr">
        <is>
          <t>hàn thông (MX thẳng, theo số mối hàn) → HNB011</t>
        </is>
      </c>
      <c r="I232" s="4" t="inlineStr">
        <is>
          <t>HNB011</t>
        </is>
      </c>
      <c r="J232" s="4" t="inlineStr"/>
      <c r="K232" s="4" t="inlineStr">
        <is>
          <t>MX thẳng (số mối hàn)</t>
        </is>
      </c>
      <c r="L232" s="4" t="inlineStr">
        <is>
          <t>MX thẳng 11-56→HNB011</t>
        </is>
      </c>
    </row>
    <row r="233">
      <c r="A233" s="4" t="inlineStr">
        <is>
          <t>HNB056</t>
        </is>
      </c>
      <c r="B233" s="4" t="inlineStr">
        <is>
          <t>C59</t>
        </is>
      </c>
      <c r="C233" s="4" t="inlineStr">
        <is>
          <t>VINA OFC</t>
        </is>
      </c>
      <c r="D233" s="4" t="n">
        <v>8</v>
      </c>
      <c r="E233" s="4" t="inlineStr">
        <is>
          <t>MX thẳng 11-56</t>
        </is>
      </c>
      <c r="F233" s="4" t="n">
        <v>7</v>
      </c>
      <c r="G233" s="4" t="inlineStr">
        <is>
          <t>không có cổng ODF (ODF chỉ có 6 cổng hướng này)</t>
        </is>
      </c>
      <c r="H233" s="12" t="inlineStr">
        <is>
          <t>chưa ghi hàn tại MX thẳng 11-56 (dự phòng / chưa rõ / không hàn)</t>
        </is>
      </c>
      <c r="I233" s="4" t="inlineStr"/>
      <c r="J233" s="4" t="inlineStr"/>
      <c r="K233" s="4" t="inlineStr"/>
      <c r="L233" s="4" t="inlineStr">
        <is>
          <t>MX thẳng 11-56</t>
        </is>
      </c>
    </row>
    <row r="234">
      <c r="A234" s="4" t="inlineStr">
        <is>
          <t>HNB056</t>
        </is>
      </c>
      <c r="B234" s="4" t="inlineStr">
        <is>
          <t>C59</t>
        </is>
      </c>
      <c r="C234" s="4" t="inlineStr">
        <is>
          <t>VINA OFC</t>
        </is>
      </c>
      <c r="D234" s="4" t="n">
        <v>8</v>
      </c>
      <c r="E234" s="4" t="inlineStr">
        <is>
          <t>MX thẳng 11-56</t>
        </is>
      </c>
      <c r="F234" s="4" t="n">
        <v>8</v>
      </c>
      <c r="G234" s="4" t="inlineStr">
        <is>
          <t>không có cổng ODF (ODF chỉ có 6 cổng hướng này)</t>
        </is>
      </c>
      <c r="H234" s="12" t="inlineStr">
        <is>
          <t>chưa ghi hàn tại MX thẳng 11-56 (dự phòng / chưa rõ / không hàn)</t>
        </is>
      </c>
      <c r="I234" s="4" t="inlineStr"/>
      <c r="J234" s="4" t="inlineStr"/>
      <c r="K234" s="4" t="inlineStr"/>
      <c r="L234" s="4" t="inlineStr">
        <is>
          <t>MX thẳng 11-56</t>
        </is>
      </c>
    </row>
    <row r="235">
      <c r="A235" s="4" t="inlineStr">
        <is>
          <t>HNB056</t>
        </is>
      </c>
      <c r="B235" s="4" t="inlineStr">
        <is>
          <t>C60</t>
        </is>
      </c>
      <c r="C235" s="4" t="inlineStr">
        <is>
          <t>POSTEF 6/2019</t>
        </is>
      </c>
      <c r="D235" s="4" t="n">
        <v>8</v>
      </c>
      <c r="E235" s="4" t="inlineStr">
        <is>
          <t>HNB071</t>
        </is>
      </c>
      <c r="F235" s="4" t="n">
        <v>1</v>
      </c>
      <c r="G235" s="4" t="inlineStr">
        <is>
          <t>1</t>
        </is>
      </c>
      <c r="H235" s="13" t="inlineStr">
        <is>
          <t>sợi nối trực tiếp → HNB071 (chưa rõ đã hàn pigtail ở ODF hai đầu)</t>
        </is>
      </c>
      <c r="I235" s="4" t="inlineStr">
        <is>
          <t>HNB071</t>
        </is>
      </c>
      <c r="J235" s="4" t="inlineStr"/>
      <c r="K235" s="4" t="inlineStr"/>
      <c r="L235" s="4" t="inlineStr">
        <is>
          <t>HNB071</t>
        </is>
      </c>
    </row>
    <row r="236">
      <c r="A236" s="4" t="inlineStr">
        <is>
          <t>HNB056</t>
        </is>
      </c>
      <c r="B236" s="4" t="inlineStr">
        <is>
          <t>C60</t>
        </is>
      </c>
      <c r="C236" s="4" t="inlineStr">
        <is>
          <t>POSTEF 6/2019</t>
        </is>
      </c>
      <c r="D236" s="4" t="n">
        <v>8</v>
      </c>
      <c r="E236" s="4" t="inlineStr">
        <is>
          <t>HNB071</t>
        </is>
      </c>
      <c r="F236" s="4" t="n">
        <v>2</v>
      </c>
      <c r="G236" s="4" t="inlineStr">
        <is>
          <t>2</t>
        </is>
      </c>
      <c r="H236" s="13" t="inlineStr">
        <is>
          <t>sợi nối trực tiếp → HNB071 (chưa rõ đã hàn pigtail ở ODF hai đầu)</t>
        </is>
      </c>
      <c r="I236" s="4" t="inlineStr">
        <is>
          <t>HNB071</t>
        </is>
      </c>
      <c r="J236" s="4" t="inlineStr"/>
      <c r="K236" s="4" t="inlineStr"/>
      <c r="L236" s="4" t="inlineStr">
        <is>
          <t>HNB071</t>
        </is>
      </c>
    </row>
    <row r="237">
      <c r="A237" s="4" t="inlineStr">
        <is>
          <t>HNB056</t>
        </is>
      </c>
      <c r="B237" s="4" t="inlineStr">
        <is>
          <t>C60</t>
        </is>
      </c>
      <c r="C237" s="4" t="inlineStr">
        <is>
          <t>POSTEF 6/2019</t>
        </is>
      </c>
      <c r="D237" s="4" t="n">
        <v>8</v>
      </c>
      <c r="E237" s="4" t="inlineStr">
        <is>
          <t>HNB071</t>
        </is>
      </c>
      <c r="F237" s="4" t="n">
        <v>3</v>
      </c>
      <c r="G237" s="4" t="inlineStr">
        <is>
          <t>3</t>
        </is>
      </c>
      <c r="H237" s="13" t="inlineStr">
        <is>
          <t>sợi nối trực tiếp → HNB071 (chưa rõ đã hàn pigtail ở ODF hai đầu)</t>
        </is>
      </c>
      <c r="I237" s="4" t="inlineStr">
        <is>
          <t>HNB071</t>
        </is>
      </c>
      <c r="J237" s="4" t="inlineStr"/>
      <c r="K237" s="4" t="inlineStr"/>
      <c r="L237" s="4" t="inlineStr">
        <is>
          <t>HNB071</t>
        </is>
      </c>
    </row>
    <row r="238">
      <c r="A238" s="4" t="inlineStr">
        <is>
          <t>HNB056</t>
        </is>
      </c>
      <c r="B238" s="4" t="inlineStr">
        <is>
          <t>C60</t>
        </is>
      </c>
      <c r="C238" s="4" t="inlineStr">
        <is>
          <t>POSTEF 6/2019</t>
        </is>
      </c>
      <c r="D238" s="4" t="n">
        <v>8</v>
      </c>
      <c r="E238" s="4" t="inlineStr">
        <is>
          <t>HNB071</t>
        </is>
      </c>
      <c r="F238" s="4" t="n">
        <v>4</v>
      </c>
      <c r="G238" s="4" t="inlineStr">
        <is>
          <t>4</t>
        </is>
      </c>
      <c r="H238" s="13" t="inlineStr">
        <is>
          <t>sợi nối trực tiếp → HNB071 (chưa rõ đã hàn pigtail ở ODF hai đầu)</t>
        </is>
      </c>
      <c r="I238" s="4" t="inlineStr">
        <is>
          <t>HNB071</t>
        </is>
      </c>
      <c r="J238" s="4" t="inlineStr"/>
      <c r="K238" s="4" t="inlineStr"/>
      <c r="L238" s="4" t="inlineStr">
        <is>
          <t>HNB071</t>
        </is>
      </c>
    </row>
    <row r="239">
      <c r="A239" s="4" t="inlineStr">
        <is>
          <t>HNB056</t>
        </is>
      </c>
      <c r="B239" s="4" t="inlineStr">
        <is>
          <t>C60</t>
        </is>
      </c>
      <c r="C239" s="4" t="inlineStr">
        <is>
          <t>POSTEF 6/2019</t>
        </is>
      </c>
      <c r="D239" s="4" t="n">
        <v>8</v>
      </c>
      <c r="E239" s="4" t="inlineStr">
        <is>
          <t>HNB071</t>
        </is>
      </c>
      <c r="F239" s="4" t="n">
        <v>5</v>
      </c>
      <c r="G239" s="4" t="inlineStr">
        <is>
          <t>5</t>
        </is>
      </c>
      <c r="H239" s="13" t="inlineStr">
        <is>
          <t>sợi nối trực tiếp → HNB071 (chưa rõ đã hàn pigtail ở ODF hai đầu)</t>
        </is>
      </c>
      <c r="I239" s="4" t="inlineStr">
        <is>
          <t>HNB071</t>
        </is>
      </c>
      <c r="J239" s="4" t="inlineStr"/>
      <c r="K239" s="4" t="inlineStr"/>
      <c r="L239" s="4" t="inlineStr">
        <is>
          <t>HNB071</t>
        </is>
      </c>
    </row>
    <row r="240">
      <c r="A240" s="4" t="inlineStr">
        <is>
          <t>HNB056</t>
        </is>
      </c>
      <c r="B240" s="4" t="inlineStr">
        <is>
          <t>C60</t>
        </is>
      </c>
      <c r="C240" s="4" t="inlineStr">
        <is>
          <t>POSTEF 6/2019</t>
        </is>
      </c>
      <c r="D240" s="4" t="n">
        <v>8</v>
      </c>
      <c r="E240" s="4" t="inlineStr">
        <is>
          <t>HNB071</t>
        </is>
      </c>
      <c r="F240" s="4" t="n">
        <v>6</v>
      </c>
      <c r="G240" s="4" t="inlineStr">
        <is>
          <t>6</t>
        </is>
      </c>
      <c r="H240" s="13" t="inlineStr">
        <is>
          <t>sợi nối trực tiếp → HNB071 (chưa rõ đã hàn pigtail ở ODF hai đầu)</t>
        </is>
      </c>
      <c r="I240" s="4" t="inlineStr">
        <is>
          <t>HNB071</t>
        </is>
      </c>
      <c r="J240" s="4" t="inlineStr"/>
      <c r="K240" s="4" t="inlineStr"/>
      <c r="L240" s="4" t="inlineStr">
        <is>
          <t>HNB071</t>
        </is>
      </c>
    </row>
    <row r="241">
      <c r="A241" s="4" t="inlineStr">
        <is>
          <t>HNB056</t>
        </is>
      </c>
      <c r="B241" s="4" t="inlineStr">
        <is>
          <t>C60</t>
        </is>
      </c>
      <c r="C241" s="4" t="inlineStr">
        <is>
          <t>POSTEF 6/2019</t>
        </is>
      </c>
      <c r="D241" s="4" t="n">
        <v>8</v>
      </c>
      <c r="E241" s="4" t="inlineStr">
        <is>
          <t>HNB071</t>
        </is>
      </c>
      <c r="F241" s="4" t="n">
        <v>7</v>
      </c>
      <c r="G241" s="4" t="inlineStr">
        <is>
          <t>không có cổng ODF (ODF chỉ có 6 cổng hướng này)</t>
        </is>
      </c>
      <c r="H241" s="13" t="inlineStr">
        <is>
          <t>sợi nối trực tiếp → HNB071 (chưa rõ đã hàn pigtail ở ODF hai đầu)</t>
        </is>
      </c>
      <c r="I241" s="4" t="inlineStr">
        <is>
          <t>HNB071</t>
        </is>
      </c>
      <c r="J241" s="4" t="inlineStr"/>
      <c r="K241" s="4" t="inlineStr"/>
      <c r="L241" s="4" t="inlineStr">
        <is>
          <t>HNB071</t>
        </is>
      </c>
    </row>
    <row r="242">
      <c r="A242" s="4" t="inlineStr">
        <is>
          <t>HNB056</t>
        </is>
      </c>
      <c r="B242" s="4" t="inlineStr">
        <is>
          <t>C60</t>
        </is>
      </c>
      <c r="C242" s="4" t="inlineStr">
        <is>
          <t>POSTEF 6/2019</t>
        </is>
      </c>
      <c r="D242" s="4" t="n">
        <v>8</v>
      </c>
      <c r="E242" s="4" t="inlineStr">
        <is>
          <t>HNB071</t>
        </is>
      </c>
      <c r="F242" s="4" t="n">
        <v>8</v>
      </c>
      <c r="G242" s="4" t="inlineStr">
        <is>
          <t>không có cổng ODF (ODF chỉ có 6 cổng hướng này)</t>
        </is>
      </c>
      <c r="H242" s="13" t="inlineStr">
        <is>
          <t>sợi nối trực tiếp → HNB071 (chưa rõ đã hàn pigtail ở ODF hai đầu)</t>
        </is>
      </c>
      <c r="I242" s="4" t="inlineStr">
        <is>
          <t>HNB071</t>
        </is>
      </c>
      <c r="J242" s="4" t="inlineStr"/>
      <c r="K242" s="4" t="inlineStr"/>
      <c r="L242" s="4" t="inlineStr">
        <is>
          <t>HNB071</t>
        </is>
      </c>
    </row>
    <row r="243">
      <c r="A243" s="4" t="inlineStr">
        <is>
          <t>HNB059</t>
        </is>
      </c>
      <c r="B243" s="4" t="inlineStr">
        <is>
          <t>C18</t>
        </is>
      </c>
      <c r="C243" s="4" t="inlineStr">
        <is>
          <t>FOCAL 2020</t>
        </is>
      </c>
      <c r="D243" s="4" t="n">
        <v>6</v>
      </c>
      <c r="E243" s="4" t="inlineStr">
        <is>
          <t>MX_NVT_03A</t>
        </is>
      </c>
      <c r="F243" s="4" t="n">
        <v>1</v>
      </c>
      <c r="G243" s="4" t="inlineStr">
        <is>
          <t>1</t>
        </is>
      </c>
      <c r="H243" s="11" t="inlineStr">
        <is>
          <t>đang chạy link R1-01 → NBE12</t>
        </is>
      </c>
      <c r="I243" s="4" t="inlineStr">
        <is>
          <t>NBE12</t>
        </is>
      </c>
      <c r="J243" s="4" t="inlineStr">
        <is>
          <t>R1-01</t>
        </is>
      </c>
      <c r="K243" s="4" t="inlineStr">
        <is>
          <t>mô tả</t>
        </is>
      </c>
      <c r="L243" s="4" t="inlineStr">
        <is>
          <t>MX_NVT_03A→MX_NVT_02A→MX_NVT_01→MX nhập đài Long Thới–NVT→VNPT Long Thới (ODF-02 NBE12)</t>
        </is>
      </c>
    </row>
    <row r="244">
      <c r="A244" s="4" t="inlineStr">
        <is>
          <t>HNB059</t>
        </is>
      </c>
      <c r="B244" s="4" t="inlineStr">
        <is>
          <t>C18</t>
        </is>
      </c>
      <c r="C244" s="4" t="inlineStr">
        <is>
          <t>FOCAL 2020</t>
        </is>
      </c>
      <c r="D244" s="4" t="n">
        <v>6</v>
      </c>
      <c r="E244" s="4" t="inlineStr">
        <is>
          <t>MX_NVT_03A</t>
        </is>
      </c>
      <c r="F244" s="4" t="n">
        <v>2</v>
      </c>
      <c r="G244" s="4" t="inlineStr">
        <is>
          <t>2</t>
        </is>
      </c>
      <c r="H244" s="11" t="inlineStr">
        <is>
          <t>đang chạy link R1-01 → NBE12</t>
        </is>
      </c>
      <c r="I244" s="4" t="inlineStr">
        <is>
          <t>NBE12</t>
        </is>
      </c>
      <c r="J244" s="4" t="inlineStr">
        <is>
          <t>R1-01</t>
        </is>
      </c>
      <c r="K244" s="4" t="inlineStr">
        <is>
          <t>mô tả</t>
        </is>
      </c>
      <c r="L244" s="4" t="inlineStr">
        <is>
          <t>MX_NVT_03A→MX_NVT_02A→MX_NVT_01→MX nhập đài Long Thới–NVT→VNPT Long Thới (ODF-02 NBE12)</t>
        </is>
      </c>
    </row>
    <row r="245">
      <c r="A245" s="4" t="inlineStr">
        <is>
          <t>HNB059</t>
        </is>
      </c>
      <c r="B245" s="4" t="inlineStr">
        <is>
          <t>C18</t>
        </is>
      </c>
      <c r="C245" s="4" t="inlineStr">
        <is>
          <t>FOCAL 2020</t>
        </is>
      </c>
      <c r="D245" s="4" t="n">
        <v>6</v>
      </c>
      <c r="E245" s="4" t="inlineStr">
        <is>
          <t>MX_NVT_03A</t>
        </is>
      </c>
      <c r="F245" s="4" t="n">
        <v>3</v>
      </c>
      <c r="G245" s="4" t="inlineStr">
        <is>
          <t>3</t>
        </is>
      </c>
      <c r="H245" s="12" t="inlineStr">
        <is>
          <t>chưa ghi hàn tại MX_NVT_03A (dự phòng / chưa rõ / không hàn)</t>
        </is>
      </c>
      <c r="I245" s="4" t="inlineStr"/>
      <c r="J245" s="4" t="inlineStr"/>
      <c r="K245" s="4" t="inlineStr"/>
      <c r="L245" s="4" t="inlineStr">
        <is>
          <t>MX_NVT_03A</t>
        </is>
      </c>
    </row>
    <row r="246">
      <c r="A246" s="4" t="inlineStr">
        <is>
          <t>HNB059</t>
        </is>
      </c>
      <c r="B246" s="4" t="inlineStr">
        <is>
          <t>C18</t>
        </is>
      </c>
      <c r="C246" s="4" t="inlineStr">
        <is>
          <t>FOCAL 2020</t>
        </is>
      </c>
      <c r="D246" s="4" t="n">
        <v>6</v>
      </c>
      <c r="E246" s="4" t="inlineStr">
        <is>
          <t>MX_NVT_03A</t>
        </is>
      </c>
      <c r="F246" s="4" t="n">
        <v>4</v>
      </c>
      <c r="G246" s="4" t="inlineStr">
        <is>
          <t>4</t>
        </is>
      </c>
      <c r="H246" s="12" t="inlineStr">
        <is>
          <t>chưa ghi hàn tại MX_NVT_03A (dự phòng / chưa rõ / không hàn)</t>
        </is>
      </c>
      <c r="I246" s="4" t="inlineStr"/>
      <c r="J246" s="4" t="inlineStr"/>
      <c r="K246" s="4" t="inlineStr"/>
      <c r="L246" s="4" t="inlineStr">
        <is>
          <t>MX_NVT_03A</t>
        </is>
      </c>
    </row>
    <row r="247">
      <c r="A247" s="4" t="inlineStr">
        <is>
          <t>HNB059</t>
        </is>
      </c>
      <c r="B247" s="4" t="inlineStr">
        <is>
          <t>C18</t>
        </is>
      </c>
      <c r="C247" s="4" t="inlineStr">
        <is>
          <t>FOCAL 2020</t>
        </is>
      </c>
      <c r="D247" s="4" t="n">
        <v>6</v>
      </c>
      <c r="E247" s="4" t="inlineStr">
        <is>
          <t>MX_NVT_03A</t>
        </is>
      </c>
      <c r="F247" s="4" t="n">
        <v>5</v>
      </c>
      <c r="G247" s="4" t="inlineStr">
        <is>
          <t>5</t>
        </is>
      </c>
      <c r="H247" s="12" t="inlineStr">
        <is>
          <t>chưa ghi hàn tại MX_NVT_03A (dự phòng / chưa rõ / không hàn)</t>
        </is>
      </c>
      <c r="I247" s="4" t="inlineStr"/>
      <c r="J247" s="4" t="inlineStr"/>
      <c r="K247" s="4" t="inlineStr"/>
      <c r="L247" s="4" t="inlineStr">
        <is>
          <t>MX_NVT_03A</t>
        </is>
      </c>
    </row>
    <row r="248">
      <c r="A248" s="4" t="inlineStr">
        <is>
          <t>HNB059</t>
        </is>
      </c>
      <c r="B248" s="4" t="inlineStr">
        <is>
          <t>C18</t>
        </is>
      </c>
      <c r="C248" s="4" t="inlineStr">
        <is>
          <t>FOCAL 2020</t>
        </is>
      </c>
      <c r="D248" s="4" t="n">
        <v>6</v>
      </c>
      <c r="E248" s="4" t="inlineStr">
        <is>
          <t>MX_NVT_03A</t>
        </is>
      </c>
      <c r="F248" s="4" t="n">
        <v>6</v>
      </c>
      <c r="G248" s="4" t="inlineStr">
        <is>
          <t>6</t>
        </is>
      </c>
      <c r="H248" s="12" t="inlineStr">
        <is>
          <t>chưa ghi hàn tại MX_NVT_03A (dự phòng / chưa rõ / không hàn)</t>
        </is>
      </c>
      <c r="I248" s="4" t="inlineStr"/>
      <c r="J248" s="4" t="inlineStr"/>
      <c r="K248" s="4" t="inlineStr"/>
      <c r="L248" s="4" t="inlineStr">
        <is>
          <t>MX_NVT_03A</t>
        </is>
      </c>
    </row>
    <row r="249">
      <c r="A249" s="4" t="inlineStr">
        <is>
          <t>HNB059</t>
        </is>
      </c>
      <c r="B249" s="4" t="inlineStr">
        <is>
          <t>C19</t>
        </is>
      </c>
      <c r="C249" s="4" t="inlineStr">
        <is>
          <t>FOCAL 2020</t>
        </is>
      </c>
      <c r="D249" s="4" t="n">
        <v>6</v>
      </c>
      <c r="E249" s="4" t="inlineStr">
        <is>
          <t>HNB060</t>
        </is>
      </c>
      <c r="F249" s="4" t="n">
        <v>1</v>
      </c>
      <c r="G249" s="4" t="inlineStr">
        <is>
          <t>1</t>
        </is>
      </c>
      <c r="H249" s="13" t="inlineStr">
        <is>
          <t>sợi nối trực tiếp → HNB060 (chưa rõ đã hàn pigtail ở ODF hai đầu)</t>
        </is>
      </c>
      <c r="I249" s="4" t="inlineStr">
        <is>
          <t>HNB060</t>
        </is>
      </c>
      <c r="J249" s="4" t="inlineStr"/>
      <c r="K249" s="4" t="inlineStr"/>
      <c r="L249" s="4" t="inlineStr">
        <is>
          <t>HNB060</t>
        </is>
      </c>
    </row>
    <row r="250">
      <c r="A250" s="4" t="inlineStr">
        <is>
          <t>HNB059</t>
        </is>
      </c>
      <c r="B250" s="4" t="inlineStr">
        <is>
          <t>C19</t>
        </is>
      </c>
      <c r="C250" s="4" t="inlineStr">
        <is>
          <t>FOCAL 2020</t>
        </is>
      </c>
      <c r="D250" s="4" t="n">
        <v>6</v>
      </c>
      <c r="E250" s="4" t="inlineStr">
        <is>
          <t>HNB060</t>
        </is>
      </c>
      <c r="F250" s="4" t="n">
        <v>2</v>
      </c>
      <c r="G250" s="4" t="inlineStr">
        <is>
          <t>2</t>
        </is>
      </c>
      <c r="H250" s="13" t="inlineStr">
        <is>
          <t>sợi nối trực tiếp → HNB060 (chưa rõ đã hàn pigtail ở ODF hai đầu)</t>
        </is>
      </c>
      <c r="I250" s="4" t="inlineStr">
        <is>
          <t>HNB060</t>
        </is>
      </c>
      <c r="J250" s="4" t="inlineStr"/>
      <c r="K250" s="4" t="inlineStr"/>
      <c r="L250" s="4" t="inlineStr">
        <is>
          <t>HNB060</t>
        </is>
      </c>
    </row>
    <row r="251">
      <c r="A251" s="4" t="inlineStr">
        <is>
          <t>HNB059</t>
        </is>
      </c>
      <c r="B251" s="4" t="inlineStr">
        <is>
          <t>C19</t>
        </is>
      </c>
      <c r="C251" s="4" t="inlineStr">
        <is>
          <t>FOCAL 2020</t>
        </is>
      </c>
      <c r="D251" s="4" t="n">
        <v>6</v>
      </c>
      <c r="E251" s="4" t="inlineStr">
        <is>
          <t>HNB060</t>
        </is>
      </c>
      <c r="F251" s="4" t="n">
        <v>3</v>
      </c>
      <c r="G251" s="4" t="inlineStr">
        <is>
          <t>3</t>
        </is>
      </c>
      <c r="H251" s="13" t="inlineStr">
        <is>
          <t>sợi nối trực tiếp → HNB060 (chưa rõ đã hàn pigtail ở ODF hai đầu)</t>
        </is>
      </c>
      <c r="I251" s="4" t="inlineStr">
        <is>
          <t>HNB060</t>
        </is>
      </c>
      <c r="J251" s="4" t="inlineStr"/>
      <c r="K251" s="4" t="inlineStr"/>
      <c r="L251" s="4" t="inlineStr">
        <is>
          <t>HNB060</t>
        </is>
      </c>
    </row>
    <row r="252">
      <c r="A252" s="4" t="inlineStr">
        <is>
          <t>HNB059</t>
        </is>
      </c>
      <c r="B252" s="4" t="inlineStr">
        <is>
          <t>C19</t>
        </is>
      </c>
      <c r="C252" s="4" t="inlineStr">
        <is>
          <t>FOCAL 2020</t>
        </is>
      </c>
      <c r="D252" s="4" t="n">
        <v>6</v>
      </c>
      <c r="E252" s="4" t="inlineStr">
        <is>
          <t>HNB060</t>
        </is>
      </c>
      <c r="F252" s="4" t="n">
        <v>4</v>
      </c>
      <c r="G252" s="4" t="inlineStr">
        <is>
          <t>4</t>
        </is>
      </c>
      <c r="H252" s="13" t="inlineStr">
        <is>
          <t>sợi nối trực tiếp → HNB060 (chưa rõ đã hàn pigtail ở ODF hai đầu)</t>
        </is>
      </c>
      <c r="I252" s="4" t="inlineStr">
        <is>
          <t>HNB060</t>
        </is>
      </c>
      <c r="J252" s="4" t="inlineStr"/>
      <c r="K252" s="4" t="inlineStr"/>
      <c r="L252" s="4" t="inlineStr">
        <is>
          <t>HNB060</t>
        </is>
      </c>
    </row>
    <row r="253">
      <c r="A253" s="4" t="inlineStr">
        <is>
          <t>HNB059</t>
        </is>
      </c>
      <c r="B253" s="4" t="inlineStr">
        <is>
          <t>C19</t>
        </is>
      </c>
      <c r="C253" s="4" t="inlineStr">
        <is>
          <t>FOCAL 2020</t>
        </is>
      </c>
      <c r="D253" s="4" t="n">
        <v>6</v>
      </c>
      <c r="E253" s="4" t="inlineStr">
        <is>
          <t>HNB060</t>
        </is>
      </c>
      <c r="F253" s="4" t="n">
        <v>5</v>
      </c>
      <c r="G253" s="4" t="inlineStr">
        <is>
          <t>5</t>
        </is>
      </c>
      <c r="H253" s="13" t="inlineStr">
        <is>
          <t>sợi nối trực tiếp → HNB060 (chưa rõ đã hàn pigtail ở ODF hai đầu)</t>
        </is>
      </c>
      <c r="I253" s="4" t="inlineStr">
        <is>
          <t>HNB060</t>
        </is>
      </c>
      <c r="J253" s="4" t="inlineStr"/>
      <c r="K253" s="4" t="inlineStr"/>
      <c r="L253" s="4" t="inlineStr">
        <is>
          <t>HNB060</t>
        </is>
      </c>
    </row>
    <row r="254">
      <c r="A254" s="4" t="inlineStr">
        <is>
          <t>HNB059</t>
        </is>
      </c>
      <c r="B254" s="4" t="inlineStr">
        <is>
          <t>C19</t>
        </is>
      </c>
      <c r="C254" s="4" t="inlineStr">
        <is>
          <t>FOCAL 2020</t>
        </is>
      </c>
      <c r="D254" s="4" t="n">
        <v>6</v>
      </c>
      <c r="E254" s="4" t="inlineStr">
        <is>
          <t>HNB060</t>
        </is>
      </c>
      <c r="F254" s="4" t="n">
        <v>6</v>
      </c>
      <c r="G254" s="4" t="inlineStr">
        <is>
          <t>6</t>
        </is>
      </c>
      <c r="H254" s="13" t="inlineStr">
        <is>
          <t>sợi nối trực tiếp → HNB060 (chưa rõ đã hàn pigtail ở ODF hai đầu)</t>
        </is>
      </c>
      <c r="I254" s="4" t="inlineStr">
        <is>
          <t>HNB060</t>
        </is>
      </c>
      <c r="J254" s="4" t="inlineStr"/>
      <c r="K254" s="4" t="inlineStr"/>
      <c r="L254" s="4" t="inlineStr">
        <is>
          <t>HNB060</t>
        </is>
      </c>
    </row>
    <row r="255">
      <c r="A255" s="4" t="inlineStr">
        <is>
          <t>HNB060</t>
        </is>
      </c>
      <c r="B255" s="4" t="inlineStr">
        <is>
          <t>C19</t>
        </is>
      </c>
      <c r="C255" s="4" t="inlineStr">
        <is>
          <t>FOCAL 2020</t>
        </is>
      </c>
      <c r="D255" s="4" t="n">
        <v>6</v>
      </c>
      <c r="E255" s="4" t="inlineStr">
        <is>
          <t>HNB059</t>
        </is>
      </c>
      <c r="F255" s="4" t="n">
        <v>1</v>
      </c>
      <c r="G255" s="4" t="inlineStr">
        <is>
          <t>1</t>
        </is>
      </c>
      <c r="H255" s="13" t="inlineStr">
        <is>
          <t>sợi nối trực tiếp → HNB059 (chưa rõ đã hàn pigtail ở ODF hai đầu)</t>
        </is>
      </c>
      <c r="I255" s="4" t="inlineStr">
        <is>
          <t>HNB059</t>
        </is>
      </c>
      <c r="J255" s="4" t="inlineStr"/>
      <c r="K255" s="4" t="inlineStr"/>
      <c r="L255" s="4" t="inlineStr">
        <is>
          <t>HNB059</t>
        </is>
      </c>
    </row>
    <row r="256">
      <c r="A256" s="4" t="inlineStr">
        <is>
          <t>HNB060</t>
        </is>
      </c>
      <c r="B256" s="4" t="inlineStr">
        <is>
          <t>C19</t>
        </is>
      </c>
      <c r="C256" s="4" t="inlineStr">
        <is>
          <t>FOCAL 2020</t>
        </is>
      </c>
      <c r="D256" s="4" t="n">
        <v>6</v>
      </c>
      <c r="E256" s="4" t="inlineStr">
        <is>
          <t>HNB059</t>
        </is>
      </c>
      <c r="F256" s="4" t="n">
        <v>2</v>
      </c>
      <c r="G256" s="4" t="inlineStr">
        <is>
          <t>2</t>
        </is>
      </c>
      <c r="H256" s="13" t="inlineStr">
        <is>
          <t>sợi nối trực tiếp → HNB059 (chưa rõ đã hàn pigtail ở ODF hai đầu)</t>
        </is>
      </c>
      <c r="I256" s="4" t="inlineStr">
        <is>
          <t>HNB059</t>
        </is>
      </c>
      <c r="J256" s="4" t="inlineStr"/>
      <c r="K256" s="4" t="inlineStr"/>
      <c r="L256" s="4" t="inlineStr">
        <is>
          <t>HNB059</t>
        </is>
      </c>
    </row>
    <row r="257">
      <c r="A257" s="4" t="inlineStr">
        <is>
          <t>HNB060</t>
        </is>
      </c>
      <c r="B257" s="4" t="inlineStr">
        <is>
          <t>C19</t>
        </is>
      </c>
      <c r="C257" s="4" t="inlineStr">
        <is>
          <t>FOCAL 2020</t>
        </is>
      </c>
      <c r="D257" s="4" t="n">
        <v>6</v>
      </c>
      <c r="E257" s="4" t="inlineStr">
        <is>
          <t>HNB059</t>
        </is>
      </c>
      <c r="F257" s="4" t="n">
        <v>3</v>
      </c>
      <c r="G257" s="4" t="inlineStr">
        <is>
          <t>3</t>
        </is>
      </c>
      <c r="H257" s="13" t="inlineStr">
        <is>
          <t>sợi nối trực tiếp → HNB059 (chưa rõ đã hàn pigtail ở ODF hai đầu)</t>
        </is>
      </c>
      <c r="I257" s="4" t="inlineStr">
        <is>
          <t>HNB059</t>
        </is>
      </c>
      <c r="J257" s="4" t="inlineStr"/>
      <c r="K257" s="4" t="inlineStr"/>
      <c r="L257" s="4" t="inlineStr">
        <is>
          <t>HNB059</t>
        </is>
      </c>
    </row>
    <row r="258">
      <c r="A258" s="4" t="inlineStr">
        <is>
          <t>HNB060</t>
        </is>
      </c>
      <c r="B258" s="4" t="inlineStr">
        <is>
          <t>C19</t>
        </is>
      </c>
      <c r="C258" s="4" t="inlineStr">
        <is>
          <t>FOCAL 2020</t>
        </is>
      </c>
      <c r="D258" s="4" t="n">
        <v>6</v>
      </c>
      <c r="E258" s="4" t="inlineStr">
        <is>
          <t>HNB059</t>
        </is>
      </c>
      <c r="F258" s="4" t="n">
        <v>4</v>
      </c>
      <c r="G258" s="4" t="inlineStr">
        <is>
          <t>4</t>
        </is>
      </c>
      <c r="H258" s="13" t="inlineStr">
        <is>
          <t>sợi nối trực tiếp → HNB059 (chưa rõ đã hàn pigtail ở ODF hai đầu)</t>
        </is>
      </c>
      <c r="I258" s="4" t="inlineStr">
        <is>
          <t>HNB059</t>
        </is>
      </c>
      <c r="J258" s="4" t="inlineStr"/>
      <c r="K258" s="4" t="inlineStr"/>
      <c r="L258" s="4" t="inlineStr">
        <is>
          <t>HNB059</t>
        </is>
      </c>
    </row>
    <row r="259">
      <c r="A259" s="4" t="inlineStr">
        <is>
          <t>HNB060</t>
        </is>
      </c>
      <c r="B259" s="4" t="inlineStr">
        <is>
          <t>C19</t>
        </is>
      </c>
      <c r="C259" s="4" t="inlineStr">
        <is>
          <t>FOCAL 2020</t>
        </is>
      </c>
      <c r="D259" s="4" t="n">
        <v>6</v>
      </c>
      <c r="E259" s="4" t="inlineStr">
        <is>
          <t>HNB059</t>
        </is>
      </c>
      <c r="F259" s="4" t="n">
        <v>5</v>
      </c>
      <c r="G259" s="4" t="inlineStr">
        <is>
          <t>5</t>
        </is>
      </c>
      <c r="H259" s="13" t="inlineStr">
        <is>
          <t>sợi nối trực tiếp → HNB059 (chưa rõ đã hàn pigtail ở ODF hai đầu)</t>
        </is>
      </c>
      <c r="I259" s="4" t="inlineStr">
        <is>
          <t>HNB059</t>
        </is>
      </c>
      <c r="J259" s="4" t="inlineStr"/>
      <c r="K259" s="4" t="inlineStr"/>
      <c r="L259" s="4" t="inlineStr">
        <is>
          <t>HNB059</t>
        </is>
      </c>
    </row>
    <row r="260">
      <c r="A260" s="4" t="inlineStr">
        <is>
          <t>HNB060</t>
        </is>
      </c>
      <c r="B260" s="4" t="inlineStr">
        <is>
          <t>C19</t>
        </is>
      </c>
      <c r="C260" s="4" t="inlineStr">
        <is>
          <t>FOCAL 2020</t>
        </is>
      </c>
      <c r="D260" s="4" t="n">
        <v>6</v>
      </c>
      <c r="E260" s="4" t="inlineStr">
        <is>
          <t>HNB059</t>
        </is>
      </c>
      <c r="F260" s="4" t="n">
        <v>6</v>
      </c>
      <c r="G260" s="4" t="inlineStr">
        <is>
          <t>6</t>
        </is>
      </c>
      <c r="H260" s="13" t="inlineStr">
        <is>
          <t>sợi nối trực tiếp → HNB059 (chưa rõ đã hàn pigtail ở ODF hai đầu)</t>
        </is>
      </c>
      <c r="I260" s="4" t="inlineStr">
        <is>
          <t>HNB059</t>
        </is>
      </c>
      <c r="J260" s="4" t="inlineStr"/>
      <c r="K260" s="4" t="inlineStr"/>
      <c r="L260" s="4" t="inlineStr">
        <is>
          <t>HNB059</t>
        </is>
      </c>
    </row>
    <row r="261">
      <c r="A261" s="4" t="inlineStr">
        <is>
          <t>HNB060</t>
        </is>
      </c>
      <c r="B261" s="4" t="inlineStr">
        <is>
          <t>C20</t>
        </is>
      </c>
      <c r="C261" s="4" t="inlineStr">
        <is>
          <t>FOCAL 2020</t>
        </is>
      </c>
      <c r="D261" s="4" t="n">
        <v>6</v>
      </c>
      <c r="E261" s="4" t="inlineStr">
        <is>
          <t>HNB048</t>
        </is>
      </c>
      <c r="F261" s="4" t="n">
        <v>1</v>
      </c>
      <c r="G261" s="4" t="inlineStr">
        <is>
          <t>1</t>
        </is>
      </c>
      <c r="H261" s="13" t="inlineStr">
        <is>
          <t>sợi nối trực tiếp → HNB048 (chưa rõ đã hàn pigtail ở ODF hai đầu)</t>
        </is>
      </c>
      <c r="I261" s="4" t="inlineStr">
        <is>
          <t>HNB048</t>
        </is>
      </c>
      <c r="J261" s="4" t="inlineStr"/>
      <c r="K261" s="4" t="inlineStr"/>
      <c r="L261" s="4" t="inlineStr">
        <is>
          <t>HNB048</t>
        </is>
      </c>
    </row>
    <row r="262">
      <c r="A262" s="4" t="inlineStr">
        <is>
          <t>HNB060</t>
        </is>
      </c>
      <c r="B262" s="4" t="inlineStr">
        <is>
          <t>C20</t>
        </is>
      </c>
      <c r="C262" s="4" t="inlineStr">
        <is>
          <t>FOCAL 2020</t>
        </is>
      </c>
      <c r="D262" s="4" t="n">
        <v>6</v>
      </c>
      <c r="E262" s="4" t="inlineStr">
        <is>
          <t>HNB048</t>
        </is>
      </c>
      <c r="F262" s="4" t="n">
        <v>2</v>
      </c>
      <c r="G262" s="4" t="inlineStr">
        <is>
          <t>2</t>
        </is>
      </c>
      <c r="H262" s="13" t="inlineStr">
        <is>
          <t>sợi nối trực tiếp → HNB048 (chưa rõ đã hàn pigtail ở ODF hai đầu)</t>
        </is>
      </c>
      <c r="I262" s="4" t="inlineStr">
        <is>
          <t>HNB048</t>
        </is>
      </c>
      <c r="J262" s="4" t="inlineStr"/>
      <c r="K262" s="4" t="inlineStr"/>
      <c r="L262" s="4" t="inlineStr">
        <is>
          <t>HNB048</t>
        </is>
      </c>
    </row>
    <row r="263">
      <c r="A263" s="4" t="inlineStr">
        <is>
          <t>HNB060</t>
        </is>
      </c>
      <c r="B263" s="4" t="inlineStr">
        <is>
          <t>C20</t>
        </is>
      </c>
      <c r="C263" s="4" t="inlineStr">
        <is>
          <t>FOCAL 2020</t>
        </is>
      </c>
      <c r="D263" s="4" t="n">
        <v>6</v>
      </c>
      <c r="E263" s="4" t="inlineStr">
        <is>
          <t>HNB048</t>
        </is>
      </c>
      <c r="F263" s="4" t="n">
        <v>3</v>
      </c>
      <c r="G263" s="4" t="inlineStr">
        <is>
          <t>3</t>
        </is>
      </c>
      <c r="H263" s="13" t="inlineStr">
        <is>
          <t>sợi nối trực tiếp → HNB048 (chưa rõ đã hàn pigtail ở ODF hai đầu)</t>
        </is>
      </c>
      <c r="I263" s="4" t="inlineStr">
        <is>
          <t>HNB048</t>
        </is>
      </c>
      <c r="J263" s="4" t="inlineStr"/>
      <c r="K263" s="4" t="inlineStr"/>
      <c r="L263" s="4" t="inlineStr">
        <is>
          <t>HNB048</t>
        </is>
      </c>
    </row>
    <row r="264">
      <c r="A264" s="4" t="inlineStr">
        <is>
          <t>HNB060</t>
        </is>
      </c>
      <c r="B264" s="4" t="inlineStr">
        <is>
          <t>C20</t>
        </is>
      </c>
      <c r="C264" s="4" t="inlineStr">
        <is>
          <t>FOCAL 2020</t>
        </is>
      </c>
      <c r="D264" s="4" t="n">
        <v>6</v>
      </c>
      <c r="E264" s="4" t="inlineStr">
        <is>
          <t>HNB048</t>
        </is>
      </c>
      <c r="F264" s="4" t="n">
        <v>4</v>
      </c>
      <c r="G264" s="4" t="inlineStr">
        <is>
          <t>4</t>
        </is>
      </c>
      <c r="H264" s="13" t="inlineStr">
        <is>
          <t>sợi nối trực tiếp → HNB048 (chưa rõ đã hàn pigtail ở ODF hai đầu)</t>
        </is>
      </c>
      <c r="I264" s="4" t="inlineStr">
        <is>
          <t>HNB048</t>
        </is>
      </c>
      <c r="J264" s="4" t="inlineStr"/>
      <c r="K264" s="4" t="inlineStr"/>
      <c r="L264" s="4" t="inlineStr">
        <is>
          <t>HNB048</t>
        </is>
      </c>
    </row>
    <row r="265">
      <c r="A265" s="4" t="inlineStr">
        <is>
          <t>HNB060</t>
        </is>
      </c>
      <c r="B265" s="4" t="inlineStr">
        <is>
          <t>C20</t>
        </is>
      </c>
      <c r="C265" s="4" t="inlineStr">
        <is>
          <t>FOCAL 2020</t>
        </is>
      </c>
      <c r="D265" s="4" t="n">
        <v>6</v>
      </c>
      <c r="E265" s="4" t="inlineStr">
        <is>
          <t>HNB048</t>
        </is>
      </c>
      <c r="F265" s="4" t="n">
        <v>5</v>
      </c>
      <c r="G265" s="4" t="inlineStr">
        <is>
          <t>5</t>
        </is>
      </c>
      <c r="H265" s="13" t="inlineStr">
        <is>
          <t>sợi nối trực tiếp → HNB048 (chưa rõ đã hàn pigtail ở ODF hai đầu)</t>
        </is>
      </c>
      <c r="I265" s="4" t="inlineStr">
        <is>
          <t>HNB048</t>
        </is>
      </c>
      <c r="J265" s="4" t="inlineStr"/>
      <c r="K265" s="4" t="inlineStr"/>
      <c r="L265" s="4" t="inlineStr">
        <is>
          <t>HNB048</t>
        </is>
      </c>
    </row>
    <row r="266">
      <c r="A266" s="4" t="inlineStr">
        <is>
          <t>HNB060</t>
        </is>
      </c>
      <c r="B266" s="4" t="inlineStr">
        <is>
          <t>C20</t>
        </is>
      </c>
      <c r="C266" s="4" t="inlineStr">
        <is>
          <t>FOCAL 2020</t>
        </is>
      </c>
      <c r="D266" s="4" t="n">
        <v>6</v>
      </c>
      <c r="E266" s="4" t="inlineStr">
        <is>
          <t>HNB048</t>
        </is>
      </c>
      <c r="F266" s="4" t="n">
        <v>6</v>
      </c>
      <c r="G266" s="4" t="inlineStr">
        <is>
          <t>6</t>
        </is>
      </c>
      <c r="H266" s="13" t="inlineStr">
        <is>
          <t>sợi nối trực tiếp → HNB048 (chưa rõ đã hàn pigtail ở ODF hai đầu)</t>
        </is>
      </c>
      <c r="I266" s="4" t="inlineStr">
        <is>
          <t>HNB048</t>
        </is>
      </c>
      <c r="J266" s="4" t="inlineStr"/>
      <c r="K266" s="4" t="inlineStr"/>
      <c r="L266" s="4" t="inlineStr">
        <is>
          <t>HNB048</t>
        </is>
      </c>
    </row>
    <row r="267">
      <c r="A267" s="4" t="inlineStr">
        <is>
          <t>HNB062</t>
        </is>
      </c>
      <c r="B267" s="4" t="inlineStr">
        <is>
          <t>C62</t>
        </is>
      </c>
      <c r="C267" s="4" t="inlineStr">
        <is>
          <t>POSTEF 1/2019</t>
        </is>
      </c>
      <c r="D267" s="4" t="n">
        <v>8</v>
      </c>
      <c r="E267" s="4" t="inlineStr">
        <is>
          <t>HNB005</t>
        </is>
      </c>
      <c r="F267" s="4" t="n">
        <v>1</v>
      </c>
      <c r="G267" s="4" t="inlineStr">
        <is>
          <t>1</t>
        </is>
      </c>
      <c r="H267" s="13" t="inlineStr">
        <is>
          <t>sợi nối trực tiếp → HNB005 (chưa rõ đã hàn pigtail ở ODF hai đầu)</t>
        </is>
      </c>
      <c r="I267" s="4" t="inlineStr">
        <is>
          <t>HNB005</t>
        </is>
      </c>
      <c r="J267" s="4" t="inlineStr"/>
      <c r="K267" s="4" t="inlineStr"/>
      <c r="L267" s="4" t="inlineStr">
        <is>
          <t>HNB005</t>
        </is>
      </c>
    </row>
    <row r="268">
      <c r="A268" s="4" t="inlineStr">
        <is>
          <t>HNB062</t>
        </is>
      </c>
      <c r="B268" s="4" t="inlineStr">
        <is>
          <t>C62</t>
        </is>
      </c>
      <c r="C268" s="4" t="inlineStr">
        <is>
          <t>POSTEF 1/2019</t>
        </is>
      </c>
      <c r="D268" s="4" t="n">
        <v>8</v>
      </c>
      <c r="E268" s="4" t="inlineStr">
        <is>
          <t>HNB005</t>
        </is>
      </c>
      <c r="F268" s="4" t="n">
        <v>2</v>
      </c>
      <c r="G268" s="4" t="inlineStr">
        <is>
          <t>2</t>
        </is>
      </c>
      <c r="H268" s="13" t="inlineStr">
        <is>
          <t>sợi nối trực tiếp → HNB005 (chưa rõ đã hàn pigtail ở ODF hai đầu)</t>
        </is>
      </c>
      <c r="I268" s="4" t="inlineStr">
        <is>
          <t>HNB005</t>
        </is>
      </c>
      <c r="J268" s="4" t="inlineStr"/>
      <c r="K268" s="4" t="inlineStr"/>
      <c r="L268" s="4" t="inlineStr">
        <is>
          <t>HNB005</t>
        </is>
      </c>
    </row>
    <row r="269">
      <c r="A269" s="4" t="inlineStr">
        <is>
          <t>HNB062</t>
        </is>
      </c>
      <c r="B269" s="4" t="inlineStr">
        <is>
          <t>C62</t>
        </is>
      </c>
      <c r="C269" s="4" t="inlineStr">
        <is>
          <t>POSTEF 1/2019</t>
        </is>
      </c>
      <c r="D269" s="4" t="n">
        <v>8</v>
      </c>
      <c r="E269" s="4" t="inlineStr">
        <is>
          <t>HNB005</t>
        </is>
      </c>
      <c r="F269" s="4" t="n">
        <v>3</v>
      </c>
      <c r="G269" s="4" t="inlineStr">
        <is>
          <t>3</t>
        </is>
      </c>
      <c r="H269" s="13" t="inlineStr">
        <is>
          <t>sợi nối trực tiếp → HNB005 (chưa rõ đã hàn pigtail ở ODF hai đầu)</t>
        </is>
      </c>
      <c r="I269" s="4" t="inlineStr">
        <is>
          <t>HNB005</t>
        </is>
      </c>
      <c r="J269" s="4" t="inlineStr"/>
      <c r="K269" s="4" t="inlineStr"/>
      <c r="L269" s="4" t="inlineStr">
        <is>
          <t>HNB005</t>
        </is>
      </c>
    </row>
    <row r="270">
      <c r="A270" s="4" t="inlineStr">
        <is>
          <t>HNB062</t>
        </is>
      </c>
      <c r="B270" s="4" t="inlineStr">
        <is>
          <t>C62</t>
        </is>
      </c>
      <c r="C270" s="4" t="inlineStr">
        <is>
          <t>POSTEF 1/2019</t>
        </is>
      </c>
      <c r="D270" s="4" t="n">
        <v>8</v>
      </c>
      <c r="E270" s="4" t="inlineStr">
        <is>
          <t>HNB005</t>
        </is>
      </c>
      <c r="F270" s="4" t="n">
        <v>4</v>
      </c>
      <c r="G270" s="4" t="inlineStr">
        <is>
          <t>4</t>
        </is>
      </c>
      <c r="H270" s="13" t="inlineStr">
        <is>
          <t>sợi nối trực tiếp → HNB005 (chưa rõ đã hàn pigtail ở ODF hai đầu)</t>
        </is>
      </c>
      <c r="I270" s="4" t="inlineStr">
        <is>
          <t>HNB005</t>
        </is>
      </c>
      <c r="J270" s="4" t="inlineStr"/>
      <c r="K270" s="4" t="inlineStr"/>
      <c r="L270" s="4" t="inlineStr">
        <is>
          <t>HNB005</t>
        </is>
      </c>
    </row>
    <row r="271">
      <c r="A271" s="4" t="inlineStr">
        <is>
          <t>HNB062</t>
        </is>
      </c>
      <c r="B271" s="4" t="inlineStr">
        <is>
          <t>C62</t>
        </is>
      </c>
      <c r="C271" s="4" t="inlineStr">
        <is>
          <t>POSTEF 1/2019</t>
        </is>
      </c>
      <c r="D271" s="4" t="n">
        <v>8</v>
      </c>
      <c r="E271" s="4" t="inlineStr">
        <is>
          <t>HNB005</t>
        </is>
      </c>
      <c r="F271" s="4" t="n">
        <v>5</v>
      </c>
      <c r="G271" s="4" t="inlineStr">
        <is>
          <t>5</t>
        </is>
      </c>
      <c r="H271" s="13" t="inlineStr">
        <is>
          <t>sợi nối trực tiếp → HNB005 (chưa rõ đã hàn pigtail ở ODF hai đầu)</t>
        </is>
      </c>
      <c r="I271" s="4" t="inlineStr">
        <is>
          <t>HNB005</t>
        </is>
      </c>
      <c r="J271" s="4" t="inlineStr"/>
      <c r="K271" s="4" t="inlineStr"/>
      <c r="L271" s="4" t="inlineStr">
        <is>
          <t>HNB005</t>
        </is>
      </c>
    </row>
    <row r="272">
      <c r="A272" s="4" t="inlineStr">
        <is>
          <t>HNB062</t>
        </is>
      </c>
      <c r="B272" s="4" t="inlineStr">
        <is>
          <t>C62</t>
        </is>
      </c>
      <c r="C272" s="4" t="inlineStr">
        <is>
          <t>POSTEF 1/2019</t>
        </is>
      </c>
      <c r="D272" s="4" t="n">
        <v>8</v>
      </c>
      <c r="E272" s="4" t="inlineStr">
        <is>
          <t>HNB005</t>
        </is>
      </c>
      <c r="F272" s="4" t="n">
        <v>6</v>
      </c>
      <c r="G272" s="4" t="inlineStr">
        <is>
          <t>6</t>
        </is>
      </c>
      <c r="H272" s="13" t="inlineStr">
        <is>
          <t>sợi nối trực tiếp → HNB005 (chưa rõ đã hàn pigtail ở ODF hai đầu)</t>
        </is>
      </c>
      <c r="I272" s="4" t="inlineStr">
        <is>
          <t>HNB005</t>
        </is>
      </c>
      <c r="J272" s="4" t="inlineStr"/>
      <c r="K272" s="4" t="inlineStr"/>
      <c r="L272" s="4" t="inlineStr">
        <is>
          <t>HNB005</t>
        </is>
      </c>
    </row>
    <row r="273">
      <c r="A273" s="4" t="inlineStr">
        <is>
          <t>HNB062</t>
        </is>
      </c>
      <c r="B273" s="4" t="inlineStr">
        <is>
          <t>C62</t>
        </is>
      </c>
      <c r="C273" s="4" t="inlineStr">
        <is>
          <t>POSTEF 1/2019</t>
        </is>
      </c>
      <c r="D273" s="4" t="n">
        <v>8</v>
      </c>
      <c r="E273" s="4" t="inlineStr">
        <is>
          <t>HNB005</t>
        </is>
      </c>
      <c r="F273" s="4" t="n">
        <v>7</v>
      </c>
      <c r="G273" s="4" t="inlineStr">
        <is>
          <t>không có cổng ODF (ODF chỉ có 6 cổng hướng này)</t>
        </is>
      </c>
      <c r="H273" s="13" t="inlineStr">
        <is>
          <t>sợi nối trực tiếp → HNB005 (chưa rõ đã hàn pigtail ở ODF hai đầu)</t>
        </is>
      </c>
      <c r="I273" s="4" t="inlineStr">
        <is>
          <t>HNB005</t>
        </is>
      </c>
      <c r="J273" s="4" t="inlineStr"/>
      <c r="K273" s="4" t="inlineStr"/>
      <c r="L273" s="4" t="inlineStr">
        <is>
          <t>HNB005</t>
        </is>
      </c>
    </row>
    <row r="274">
      <c r="A274" s="4" t="inlineStr">
        <is>
          <t>HNB062</t>
        </is>
      </c>
      <c r="B274" s="4" t="inlineStr">
        <is>
          <t>C62</t>
        </is>
      </c>
      <c r="C274" s="4" t="inlineStr">
        <is>
          <t>POSTEF 1/2019</t>
        </is>
      </c>
      <c r="D274" s="4" t="n">
        <v>8</v>
      </c>
      <c r="E274" s="4" t="inlineStr">
        <is>
          <t>HNB005</t>
        </is>
      </c>
      <c r="F274" s="4" t="n">
        <v>8</v>
      </c>
      <c r="G274" s="4" t="inlineStr">
        <is>
          <t>không có cổng ODF (ODF chỉ có 6 cổng hướng này)</t>
        </is>
      </c>
      <c r="H274" s="13" t="inlineStr">
        <is>
          <t>sợi nối trực tiếp → HNB005 (chưa rõ đã hàn pigtail ở ODF hai đầu)</t>
        </is>
      </c>
      <c r="I274" s="4" t="inlineStr">
        <is>
          <t>HNB005</t>
        </is>
      </c>
      <c r="J274" s="4" t="inlineStr"/>
      <c r="K274" s="4" t="inlineStr"/>
      <c r="L274" s="4" t="inlineStr">
        <is>
          <t>HNB005</t>
        </is>
      </c>
    </row>
    <row r="275">
      <c r="A275" s="4" t="inlineStr">
        <is>
          <t>HNB062</t>
        </is>
      </c>
      <c r="B275" s="4" t="inlineStr">
        <is>
          <t>C63</t>
        </is>
      </c>
      <c r="C275" s="4" t="inlineStr">
        <is>
          <t>ETCC-2009</t>
        </is>
      </c>
      <c r="D275" s="4" t="n">
        <v>8</v>
      </c>
      <c r="E275" s="4" t="inlineStr">
        <is>
          <t>MX thẳng 62-21</t>
        </is>
      </c>
      <c r="F275" s="4" t="n">
        <v>1</v>
      </c>
      <c r="G275" s="4" t="inlineStr">
        <is>
          <t>1</t>
        </is>
      </c>
      <c r="H275" s="11" t="inlineStr">
        <is>
          <t>đang chạy link R7-03 → HNB021</t>
        </is>
      </c>
      <c r="I275" s="4" t="inlineStr">
        <is>
          <t>HNB021</t>
        </is>
      </c>
      <c r="J275" s="4" t="inlineStr">
        <is>
          <t>R7-03</t>
        </is>
      </c>
      <c r="K275" s="4" t="inlineStr">
        <is>
          <t>mô tả</t>
        </is>
      </c>
      <c r="L275" s="4" t="inlineStr">
        <is>
          <t>MX thẳng 62-21→HNB021</t>
        </is>
      </c>
    </row>
    <row r="276">
      <c r="A276" s="4" t="inlineStr">
        <is>
          <t>HNB062</t>
        </is>
      </c>
      <c r="B276" s="4" t="inlineStr">
        <is>
          <t>C63</t>
        </is>
      </c>
      <c r="C276" s="4" t="inlineStr">
        <is>
          <t>ETCC-2009</t>
        </is>
      </c>
      <c r="D276" s="4" t="n">
        <v>8</v>
      </c>
      <c r="E276" s="4" t="inlineStr">
        <is>
          <t>MX thẳng 62-21</t>
        </is>
      </c>
      <c r="F276" s="4" t="n">
        <v>2</v>
      </c>
      <c r="G276" s="4" t="inlineStr">
        <is>
          <t>2</t>
        </is>
      </c>
      <c r="H276" s="11" t="inlineStr">
        <is>
          <t>đang chạy link R7-03 → HNB021</t>
        </is>
      </c>
      <c r="I276" s="4" t="inlineStr">
        <is>
          <t>HNB021</t>
        </is>
      </c>
      <c r="J276" s="4" t="inlineStr">
        <is>
          <t>R7-03</t>
        </is>
      </c>
      <c r="K276" s="4" t="inlineStr">
        <is>
          <t>mô tả</t>
        </is>
      </c>
      <c r="L276" s="4" t="inlineStr">
        <is>
          <t>MX thẳng 62-21→HNB021</t>
        </is>
      </c>
    </row>
    <row r="277">
      <c r="A277" s="4" t="inlineStr">
        <is>
          <t>HNB062</t>
        </is>
      </c>
      <c r="B277" s="4" t="inlineStr">
        <is>
          <t>C63</t>
        </is>
      </c>
      <c r="C277" s="4" t="inlineStr">
        <is>
          <t>ETCC-2009</t>
        </is>
      </c>
      <c r="D277" s="4" t="n">
        <v>8</v>
      </c>
      <c r="E277" s="4" t="inlineStr">
        <is>
          <t>MX thẳng 62-21</t>
        </is>
      </c>
      <c r="F277" s="4" t="n">
        <v>3</v>
      </c>
      <c r="G277" s="4" t="inlineStr">
        <is>
          <t>3</t>
        </is>
      </c>
      <c r="H277" s="13" t="inlineStr">
        <is>
          <t>hàn thông (MX thẳng, theo số mối hàn) → HNB021</t>
        </is>
      </c>
      <c r="I277" s="4" t="inlineStr">
        <is>
          <t>HNB021</t>
        </is>
      </c>
      <c r="J277" s="4" t="inlineStr"/>
      <c r="K277" s="4" t="inlineStr">
        <is>
          <t>MX thẳng (số mối hàn)</t>
        </is>
      </c>
      <c r="L277" s="4" t="inlineStr">
        <is>
          <t>MX thẳng 62-21→HNB021</t>
        </is>
      </c>
    </row>
    <row r="278">
      <c r="A278" s="4" t="inlineStr">
        <is>
          <t>HNB062</t>
        </is>
      </c>
      <c r="B278" s="4" t="inlineStr">
        <is>
          <t>C63</t>
        </is>
      </c>
      <c r="C278" s="4" t="inlineStr">
        <is>
          <t>ETCC-2009</t>
        </is>
      </c>
      <c r="D278" s="4" t="n">
        <v>8</v>
      </c>
      <c r="E278" s="4" t="inlineStr">
        <is>
          <t>MX thẳng 62-21</t>
        </is>
      </c>
      <c r="F278" s="4" t="n">
        <v>4</v>
      </c>
      <c r="G278" s="4" t="inlineStr">
        <is>
          <t>4</t>
        </is>
      </c>
      <c r="H278" s="13" t="inlineStr">
        <is>
          <t>hàn thông (MX thẳng, theo số mối hàn) → HNB021</t>
        </is>
      </c>
      <c r="I278" s="4" t="inlineStr">
        <is>
          <t>HNB021</t>
        </is>
      </c>
      <c r="J278" s="4" t="inlineStr"/>
      <c r="K278" s="4" t="inlineStr">
        <is>
          <t>MX thẳng (số mối hàn)</t>
        </is>
      </c>
      <c r="L278" s="4" t="inlineStr">
        <is>
          <t>MX thẳng 62-21→HNB021</t>
        </is>
      </c>
    </row>
    <row r="279">
      <c r="A279" s="4" t="inlineStr">
        <is>
          <t>HNB062</t>
        </is>
      </c>
      <c r="B279" s="4" t="inlineStr">
        <is>
          <t>C63</t>
        </is>
      </c>
      <c r="C279" s="4" t="inlineStr">
        <is>
          <t>ETCC-2009</t>
        </is>
      </c>
      <c r="D279" s="4" t="n">
        <v>8</v>
      </c>
      <c r="E279" s="4" t="inlineStr">
        <is>
          <t>MX thẳng 62-21</t>
        </is>
      </c>
      <c r="F279" s="4" t="n">
        <v>5</v>
      </c>
      <c r="G279" s="4" t="inlineStr">
        <is>
          <t>5</t>
        </is>
      </c>
      <c r="H279" s="13" t="inlineStr">
        <is>
          <t>hàn thông (MX thẳng, theo số mối hàn) → HNB021</t>
        </is>
      </c>
      <c r="I279" s="4" t="inlineStr">
        <is>
          <t>HNB021</t>
        </is>
      </c>
      <c r="J279" s="4" t="inlineStr"/>
      <c r="K279" s="4" t="inlineStr">
        <is>
          <t>MX thẳng (số mối hàn)</t>
        </is>
      </c>
      <c r="L279" s="4" t="inlineStr">
        <is>
          <t>MX thẳng 62-21→HNB021</t>
        </is>
      </c>
    </row>
    <row r="280">
      <c r="A280" s="4" t="inlineStr">
        <is>
          <t>HNB062</t>
        </is>
      </c>
      <c r="B280" s="4" t="inlineStr">
        <is>
          <t>C63</t>
        </is>
      </c>
      <c r="C280" s="4" t="inlineStr">
        <is>
          <t>ETCC-2009</t>
        </is>
      </c>
      <c r="D280" s="4" t="n">
        <v>8</v>
      </c>
      <c r="E280" s="4" t="inlineStr">
        <is>
          <t>MX thẳng 62-21</t>
        </is>
      </c>
      <c r="F280" s="4" t="n">
        <v>6</v>
      </c>
      <c r="G280" s="4" t="inlineStr">
        <is>
          <t>6</t>
        </is>
      </c>
      <c r="H280" s="13" t="inlineStr">
        <is>
          <t>hàn thông (MX thẳng, theo số mối hàn) → HNB021</t>
        </is>
      </c>
      <c r="I280" s="4" t="inlineStr">
        <is>
          <t>HNB021</t>
        </is>
      </c>
      <c r="J280" s="4" t="inlineStr"/>
      <c r="K280" s="4" t="inlineStr">
        <is>
          <t>MX thẳng (số mối hàn)</t>
        </is>
      </c>
      <c r="L280" s="4" t="inlineStr">
        <is>
          <t>MX thẳng 62-21→HNB021</t>
        </is>
      </c>
    </row>
    <row r="281">
      <c r="A281" s="4" t="inlineStr">
        <is>
          <t>HNB062</t>
        </is>
      </c>
      <c r="B281" s="4" t="inlineStr">
        <is>
          <t>C63</t>
        </is>
      </c>
      <c r="C281" s="4" t="inlineStr">
        <is>
          <t>ETCC-2009</t>
        </is>
      </c>
      <c r="D281" s="4" t="n">
        <v>8</v>
      </c>
      <c r="E281" s="4" t="inlineStr">
        <is>
          <t>MX thẳng 62-21</t>
        </is>
      </c>
      <c r="F281" s="4" t="n">
        <v>7</v>
      </c>
      <c r="G281" s="4" t="inlineStr">
        <is>
          <t>không có cổng ODF (ODF chỉ có 6 cổng hướng này)</t>
        </is>
      </c>
      <c r="H281" s="13" t="inlineStr">
        <is>
          <t>hàn thông (MX thẳng, theo số mối hàn) → HNB021</t>
        </is>
      </c>
      <c r="I281" s="4" t="inlineStr">
        <is>
          <t>HNB021</t>
        </is>
      </c>
      <c r="J281" s="4" t="inlineStr"/>
      <c r="K281" s="4" t="inlineStr">
        <is>
          <t>MX thẳng (số mối hàn)</t>
        </is>
      </c>
      <c r="L281" s="4" t="inlineStr">
        <is>
          <t>MX thẳng 62-21→HNB021</t>
        </is>
      </c>
    </row>
    <row r="282">
      <c r="A282" s="4" t="inlineStr">
        <is>
          <t>HNB062</t>
        </is>
      </c>
      <c r="B282" s="4" t="inlineStr">
        <is>
          <t>C63</t>
        </is>
      </c>
      <c r="C282" s="4" t="inlineStr">
        <is>
          <t>ETCC-2009</t>
        </is>
      </c>
      <c r="D282" s="4" t="n">
        <v>8</v>
      </c>
      <c r="E282" s="4" t="inlineStr">
        <is>
          <t>MX thẳng 62-21</t>
        </is>
      </c>
      <c r="F282" s="4" t="n">
        <v>8</v>
      </c>
      <c r="G282" s="4" t="inlineStr">
        <is>
          <t>không có cổng ODF (ODF chỉ có 6 cổng hướng này)</t>
        </is>
      </c>
      <c r="H282" s="13" t="inlineStr">
        <is>
          <t>hàn thông (MX thẳng, theo số mối hàn) → HNB021</t>
        </is>
      </c>
      <c r="I282" s="4" t="inlineStr">
        <is>
          <t>HNB021</t>
        </is>
      </c>
      <c r="J282" s="4" t="inlineStr"/>
      <c r="K282" s="4" t="inlineStr">
        <is>
          <t>MX thẳng (số mối hàn)</t>
        </is>
      </c>
      <c r="L282" s="4" t="inlineStr">
        <is>
          <t>MX thẳng 62-21→HNB021</t>
        </is>
      </c>
    </row>
    <row r="283">
      <c r="A283" s="4" t="inlineStr">
        <is>
          <t>HNB065</t>
        </is>
      </c>
      <c r="B283" s="4" t="inlineStr">
        <is>
          <t>C51</t>
        </is>
      </c>
      <c r="C283" s="4" t="inlineStr">
        <is>
          <t>SACOM 3/2016</t>
        </is>
      </c>
      <c r="D283" s="4" t="n">
        <v>8</v>
      </c>
      <c r="E283" s="4" t="inlineStr">
        <is>
          <t>MX_LVL-02</t>
        </is>
      </c>
      <c r="F283" s="4" t="n">
        <v>1</v>
      </c>
      <c r="G283" s="4" t="inlineStr">
        <is>
          <t>1</t>
        </is>
      </c>
      <c r="H283" s="11" t="inlineStr">
        <is>
          <t>đang chạy link R3-03 → HNB094</t>
        </is>
      </c>
      <c r="I283" s="4" t="inlineStr">
        <is>
          <t>HNB094</t>
        </is>
      </c>
      <c r="J283" s="4" t="inlineStr">
        <is>
          <t>R3-03</t>
        </is>
      </c>
      <c r="K283" s="4" t="inlineStr">
        <is>
          <t>mô tả</t>
        </is>
      </c>
      <c r="L283" s="4" t="inlineStr">
        <is>
          <t>MX_LVL-02→MX thẳng đi LVL→MX_LVL-03→HNB094</t>
        </is>
      </c>
    </row>
    <row r="284">
      <c r="A284" s="4" t="inlineStr">
        <is>
          <t>HNB065</t>
        </is>
      </c>
      <c r="B284" s="4" t="inlineStr">
        <is>
          <t>C51</t>
        </is>
      </c>
      <c r="C284" s="4" t="inlineStr">
        <is>
          <t>SACOM 3/2016</t>
        </is>
      </c>
      <c r="D284" s="4" t="n">
        <v>8</v>
      </c>
      <c r="E284" s="4" t="inlineStr">
        <is>
          <t>MX_LVL-02</t>
        </is>
      </c>
      <c r="F284" s="4" t="n">
        <v>2</v>
      </c>
      <c r="G284" s="4" t="inlineStr">
        <is>
          <t>2</t>
        </is>
      </c>
      <c r="H284" s="11" t="inlineStr">
        <is>
          <t>đang chạy link R3-03 → HNB094</t>
        </is>
      </c>
      <c r="I284" s="4" t="inlineStr">
        <is>
          <t>HNB094</t>
        </is>
      </c>
      <c r="J284" s="4" t="inlineStr">
        <is>
          <t>R3-03</t>
        </is>
      </c>
      <c r="K284" s="4" t="inlineStr">
        <is>
          <t>mô tả</t>
        </is>
      </c>
      <c r="L284" s="4" t="inlineStr">
        <is>
          <t>MX_LVL-02→MX thẳng đi LVL→MX_LVL-03→HNB094</t>
        </is>
      </c>
    </row>
    <row r="285">
      <c r="A285" s="4" t="inlineStr">
        <is>
          <t>HNB065</t>
        </is>
      </c>
      <c r="B285" s="4" t="inlineStr">
        <is>
          <t>C51</t>
        </is>
      </c>
      <c r="C285" s="4" t="inlineStr">
        <is>
          <t>SACOM 3/2016</t>
        </is>
      </c>
      <c r="D285" s="4" t="n">
        <v>8</v>
      </c>
      <c r="E285" s="4" t="inlineStr">
        <is>
          <t>MX_LVL-02</t>
        </is>
      </c>
      <c r="F285" s="4" t="n">
        <v>3</v>
      </c>
      <c r="G285" s="4" t="inlineStr">
        <is>
          <t>3</t>
        </is>
      </c>
      <c r="H285" s="12" t="inlineStr">
        <is>
          <t>chưa ghi hàn tại MX_LVL-02 (dự phòng / chưa rõ / không hàn)</t>
        </is>
      </c>
      <c r="I285" s="4" t="inlineStr"/>
      <c r="J285" s="4" t="inlineStr"/>
      <c r="K285" s="4" t="inlineStr"/>
      <c r="L285" s="4" t="inlineStr">
        <is>
          <t>MX_LVL-02</t>
        </is>
      </c>
    </row>
    <row r="286">
      <c r="A286" s="4" t="inlineStr">
        <is>
          <t>HNB065</t>
        </is>
      </c>
      <c r="B286" s="4" t="inlineStr">
        <is>
          <t>C51</t>
        </is>
      </c>
      <c r="C286" s="4" t="inlineStr">
        <is>
          <t>SACOM 3/2016</t>
        </is>
      </c>
      <c r="D286" s="4" t="n">
        <v>8</v>
      </c>
      <c r="E286" s="4" t="inlineStr">
        <is>
          <t>MX_LVL-02</t>
        </is>
      </c>
      <c r="F286" s="4" t="n">
        <v>4</v>
      </c>
      <c r="G286" s="4" t="inlineStr">
        <is>
          <t>4</t>
        </is>
      </c>
      <c r="H286" s="12" t="inlineStr">
        <is>
          <t>chưa ghi hàn tại MX_LVL-02 (dự phòng / chưa rõ / không hàn)</t>
        </is>
      </c>
      <c r="I286" s="4" t="inlineStr"/>
      <c r="J286" s="4" t="inlineStr"/>
      <c r="K286" s="4" t="inlineStr"/>
      <c r="L286" s="4" t="inlineStr">
        <is>
          <t>MX_LVL-02</t>
        </is>
      </c>
    </row>
    <row r="287">
      <c r="A287" s="4" t="inlineStr">
        <is>
          <t>HNB065</t>
        </is>
      </c>
      <c r="B287" s="4" t="inlineStr">
        <is>
          <t>C51</t>
        </is>
      </c>
      <c r="C287" s="4" t="inlineStr">
        <is>
          <t>SACOM 3/2016</t>
        </is>
      </c>
      <c r="D287" s="4" t="n">
        <v>8</v>
      </c>
      <c r="E287" s="4" t="inlineStr">
        <is>
          <t>MX_LVL-02</t>
        </is>
      </c>
      <c r="F287" s="4" t="n">
        <v>5</v>
      </c>
      <c r="G287" s="4" t="inlineStr">
        <is>
          <t>5</t>
        </is>
      </c>
      <c r="H287" s="12" t="inlineStr">
        <is>
          <t>chưa ghi hàn tại MX_LVL-02 (dự phòng / chưa rõ / không hàn)</t>
        </is>
      </c>
      <c r="I287" s="4" t="inlineStr"/>
      <c r="J287" s="4" t="inlineStr"/>
      <c r="K287" s="4" t="inlineStr"/>
      <c r="L287" s="4" t="inlineStr">
        <is>
          <t>MX_LVL-02</t>
        </is>
      </c>
    </row>
    <row r="288">
      <c r="A288" s="4" t="inlineStr">
        <is>
          <t>HNB065</t>
        </is>
      </c>
      <c r="B288" s="4" t="inlineStr">
        <is>
          <t>C51</t>
        </is>
      </c>
      <c r="C288" s="4" t="inlineStr">
        <is>
          <t>SACOM 3/2016</t>
        </is>
      </c>
      <c r="D288" s="4" t="n">
        <v>8</v>
      </c>
      <c r="E288" s="4" t="inlineStr">
        <is>
          <t>MX_LVL-02</t>
        </is>
      </c>
      <c r="F288" s="4" t="n">
        <v>6</v>
      </c>
      <c r="G288" s="4" t="inlineStr">
        <is>
          <t>6</t>
        </is>
      </c>
      <c r="H288" s="12" t="inlineStr">
        <is>
          <t>chưa ghi hàn tại MX_LVL-02 (dự phòng / chưa rõ / không hàn)</t>
        </is>
      </c>
      <c r="I288" s="4" t="inlineStr"/>
      <c r="J288" s="4" t="inlineStr"/>
      <c r="K288" s="4" t="inlineStr"/>
      <c r="L288" s="4" t="inlineStr">
        <is>
          <t>MX_LVL-02</t>
        </is>
      </c>
    </row>
    <row r="289">
      <c r="A289" s="4" t="inlineStr">
        <is>
          <t>HNB065</t>
        </is>
      </c>
      <c r="B289" s="4" t="inlineStr">
        <is>
          <t>C51</t>
        </is>
      </c>
      <c r="C289" s="4" t="inlineStr">
        <is>
          <t>SACOM 3/2016</t>
        </is>
      </c>
      <c r="D289" s="4" t="n">
        <v>8</v>
      </c>
      <c r="E289" s="4" t="inlineStr">
        <is>
          <t>MX_LVL-02</t>
        </is>
      </c>
      <c r="F289" s="4" t="n">
        <v>7</v>
      </c>
      <c r="G289" s="4" t="inlineStr">
        <is>
          <t>không có cổng ODF (ODF chỉ có 6 cổng hướng này)</t>
        </is>
      </c>
      <c r="H289" s="12" t="inlineStr">
        <is>
          <t>chưa ghi hàn tại MX_LVL-02 (dự phòng / chưa rõ / không hàn)</t>
        </is>
      </c>
      <c r="I289" s="4" t="inlineStr"/>
      <c r="J289" s="4" t="inlineStr"/>
      <c r="K289" s="4" t="inlineStr"/>
      <c r="L289" s="4" t="inlineStr">
        <is>
          <t>MX_LVL-02</t>
        </is>
      </c>
    </row>
    <row r="290">
      <c r="A290" s="4" t="inlineStr">
        <is>
          <t>HNB065</t>
        </is>
      </c>
      <c r="B290" s="4" t="inlineStr">
        <is>
          <t>C51</t>
        </is>
      </c>
      <c r="C290" s="4" t="inlineStr">
        <is>
          <t>SACOM 3/2016</t>
        </is>
      </c>
      <c r="D290" s="4" t="n">
        <v>8</v>
      </c>
      <c r="E290" s="4" t="inlineStr">
        <is>
          <t>MX_LVL-02</t>
        </is>
      </c>
      <c r="F290" s="4" t="n">
        <v>8</v>
      </c>
      <c r="G290" s="4" t="inlineStr">
        <is>
          <t>không có cổng ODF (ODF chỉ có 6 cổng hướng này)</t>
        </is>
      </c>
      <c r="H290" s="12" t="inlineStr">
        <is>
          <t>chưa ghi hàn tại MX_LVL-02 (dự phòng / chưa rõ / không hàn)</t>
        </is>
      </c>
      <c r="I290" s="4" t="inlineStr"/>
      <c r="J290" s="4" t="inlineStr"/>
      <c r="K290" s="4" t="inlineStr"/>
      <c r="L290" s="4" t="inlineStr">
        <is>
          <t>MX_LVL-02</t>
        </is>
      </c>
    </row>
    <row r="291">
      <c r="A291" s="4" t="inlineStr">
        <is>
          <t>HNB065</t>
        </is>
      </c>
      <c r="B291" s="4" t="inlineStr">
        <is>
          <t>C57</t>
        </is>
      </c>
      <c r="C291" s="4" t="inlineStr">
        <is>
          <t>POSTEF 6/2019</t>
        </is>
      </c>
      <c r="D291" s="4" t="n">
        <v>8</v>
      </c>
      <c r="E291" s="4" t="inlineStr">
        <is>
          <t>HNB055</t>
        </is>
      </c>
      <c r="F291" s="4" t="n">
        <v>1</v>
      </c>
      <c r="G291" s="4" t="inlineStr">
        <is>
          <t>1</t>
        </is>
      </c>
      <c r="H291" s="13" t="inlineStr">
        <is>
          <t>sợi nối trực tiếp → HNB055 (chưa rõ đã hàn pigtail ở ODF hai đầu)</t>
        </is>
      </c>
      <c r="I291" s="4" t="inlineStr">
        <is>
          <t>HNB055</t>
        </is>
      </c>
      <c r="J291" s="4" t="inlineStr"/>
      <c r="K291" s="4" t="inlineStr"/>
      <c r="L291" s="4" t="inlineStr">
        <is>
          <t>HNB055</t>
        </is>
      </c>
    </row>
    <row r="292">
      <c r="A292" s="4" t="inlineStr">
        <is>
          <t>HNB065</t>
        </is>
      </c>
      <c r="B292" s="4" t="inlineStr">
        <is>
          <t>C57</t>
        </is>
      </c>
      <c r="C292" s="4" t="inlineStr">
        <is>
          <t>POSTEF 6/2019</t>
        </is>
      </c>
      <c r="D292" s="4" t="n">
        <v>8</v>
      </c>
      <c r="E292" s="4" t="inlineStr">
        <is>
          <t>HNB055</t>
        </is>
      </c>
      <c r="F292" s="4" t="n">
        <v>2</v>
      </c>
      <c r="G292" s="4" t="inlineStr">
        <is>
          <t>2</t>
        </is>
      </c>
      <c r="H292" s="13" t="inlineStr">
        <is>
          <t>sợi nối trực tiếp → HNB055 (chưa rõ đã hàn pigtail ở ODF hai đầu)</t>
        </is>
      </c>
      <c r="I292" s="4" t="inlineStr">
        <is>
          <t>HNB055</t>
        </is>
      </c>
      <c r="J292" s="4" t="inlineStr"/>
      <c r="K292" s="4" t="inlineStr"/>
      <c r="L292" s="4" t="inlineStr">
        <is>
          <t>HNB055</t>
        </is>
      </c>
    </row>
    <row r="293">
      <c r="A293" s="4" t="inlineStr">
        <is>
          <t>HNB065</t>
        </is>
      </c>
      <c r="B293" s="4" t="inlineStr">
        <is>
          <t>C57</t>
        </is>
      </c>
      <c r="C293" s="4" t="inlineStr">
        <is>
          <t>POSTEF 6/2019</t>
        </is>
      </c>
      <c r="D293" s="4" t="n">
        <v>8</v>
      </c>
      <c r="E293" s="4" t="inlineStr">
        <is>
          <t>HNB055</t>
        </is>
      </c>
      <c r="F293" s="4" t="n">
        <v>3</v>
      </c>
      <c r="G293" s="4" t="inlineStr">
        <is>
          <t>3</t>
        </is>
      </c>
      <c r="H293" s="13" t="inlineStr">
        <is>
          <t>sợi nối trực tiếp → HNB055 (chưa rõ đã hàn pigtail ở ODF hai đầu)</t>
        </is>
      </c>
      <c r="I293" s="4" t="inlineStr">
        <is>
          <t>HNB055</t>
        </is>
      </c>
      <c r="J293" s="4" t="inlineStr"/>
      <c r="K293" s="4" t="inlineStr"/>
      <c r="L293" s="4" t="inlineStr">
        <is>
          <t>HNB055</t>
        </is>
      </c>
    </row>
    <row r="294">
      <c r="A294" s="4" t="inlineStr">
        <is>
          <t>HNB065</t>
        </is>
      </c>
      <c r="B294" s="4" t="inlineStr">
        <is>
          <t>C57</t>
        </is>
      </c>
      <c r="C294" s="4" t="inlineStr">
        <is>
          <t>POSTEF 6/2019</t>
        </is>
      </c>
      <c r="D294" s="4" t="n">
        <v>8</v>
      </c>
      <c r="E294" s="4" t="inlineStr">
        <is>
          <t>HNB055</t>
        </is>
      </c>
      <c r="F294" s="4" t="n">
        <v>4</v>
      </c>
      <c r="G294" s="4" t="inlineStr">
        <is>
          <t>4</t>
        </is>
      </c>
      <c r="H294" s="13" t="inlineStr">
        <is>
          <t>sợi nối trực tiếp → HNB055 (chưa rõ đã hàn pigtail ở ODF hai đầu)</t>
        </is>
      </c>
      <c r="I294" s="4" t="inlineStr">
        <is>
          <t>HNB055</t>
        </is>
      </c>
      <c r="J294" s="4" t="inlineStr"/>
      <c r="K294" s="4" t="inlineStr"/>
      <c r="L294" s="4" t="inlineStr">
        <is>
          <t>HNB055</t>
        </is>
      </c>
    </row>
    <row r="295">
      <c r="A295" s="4" t="inlineStr">
        <is>
          <t>HNB065</t>
        </is>
      </c>
      <c r="B295" s="4" t="inlineStr">
        <is>
          <t>C57</t>
        </is>
      </c>
      <c r="C295" s="4" t="inlineStr">
        <is>
          <t>POSTEF 6/2019</t>
        </is>
      </c>
      <c r="D295" s="4" t="n">
        <v>8</v>
      </c>
      <c r="E295" s="4" t="inlineStr">
        <is>
          <t>HNB055</t>
        </is>
      </c>
      <c r="F295" s="4" t="n">
        <v>5</v>
      </c>
      <c r="G295" s="4" t="inlineStr">
        <is>
          <t>5</t>
        </is>
      </c>
      <c r="H295" s="13" t="inlineStr">
        <is>
          <t>sợi nối trực tiếp → HNB055 (chưa rõ đã hàn pigtail ở ODF hai đầu)</t>
        </is>
      </c>
      <c r="I295" s="4" t="inlineStr">
        <is>
          <t>HNB055</t>
        </is>
      </c>
      <c r="J295" s="4" t="inlineStr"/>
      <c r="K295" s="4" t="inlineStr"/>
      <c r="L295" s="4" t="inlineStr">
        <is>
          <t>HNB055</t>
        </is>
      </c>
    </row>
    <row r="296">
      <c r="A296" s="4" t="inlineStr">
        <is>
          <t>HNB065</t>
        </is>
      </c>
      <c r="B296" s="4" t="inlineStr">
        <is>
          <t>C57</t>
        </is>
      </c>
      <c r="C296" s="4" t="inlineStr">
        <is>
          <t>POSTEF 6/2019</t>
        </is>
      </c>
      <c r="D296" s="4" t="n">
        <v>8</v>
      </c>
      <c r="E296" s="4" t="inlineStr">
        <is>
          <t>HNB055</t>
        </is>
      </c>
      <c r="F296" s="4" t="n">
        <v>6</v>
      </c>
      <c r="G296" s="4" t="inlineStr">
        <is>
          <t>6</t>
        </is>
      </c>
      <c r="H296" s="13" t="inlineStr">
        <is>
          <t>sợi nối trực tiếp → HNB055 (chưa rõ đã hàn pigtail ở ODF hai đầu)</t>
        </is>
      </c>
      <c r="I296" s="4" t="inlineStr">
        <is>
          <t>HNB055</t>
        </is>
      </c>
      <c r="J296" s="4" t="inlineStr"/>
      <c r="K296" s="4" t="inlineStr"/>
      <c r="L296" s="4" t="inlineStr">
        <is>
          <t>HNB055</t>
        </is>
      </c>
    </row>
    <row r="297">
      <c r="A297" s="4" t="inlineStr">
        <is>
          <t>HNB065</t>
        </is>
      </c>
      <c r="B297" s="4" t="inlineStr">
        <is>
          <t>C57</t>
        </is>
      </c>
      <c r="C297" s="4" t="inlineStr">
        <is>
          <t>POSTEF 6/2019</t>
        </is>
      </c>
      <c r="D297" s="4" t="n">
        <v>8</v>
      </c>
      <c r="E297" s="4" t="inlineStr">
        <is>
          <t>HNB055</t>
        </is>
      </c>
      <c r="F297" s="4" t="n">
        <v>7</v>
      </c>
      <c r="G297" s="4" t="inlineStr">
        <is>
          <t>không có cổng ODF (ODF chỉ có 6 cổng hướng này)</t>
        </is>
      </c>
      <c r="H297" s="13" t="inlineStr">
        <is>
          <t>sợi nối trực tiếp → HNB055 (chưa rõ đã hàn pigtail ở ODF hai đầu)</t>
        </is>
      </c>
      <c r="I297" s="4" t="inlineStr">
        <is>
          <t>HNB055</t>
        </is>
      </c>
      <c r="J297" s="4" t="inlineStr"/>
      <c r="K297" s="4" t="inlineStr"/>
      <c r="L297" s="4" t="inlineStr">
        <is>
          <t>HNB055</t>
        </is>
      </c>
    </row>
    <row r="298">
      <c r="A298" s="4" t="inlineStr">
        <is>
          <t>HNB065</t>
        </is>
      </c>
      <c r="B298" s="4" t="inlineStr">
        <is>
          <t>C57</t>
        </is>
      </c>
      <c r="C298" s="4" t="inlineStr">
        <is>
          <t>POSTEF 6/2019</t>
        </is>
      </c>
      <c r="D298" s="4" t="n">
        <v>8</v>
      </c>
      <c r="E298" s="4" t="inlineStr">
        <is>
          <t>HNB055</t>
        </is>
      </c>
      <c r="F298" s="4" t="n">
        <v>8</v>
      </c>
      <c r="G298" s="4" t="inlineStr">
        <is>
          <t>không có cổng ODF (ODF chỉ có 6 cổng hướng này)</t>
        </is>
      </c>
      <c r="H298" s="13" t="inlineStr">
        <is>
          <t>sợi nối trực tiếp → HNB055 (chưa rõ đã hàn pigtail ở ODF hai đầu)</t>
        </is>
      </c>
      <c r="I298" s="4" t="inlineStr">
        <is>
          <t>HNB055</t>
        </is>
      </c>
      <c r="J298" s="4" t="inlineStr"/>
      <c r="K298" s="4" t="inlineStr"/>
      <c r="L298" s="4" t="inlineStr">
        <is>
          <t>HNB055</t>
        </is>
      </c>
    </row>
    <row r="299">
      <c r="A299" s="4" t="inlineStr">
        <is>
          <t>HNB066</t>
        </is>
      </c>
      <c r="B299" s="4" t="inlineStr">
        <is>
          <t>C45</t>
        </is>
      </c>
      <c r="C299" s="4" t="inlineStr">
        <is>
          <t>POSTEF 2016</t>
        </is>
      </c>
      <c r="D299" s="4" t="n">
        <v>8</v>
      </c>
      <c r="E299" s="4" t="inlineStr">
        <is>
          <t>MX_HTP-01</t>
        </is>
      </c>
      <c r="F299" s="4" t="n">
        <v>1</v>
      </c>
      <c r="G299" s="4" t="inlineStr">
        <is>
          <t>1</t>
        </is>
      </c>
      <c r="H299" s="11" t="inlineStr">
        <is>
          <t>đang chạy link R8-01 → NBE12</t>
        </is>
      </c>
      <c r="I299" s="4" t="inlineStr">
        <is>
          <t>NBE12</t>
        </is>
      </c>
      <c r="J299" s="4" t="inlineStr">
        <is>
          <t>R8-01</t>
        </is>
      </c>
      <c r="K299" s="4" t="inlineStr">
        <is>
          <t>mô tả</t>
        </is>
      </c>
      <c r="L299" s="4" t="inlineStr">
        <is>
          <t>MX_HTP-01→MX_LVL-03→MX_LVL-04→MX_LVL-05→MX_NVT_02B→MX_NVT_02A→MX_NVT_01→MX nhập đài Long Thới–NVT→VNPT Long Thới (ODF-02 NBE12)</t>
        </is>
      </c>
    </row>
    <row r="300">
      <c r="A300" s="4" t="inlineStr">
        <is>
          <t>HNB066</t>
        </is>
      </c>
      <c r="B300" s="4" t="inlineStr">
        <is>
          <t>C45</t>
        </is>
      </c>
      <c r="C300" s="4" t="inlineStr">
        <is>
          <t>POSTEF 2016</t>
        </is>
      </c>
      <c r="D300" s="4" t="n">
        <v>8</v>
      </c>
      <c r="E300" s="4" t="inlineStr">
        <is>
          <t>MX_HTP-01</t>
        </is>
      </c>
      <c r="F300" s="4" t="n">
        <v>2</v>
      </c>
      <c r="G300" s="4" t="inlineStr">
        <is>
          <t>2</t>
        </is>
      </c>
      <c r="H300" s="11" t="inlineStr">
        <is>
          <t>đang chạy link R8-01 → NBE12</t>
        </is>
      </c>
      <c r="I300" s="4" t="inlineStr">
        <is>
          <t>NBE12</t>
        </is>
      </c>
      <c r="J300" s="4" t="inlineStr">
        <is>
          <t>R8-01</t>
        </is>
      </c>
      <c r="K300" s="4" t="inlineStr">
        <is>
          <t>mô tả</t>
        </is>
      </c>
      <c r="L300" s="4" t="inlineStr">
        <is>
          <t>MX_HTP-01→MX_LVL-03→MX_LVL-04→MX_LVL-05→MX_NVT_02B→MX_NVT_02A→MX_NVT_01→MX nhập đài Long Thới–NVT→VNPT Long Thới (ODF-02 NBE12)</t>
        </is>
      </c>
    </row>
    <row r="301">
      <c r="A301" s="4" t="inlineStr">
        <is>
          <t>HNB066</t>
        </is>
      </c>
      <c r="B301" s="4" t="inlineStr">
        <is>
          <t>C45</t>
        </is>
      </c>
      <c r="C301" s="4" t="inlineStr">
        <is>
          <t>POSTEF 2016</t>
        </is>
      </c>
      <c r="D301" s="4" t="n">
        <v>8</v>
      </c>
      <c r="E301" s="4" t="inlineStr">
        <is>
          <t>MX_HTP-01</t>
        </is>
      </c>
      <c r="F301" s="4" t="n">
        <v>3</v>
      </c>
      <c r="G301" s="4" t="inlineStr">
        <is>
          <t>3</t>
        </is>
      </c>
      <c r="H301" s="12" t="inlineStr">
        <is>
          <t>chưa ghi hàn tại MX_HTP-01 (dự phòng / chưa rõ / không hàn)</t>
        </is>
      </c>
      <c r="I301" s="4" t="inlineStr"/>
      <c r="J301" s="4" t="inlineStr"/>
      <c r="K301" s="4" t="inlineStr"/>
      <c r="L301" s="4" t="inlineStr">
        <is>
          <t>MX_HTP-01</t>
        </is>
      </c>
    </row>
    <row r="302">
      <c r="A302" s="4" t="inlineStr">
        <is>
          <t>HNB066</t>
        </is>
      </c>
      <c r="B302" s="4" t="inlineStr">
        <is>
          <t>C45</t>
        </is>
      </c>
      <c r="C302" s="4" t="inlineStr">
        <is>
          <t>POSTEF 2016</t>
        </is>
      </c>
      <c r="D302" s="4" t="n">
        <v>8</v>
      </c>
      <c r="E302" s="4" t="inlineStr">
        <is>
          <t>MX_HTP-01</t>
        </is>
      </c>
      <c r="F302" s="4" t="n">
        <v>4</v>
      </c>
      <c r="G302" s="4" t="inlineStr">
        <is>
          <t>4</t>
        </is>
      </c>
      <c r="H302" s="12" t="inlineStr">
        <is>
          <t>chưa ghi hàn tại MX_HTP-01 (dự phòng / chưa rõ / không hàn)</t>
        </is>
      </c>
      <c r="I302" s="4" t="inlineStr"/>
      <c r="J302" s="4" t="inlineStr"/>
      <c r="K302" s="4" t="inlineStr"/>
      <c r="L302" s="4" t="inlineStr">
        <is>
          <t>MX_HTP-01</t>
        </is>
      </c>
    </row>
    <row r="303">
      <c r="A303" s="4" t="inlineStr">
        <is>
          <t>HNB066</t>
        </is>
      </c>
      <c r="B303" s="4" t="inlineStr">
        <is>
          <t>C45</t>
        </is>
      </c>
      <c r="C303" s="4" t="inlineStr">
        <is>
          <t>POSTEF 2016</t>
        </is>
      </c>
      <c r="D303" s="4" t="n">
        <v>8</v>
      </c>
      <c r="E303" s="4" t="inlineStr">
        <is>
          <t>MX_HTP-01</t>
        </is>
      </c>
      <c r="F303" s="4" t="n">
        <v>5</v>
      </c>
      <c r="G303" s="4" t="inlineStr">
        <is>
          <t>5</t>
        </is>
      </c>
      <c r="H303" s="12" t="inlineStr">
        <is>
          <t>chưa ghi hàn tại MX_HTP-01 (dự phòng / chưa rõ / không hàn)</t>
        </is>
      </c>
      <c r="I303" s="4" t="inlineStr"/>
      <c r="J303" s="4" t="inlineStr"/>
      <c r="K303" s="4" t="inlineStr"/>
      <c r="L303" s="4" t="inlineStr">
        <is>
          <t>MX_HTP-01</t>
        </is>
      </c>
    </row>
    <row r="304">
      <c r="A304" s="4" t="inlineStr">
        <is>
          <t>HNB066</t>
        </is>
      </c>
      <c r="B304" s="4" t="inlineStr">
        <is>
          <t>C45</t>
        </is>
      </c>
      <c r="C304" s="4" t="inlineStr">
        <is>
          <t>POSTEF 2016</t>
        </is>
      </c>
      <c r="D304" s="4" t="n">
        <v>8</v>
      </c>
      <c r="E304" s="4" t="inlineStr">
        <is>
          <t>MX_HTP-01</t>
        </is>
      </c>
      <c r="F304" s="4" t="n">
        <v>6</v>
      </c>
      <c r="G304" s="4" t="inlineStr">
        <is>
          <t>6</t>
        </is>
      </c>
      <c r="H304" s="12" t="inlineStr">
        <is>
          <t>chưa ghi hàn tại MX_HTP-01 (dự phòng / chưa rõ / không hàn)</t>
        </is>
      </c>
      <c r="I304" s="4" t="inlineStr"/>
      <c r="J304" s="4" t="inlineStr"/>
      <c r="K304" s="4" t="inlineStr"/>
      <c r="L304" s="4" t="inlineStr">
        <is>
          <t>MX_HTP-01</t>
        </is>
      </c>
    </row>
    <row r="305">
      <c r="A305" s="4" t="inlineStr">
        <is>
          <t>HNB066</t>
        </is>
      </c>
      <c r="B305" s="4" t="inlineStr">
        <is>
          <t>C45</t>
        </is>
      </c>
      <c r="C305" s="4" t="inlineStr">
        <is>
          <t>POSTEF 2016</t>
        </is>
      </c>
      <c r="D305" s="4" t="n">
        <v>8</v>
      </c>
      <c r="E305" s="4" t="inlineStr">
        <is>
          <t>MX_HTP-01</t>
        </is>
      </c>
      <c r="F305" s="4" t="n">
        <v>7</v>
      </c>
      <c r="G305" s="4" t="inlineStr">
        <is>
          <t>không có cổng ODF (ODF chỉ có 6 cổng hướng này)</t>
        </is>
      </c>
      <c r="H305" s="12" t="inlineStr">
        <is>
          <t>chưa ghi hàn tại MX_HTP-01 (dự phòng / chưa rõ / không hàn)</t>
        </is>
      </c>
      <c r="I305" s="4" t="inlineStr"/>
      <c r="J305" s="4" t="inlineStr"/>
      <c r="K305" s="4" t="inlineStr"/>
      <c r="L305" s="4" t="inlineStr">
        <is>
          <t>MX_HTP-01</t>
        </is>
      </c>
    </row>
    <row r="306">
      <c r="A306" s="4" t="inlineStr">
        <is>
          <t>HNB066</t>
        </is>
      </c>
      <c r="B306" s="4" t="inlineStr">
        <is>
          <t>C45</t>
        </is>
      </c>
      <c r="C306" s="4" t="inlineStr">
        <is>
          <t>POSTEF 2016</t>
        </is>
      </c>
      <c r="D306" s="4" t="n">
        <v>8</v>
      </c>
      <c r="E306" s="4" t="inlineStr">
        <is>
          <t>MX_HTP-01</t>
        </is>
      </c>
      <c r="F306" s="4" t="n">
        <v>8</v>
      </c>
      <c r="G306" s="4" t="inlineStr">
        <is>
          <t>không có cổng ODF (ODF chỉ có 6 cổng hướng này)</t>
        </is>
      </c>
      <c r="H306" s="12" t="inlineStr">
        <is>
          <t>chưa ghi hàn tại MX_HTP-01 (dự phòng / chưa rõ / không hàn)</t>
        </is>
      </c>
      <c r="I306" s="4" t="inlineStr"/>
      <c r="J306" s="4" t="inlineStr"/>
      <c r="K306" s="4" t="inlineStr"/>
      <c r="L306" s="4" t="inlineStr">
        <is>
          <t>MX_HTP-01</t>
        </is>
      </c>
    </row>
    <row r="307">
      <c r="A307" s="4" t="inlineStr">
        <is>
          <t>HNB066</t>
        </is>
      </c>
      <c r="B307" s="4" t="inlineStr">
        <is>
          <t>C67</t>
        </is>
      </c>
      <c r="C307" s="4" t="inlineStr">
        <is>
          <t>VDF</t>
        </is>
      </c>
      <c r="D307" s="4" t="n">
        <v>8</v>
      </c>
      <c r="E307" s="4" t="inlineStr">
        <is>
          <t>MX thẳng 66-16</t>
        </is>
      </c>
      <c r="F307" s="4" t="n">
        <v>1</v>
      </c>
      <c r="G307" s="4" t="inlineStr">
        <is>
          <t>1</t>
        </is>
      </c>
      <c r="H307" s="11" t="inlineStr">
        <is>
          <t>đang chạy link R8-02 → HNB016</t>
        </is>
      </c>
      <c r="I307" s="4" t="inlineStr">
        <is>
          <t>HNB016</t>
        </is>
      </c>
      <c r="J307" s="4" t="inlineStr">
        <is>
          <t>R8-02</t>
        </is>
      </c>
      <c r="K307" s="4" t="inlineStr">
        <is>
          <t>mô tả</t>
        </is>
      </c>
      <c r="L307" s="4" t="inlineStr">
        <is>
          <t>MX thẳng 66-16→HNB016</t>
        </is>
      </c>
    </row>
    <row r="308">
      <c r="A308" s="4" t="inlineStr">
        <is>
          <t>HNB066</t>
        </is>
      </c>
      <c r="B308" s="4" t="inlineStr">
        <is>
          <t>C67</t>
        </is>
      </c>
      <c r="C308" s="4" t="inlineStr">
        <is>
          <t>VDF</t>
        </is>
      </c>
      <c r="D308" s="4" t="n">
        <v>8</v>
      </c>
      <c r="E308" s="4" t="inlineStr">
        <is>
          <t>MX thẳng 66-16</t>
        </is>
      </c>
      <c r="F308" s="4" t="n">
        <v>2</v>
      </c>
      <c r="G308" s="4" t="inlineStr">
        <is>
          <t>2</t>
        </is>
      </c>
      <c r="H308" s="11" t="inlineStr">
        <is>
          <t>đang chạy link R8-02 → HNB016</t>
        </is>
      </c>
      <c r="I308" s="4" t="inlineStr">
        <is>
          <t>HNB016</t>
        </is>
      </c>
      <c r="J308" s="4" t="inlineStr">
        <is>
          <t>R8-02</t>
        </is>
      </c>
      <c r="K308" s="4" t="inlineStr">
        <is>
          <t>mô tả</t>
        </is>
      </c>
      <c r="L308" s="4" t="inlineStr">
        <is>
          <t>MX thẳng 66-16→HNB016</t>
        </is>
      </c>
    </row>
    <row r="309">
      <c r="A309" s="4" t="inlineStr">
        <is>
          <t>HNB066</t>
        </is>
      </c>
      <c r="B309" s="4" t="inlineStr">
        <is>
          <t>C67</t>
        </is>
      </c>
      <c r="C309" s="4" t="inlineStr">
        <is>
          <t>VDF</t>
        </is>
      </c>
      <c r="D309" s="4" t="n">
        <v>8</v>
      </c>
      <c r="E309" s="4" t="inlineStr">
        <is>
          <t>MX thẳng 66-16</t>
        </is>
      </c>
      <c r="F309" s="4" t="n">
        <v>3</v>
      </c>
      <c r="G309" s="4" t="inlineStr">
        <is>
          <t>3</t>
        </is>
      </c>
      <c r="H309" s="13" t="inlineStr">
        <is>
          <t>hàn thông (MX thẳng, theo số mối hàn) → HNB016</t>
        </is>
      </c>
      <c r="I309" s="4" t="inlineStr">
        <is>
          <t>HNB016</t>
        </is>
      </c>
      <c r="J309" s="4" t="inlineStr"/>
      <c r="K309" s="4" t="inlineStr">
        <is>
          <t>MX thẳng (số mối hàn)</t>
        </is>
      </c>
      <c r="L309" s="4" t="inlineStr">
        <is>
          <t>MX thẳng 66-16→HNB016</t>
        </is>
      </c>
    </row>
    <row r="310">
      <c r="A310" s="4" t="inlineStr">
        <is>
          <t>HNB066</t>
        </is>
      </c>
      <c r="B310" s="4" t="inlineStr">
        <is>
          <t>C67</t>
        </is>
      </c>
      <c r="C310" s="4" t="inlineStr">
        <is>
          <t>VDF</t>
        </is>
      </c>
      <c r="D310" s="4" t="n">
        <v>8</v>
      </c>
      <c r="E310" s="4" t="inlineStr">
        <is>
          <t>MX thẳng 66-16</t>
        </is>
      </c>
      <c r="F310" s="4" t="n">
        <v>4</v>
      </c>
      <c r="G310" s="4" t="inlineStr">
        <is>
          <t>4</t>
        </is>
      </c>
      <c r="H310" s="13" t="inlineStr">
        <is>
          <t>hàn thông (MX thẳng, theo số mối hàn) → HNB016</t>
        </is>
      </c>
      <c r="I310" s="4" t="inlineStr">
        <is>
          <t>HNB016</t>
        </is>
      </c>
      <c r="J310" s="4" t="inlineStr"/>
      <c r="K310" s="4" t="inlineStr">
        <is>
          <t>MX thẳng (số mối hàn)</t>
        </is>
      </c>
      <c r="L310" s="4" t="inlineStr">
        <is>
          <t>MX thẳng 66-16→HNB016</t>
        </is>
      </c>
    </row>
    <row r="311">
      <c r="A311" s="4" t="inlineStr">
        <is>
          <t>HNB066</t>
        </is>
      </c>
      <c r="B311" s="4" t="inlineStr">
        <is>
          <t>C67</t>
        </is>
      </c>
      <c r="C311" s="4" t="inlineStr">
        <is>
          <t>VDF</t>
        </is>
      </c>
      <c r="D311" s="4" t="n">
        <v>8</v>
      </c>
      <c r="E311" s="4" t="inlineStr">
        <is>
          <t>MX thẳng 66-16</t>
        </is>
      </c>
      <c r="F311" s="4" t="n">
        <v>5</v>
      </c>
      <c r="G311" s="4" t="inlineStr">
        <is>
          <t>5</t>
        </is>
      </c>
      <c r="H311" s="13" t="inlineStr">
        <is>
          <t>hàn thông (MX thẳng, theo số mối hàn) → HNB016</t>
        </is>
      </c>
      <c r="I311" s="4" t="inlineStr">
        <is>
          <t>HNB016</t>
        </is>
      </c>
      <c r="J311" s="4" t="inlineStr"/>
      <c r="K311" s="4" t="inlineStr">
        <is>
          <t>MX thẳng (số mối hàn)</t>
        </is>
      </c>
      <c r="L311" s="4" t="inlineStr">
        <is>
          <t>MX thẳng 66-16→HNB016</t>
        </is>
      </c>
    </row>
    <row r="312">
      <c r="A312" s="4" t="inlineStr">
        <is>
          <t>HNB066</t>
        </is>
      </c>
      <c r="B312" s="4" t="inlineStr">
        <is>
          <t>C67</t>
        </is>
      </c>
      <c r="C312" s="4" t="inlineStr">
        <is>
          <t>VDF</t>
        </is>
      </c>
      <c r="D312" s="4" t="n">
        <v>8</v>
      </c>
      <c r="E312" s="4" t="inlineStr">
        <is>
          <t>MX thẳng 66-16</t>
        </is>
      </c>
      <c r="F312" s="4" t="n">
        <v>6</v>
      </c>
      <c r="G312" s="4" t="inlineStr">
        <is>
          <t>6</t>
        </is>
      </c>
      <c r="H312" s="13" t="inlineStr">
        <is>
          <t>hàn thông (MX thẳng, theo số mối hàn) → HNB016</t>
        </is>
      </c>
      <c r="I312" s="4" t="inlineStr">
        <is>
          <t>HNB016</t>
        </is>
      </c>
      <c r="J312" s="4" t="inlineStr"/>
      <c r="K312" s="4" t="inlineStr">
        <is>
          <t>MX thẳng (số mối hàn)</t>
        </is>
      </c>
      <c r="L312" s="4" t="inlineStr">
        <is>
          <t>MX thẳng 66-16→HNB016</t>
        </is>
      </c>
    </row>
    <row r="313">
      <c r="A313" s="4" t="inlineStr">
        <is>
          <t>HNB066</t>
        </is>
      </c>
      <c r="B313" s="4" t="inlineStr">
        <is>
          <t>C67</t>
        </is>
      </c>
      <c r="C313" s="4" t="inlineStr">
        <is>
          <t>VDF</t>
        </is>
      </c>
      <c r="D313" s="4" t="n">
        <v>8</v>
      </c>
      <c r="E313" s="4" t="inlineStr">
        <is>
          <t>MX thẳng 66-16</t>
        </is>
      </c>
      <c r="F313" s="4" t="n">
        <v>7</v>
      </c>
      <c r="G313" s="4" t="inlineStr">
        <is>
          <t>không có cổng ODF (ODF chỉ có 6 cổng hướng này)</t>
        </is>
      </c>
      <c r="H313" s="12" t="inlineStr">
        <is>
          <t>chưa ghi hàn tại MX thẳng 66-16 (dự phòng / chưa rõ / không hàn)</t>
        </is>
      </c>
      <c r="I313" s="4" t="inlineStr"/>
      <c r="J313" s="4" t="inlineStr"/>
      <c r="K313" s="4" t="inlineStr"/>
      <c r="L313" s="4" t="inlineStr">
        <is>
          <t>MX thẳng 66-16</t>
        </is>
      </c>
    </row>
    <row r="314">
      <c r="A314" s="4" t="inlineStr">
        <is>
          <t>HNB066</t>
        </is>
      </c>
      <c r="B314" s="4" t="inlineStr">
        <is>
          <t>C67</t>
        </is>
      </c>
      <c r="C314" s="4" t="inlineStr">
        <is>
          <t>VDF</t>
        </is>
      </c>
      <c r="D314" s="4" t="n">
        <v>8</v>
      </c>
      <c r="E314" s="4" t="inlineStr">
        <is>
          <t>MX thẳng 66-16</t>
        </is>
      </c>
      <c r="F314" s="4" t="n">
        <v>8</v>
      </c>
      <c r="G314" s="4" t="inlineStr">
        <is>
          <t>không có cổng ODF (ODF chỉ có 6 cổng hướng này)</t>
        </is>
      </c>
      <c r="H314" s="12" t="inlineStr">
        <is>
          <t>chưa ghi hàn tại MX thẳng 66-16 (dự phòng / chưa rõ / không hàn)</t>
        </is>
      </c>
      <c r="I314" s="4" t="inlineStr"/>
      <c r="J314" s="4" t="inlineStr"/>
      <c r="K314" s="4" t="inlineStr"/>
      <c r="L314" s="4" t="inlineStr">
        <is>
          <t>MX thẳng 66-16</t>
        </is>
      </c>
    </row>
    <row r="315">
      <c r="A315" s="4" t="inlineStr">
        <is>
          <t>HNB071</t>
        </is>
      </c>
      <c r="B315" s="4" t="inlineStr">
        <is>
          <t>C60</t>
        </is>
      </c>
      <c r="C315" s="4" t="inlineStr">
        <is>
          <t>POSTEF 6/2019</t>
        </is>
      </c>
      <c r="D315" s="4" t="n">
        <v>8</v>
      </c>
      <c r="E315" s="4" t="inlineStr">
        <is>
          <t>HNB056</t>
        </is>
      </c>
      <c r="F315" s="4" t="n">
        <v>1</v>
      </c>
      <c r="G315" s="4" t="inlineStr">
        <is>
          <t>1</t>
        </is>
      </c>
      <c r="H315" s="13" t="inlineStr">
        <is>
          <t>sợi nối trực tiếp → HNB056 (chưa rõ đã hàn pigtail ở ODF hai đầu)</t>
        </is>
      </c>
      <c r="I315" s="4" t="inlineStr">
        <is>
          <t>HNB056</t>
        </is>
      </c>
      <c r="J315" s="4" t="inlineStr"/>
      <c r="K315" s="4" t="inlineStr"/>
      <c r="L315" s="4" t="inlineStr">
        <is>
          <t>HNB056</t>
        </is>
      </c>
    </row>
    <row r="316">
      <c r="A316" s="4" t="inlineStr">
        <is>
          <t>HNB071</t>
        </is>
      </c>
      <c r="B316" s="4" t="inlineStr">
        <is>
          <t>C60</t>
        </is>
      </c>
      <c r="C316" s="4" t="inlineStr">
        <is>
          <t>POSTEF 6/2019</t>
        </is>
      </c>
      <c r="D316" s="4" t="n">
        <v>8</v>
      </c>
      <c r="E316" s="4" t="inlineStr">
        <is>
          <t>HNB056</t>
        </is>
      </c>
      <c r="F316" s="4" t="n">
        <v>2</v>
      </c>
      <c r="G316" s="4" t="inlineStr">
        <is>
          <t>2</t>
        </is>
      </c>
      <c r="H316" s="13" t="inlineStr">
        <is>
          <t>sợi nối trực tiếp → HNB056 (chưa rõ đã hàn pigtail ở ODF hai đầu)</t>
        </is>
      </c>
      <c r="I316" s="4" t="inlineStr">
        <is>
          <t>HNB056</t>
        </is>
      </c>
      <c r="J316" s="4" t="inlineStr"/>
      <c r="K316" s="4" t="inlineStr"/>
      <c r="L316" s="4" t="inlineStr">
        <is>
          <t>HNB056</t>
        </is>
      </c>
    </row>
    <row r="317">
      <c r="A317" s="4" t="inlineStr">
        <is>
          <t>HNB071</t>
        </is>
      </c>
      <c r="B317" s="4" t="inlineStr">
        <is>
          <t>C60</t>
        </is>
      </c>
      <c r="C317" s="4" t="inlineStr">
        <is>
          <t>POSTEF 6/2019</t>
        </is>
      </c>
      <c r="D317" s="4" t="n">
        <v>8</v>
      </c>
      <c r="E317" s="4" t="inlineStr">
        <is>
          <t>HNB056</t>
        </is>
      </c>
      <c r="F317" s="4" t="n">
        <v>3</v>
      </c>
      <c r="G317" s="4" t="inlineStr">
        <is>
          <t>3</t>
        </is>
      </c>
      <c r="H317" s="13" t="inlineStr">
        <is>
          <t>sợi nối trực tiếp → HNB056 (chưa rõ đã hàn pigtail ở ODF hai đầu)</t>
        </is>
      </c>
      <c r="I317" s="4" t="inlineStr">
        <is>
          <t>HNB056</t>
        </is>
      </c>
      <c r="J317" s="4" t="inlineStr"/>
      <c r="K317" s="4" t="inlineStr"/>
      <c r="L317" s="4" t="inlineStr">
        <is>
          <t>HNB056</t>
        </is>
      </c>
    </row>
    <row r="318">
      <c r="A318" s="4" t="inlineStr">
        <is>
          <t>HNB071</t>
        </is>
      </c>
      <c r="B318" s="4" t="inlineStr">
        <is>
          <t>C60</t>
        </is>
      </c>
      <c r="C318" s="4" t="inlineStr">
        <is>
          <t>POSTEF 6/2019</t>
        </is>
      </c>
      <c r="D318" s="4" t="n">
        <v>8</v>
      </c>
      <c r="E318" s="4" t="inlineStr">
        <is>
          <t>HNB056</t>
        </is>
      </c>
      <c r="F318" s="4" t="n">
        <v>4</v>
      </c>
      <c r="G318" s="4" t="inlineStr">
        <is>
          <t>4</t>
        </is>
      </c>
      <c r="H318" s="13" t="inlineStr">
        <is>
          <t>sợi nối trực tiếp → HNB056 (chưa rõ đã hàn pigtail ở ODF hai đầu)</t>
        </is>
      </c>
      <c r="I318" s="4" t="inlineStr">
        <is>
          <t>HNB056</t>
        </is>
      </c>
      <c r="J318" s="4" t="inlineStr"/>
      <c r="K318" s="4" t="inlineStr"/>
      <c r="L318" s="4" t="inlineStr">
        <is>
          <t>HNB056</t>
        </is>
      </c>
    </row>
    <row r="319">
      <c r="A319" s="4" t="inlineStr">
        <is>
          <t>HNB071</t>
        </is>
      </c>
      <c r="B319" s="4" t="inlineStr">
        <is>
          <t>C60</t>
        </is>
      </c>
      <c r="C319" s="4" t="inlineStr">
        <is>
          <t>POSTEF 6/2019</t>
        </is>
      </c>
      <c r="D319" s="4" t="n">
        <v>8</v>
      </c>
      <c r="E319" s="4" t="inlineStr">
        <is>
          <t>HNB056</t>
        </is>
      </c>
      <c r="F319" s="4" t="n">
        <v>5</v>
      </c>
      <c r="G319" s="4" t="inlineStr">
        <is>
          <t>5</t>
        </is>
      </c>
      <c r="H319" s="13" t="inlineStr">
        <is>
          <t>sợi nối trực tiếp → HNB056 (chưa rõ đã hàn pigtail ở ODF hai đầu)</t>
        </is>
      </c>
      <c r="I319" s="4" t="inlineStr">
        <is>
          <t>HNB056</t>
        </is>
      </c>
      <c r="J319" s="4" t="inlineStr"/>
      <c r="K319" s="4" t="inlineStr"/>
      <c r="L319" s="4" t="inlineStr">
        <is>
          <t>HNB056</t>
        </is>
      </c>
    </row>
    <row r="320">
      <c r="A320" s="4" t="inlineStr">
        <is>
          <t>HNB071</t>
        </is>
      </c>
      <c r="B320" s="4" t="inlineStr">
        <is>
          <t>C60</t>
        </is>
      </c>
      <c r="C320" s="4" t="inlineStr">
        <is>
          <t>POSTEF 6/2019</t>
        </is>
      </c>
      <c r="D320" s="4" t="n">
        <v>8</v>
      </c>
      <c r="E320" s="4" t="inlineStr">
        <is>
          <t>HNB056</t>
        </is>
      </c>
      <c r="F320" s="4" t="n">
        <v>6</v>
      </c>
      <c r="G320" s="4" t="inlineStr">
        <is>
          <t>6</t>
        </is>
      </c>
      <c r="H320" s="13" t="inlineStr">
        <is>
          <t>sợi nối trực tiếp → HNB056 (chưa rõ đã hàn pigtail ở ODF hai đầu)</t>
        </is>
      </c>
      <c r="I320" s="4" t="inlineStr">
        <is>
          <t>HNB056</t>
        </is>
      </c>
      <c r="J320" s="4" t="inlineStr"/>
      <c r="K320" s="4" t="inlineStr"/>
      <c r="L320" s="4" t="inlineStr">
        <is>
          <t>HNB056</t>
        </is>
      </c>
    </row>
    <row r="321">
      <c r="A321" s="4" t="inlineStr">
        <is>
          <t>HNB071</t>
        </is>
      </c>
      <c r="B321" s="4" t="inlineStr">
        <is>
          <t>C60</t>
        </is>
      </c>
      <c r="C321" s="4" t="inlineStr">
        <is>
          <t>POSTEF 6/2019</t>
        </is>
      </c>
      <c r="D321" s="4" t="n">
        <v>8</v>
      </c>
      <c r="E321" s="4" t="inlineStr">
        <is>
          <t>HNB056</t>
        </is>
      </c>
      <c r="F321" s="4" t="n">
        <v>7</v>
      </c>
      <c r="G321" s="4" t="inlineStr">
        <is>
          <t>không có cổng ODF (ODF chỉ có 6 cổng hướng này)</t>
        </is>
      </c>
      <c r="H321" s="13" t="inlineStr">
        <is>
          <t>sợi nối trực tiếp → HNB056 (chưa rõ đã hàn pigtail ở ODF hai đầu)</t>
        </is>
      </c>
      <c r="I321" s="4" t="inlineStr">
        <is>
          <t>HNB056</t>
        </is>
      </c>
      <c r="J321" s="4" t="inlineStr"/>
      <c r="K321" s="4" t="inlineStr"/>
      <c r="L321" s="4" t="inlineStr">
        <is>
          <t>HNB056</t>
        </is>
      </c>
    </row>
    <row r="322">
      <c r="A322" s="4" t="inlineStr">
        <is>
          <t>HNB071</t>
        </is>
      </c>
      <c r="B322" s="4" t="inlineStr">
        <is>
          <t>C60</t>
        </is>
      </c>
      <c r="C322" s="4" t="inlineStr">
        <is>
          <t>POSTEF 6/2019</t>
        </is>
      </c>
      <c r="D322" s="4" t="n">
        <v>8</v>
      </c>
      <c r="E322" s="4" t="inlineStr">
        <is>
          <t>HNB056</t>
        </is>
      </c>
      <c r="F322" s="4" t="n">
        <v>8</v>
      </c>
      <c r="G322" s="4" t="inlineStr">
        <is>
          <t>không có cổng ODF (ODF chỉ có 6 cổng hướng này)</t>
        </is>
      </c>
      <c r="H322" s="13" t="inlineStr">
        <is>
          <t>sợi nối trực tiếp → HNB056 (chưa rõ đã hàn pigtail ở ODF hai đầu)</t>
        </is>
      </c>
      <c r="I322" s="4" t="inlineStr">
        <is>
          <t>HNB056</t>
        </is>
      </c>
      <c r="J322" s="4" t="inlineStr"/>
      <c r="K322" s="4" t="inlineStr"/>
      <c r="L322" s="4" t="inlineStr">
        <is>
          <t>HNB056</t>
        </is>
      </c>
    </row>
    <row r="323">
      <c r="A323" s="4" t="inlineStr">
        <is>
          <t>HNB071</t>
        </is>
      </c>
      <c r="B323" s="4" t="inlineStr">
        <is>
          <t>C61</t>
        </is>
      </c>
      <c r="C323" s="4" t="inlineStr">
        <is>
          <t>POSTEF 2017</t>
        </is>
      </c>
      <c r="D323" s="4" t="n">
        <v>8</v>
      </c>
      <c r="E323" s="4" t="inlineStr">
        <is>
          <t>HNB073</t>
        </is>
      </c>
      <c r="F323" s="4" t="n">
        <v>1</v>
      </c>
      <c r="G323" s="4" t="inlineStr">
        <is>
          <t>1</t>
        </is>
      </c>
      <c r="H323" s="13" t="inlineStr">
        <is>
          <t>sợi nối trực tiếp → HNB073 (chưa rõ đã hàn pigtail ở ODF hai đầu)</t>
        </is>
      </c>
      <c r="I323" s="4" t="inlineStr">
        <is>
          <t>HNB073</t>
        </is>
      </c>
      <c r="J323" s="4" t="inlineStr"/>
      <c r="K323" s="4" t="inlineStr"/>
      <c r="L323" s="4" t="inlineStr">
        <is>
          <t>HNB073</t>
        </is>
      </c>
    </row>
    <row r="324">
      <c r="A324" s="4" t="inlineStr">
        <is>
          <t>HNB071</t>
        </is>
      </c>
      <c r="B324" s="4" t="inlineStr">
        <is>
          <t>C61</t>
        </is>
      </c>
      <c r="C324" s="4" t="inlineStr">
        <is>
          <t>POSTEF 2017</t>
        </is>
      </c>
      <c r="D324" s="4" t="n">
        <v>8</v>
      </c>
      <c r="E324" s="4" t="inlineStr">
        <is>
          <t>HNB073</t>
        </is>
      </c>
      <c r="F324" s="4" t="n">
        <v>2</v>
      </c>
      <c r="G324" s="4" t="inlineStr">
        <is>
          <t>2</t>
        </is>
      </c>
      <c r="H324" s="13" t="inlineStr">
        <is>
          <t>sợi nối trực tiếp → HNB073 (chưa rõ đã hàn pigtail ở ODF hai đầu)</t>
        </is>
      </c>
      <c r="I324" s="4" t="inlineStr">
        <is>
          <t>HNB073</t>
        </is>
      </c>
      <c r="J324" s="4" t="inlineStr"/>
      <c r="K324" s="4" t="inlineStr"/>
      <c r="L324" s="4" t="inlineStr">
        <is>
          <t>HNB073</t>
        </is>
      </c>
    </row>
    <row r="325">
      <c r="A325" s="4" t="inlineStr">
        <is>
          <t>HNB071</t>
        </is>
      </c>
      <c r="B325" s="4" t="inlineStr">
        <is>
          <t>C61</t>
        </is>
      </c>
      <c r="C325" s="4" t="inlineStr">
        <is>
          <t>POSTEF 2017</t>
        </is>
      </c>
      <c r="D325" s="4" t="n">
        <v>8</v>
      </c>
      <c r="E325" s="4" t="inlineStr">
        <is>
          <t>HNB073</t>
        </is>
      </c>
      <c r="F325" s="4" t="n">
        <v>3</v>
      </c>
      <c r="G325" s="4" t="inlineStr">
        <is>
          <t>3</t>
        </is>
      </c>
      <c r="H325" s="13" t="inlineStr">
        <is>
          <t>sợi nối trực tiếp → HNB073 (chưa rõ đã hàn pigtail ở ODF hai đầu)</t>
        </is>
      </c>
      <c r="I325" s="4" t="inlineStr">
        <is>
          <t>HNB073</t>
        </is>
      </c>
      <c r="J325" s="4" t="inlineStr"/>
      <c r="K325" s="4" t="inlineStr"/>
      <c r="L325" s="4" t="inlineStr">
        <is>
          <t>HNB073</t>
        </is>
      </c>
    </row>
    <row r="326">
      <c r="A326" s="4" t="inlineStr">
        <is>
          <t>HNB071</t>
        </is>
      </c>
      <c r="B326" s="4" t="inlineStr">
        <is>
          <t>C61</t>
        </is>
      </c>
      <c r="C326" s="4" t="inlineStr">
        <is>
          <t>POSTEF 2017</t>
        </is>
      </c>
      <c r="D326" s="4" t="n">
        <v>8</v>
      </c>
      <c r="E326" s="4" t="inlineStr">
        <is>
          <t>HNB073</t>
        </is>
      </c>
      <c r="F326" s="4" t="n">
        <v>4</v>
      </c>
      <c r="G326" s="4" t="inlineStr">
        <is>
          <t>4</t>
        </is>
      </c>
      <c r="H326" s="13" t="inlineStr">
        <is>
          <t>sợi nối trực tiếp → HNB073 (chưa rõ đã hàn pigtail ở ODF hai đầu)</t>
        </is>
      </c>
      <c r="I326" s="4" t="inlineStr">
        <is>
          <t>HNB073</t>
        </is>
      </c>
      <c r="J326" s="4" t="inlineStr"/>
      <c r="K326" s="4" t="inlineStr"/>
      <c r="L326" s="4" t="inlineStr">
        <is>
          <t>HNB073</t>
        </is>
      </c>
    </row>
    <row r="327">
      <c r="A327" s="4" t="inlineStr">
        <is>
          <t>HNB071</t>
        </is>
      </c>
      <c r="B327" s="4" t="inlineStr">
        <is>
          <t>C61</t>
        </is>
      </c>
      <c r="C327" s="4" t="inlineStr">
        <is>
          <t>POSTEF 2017</t>
        </is>
      </c>
      <c r="D327" s="4" t="n">
        <v>8</v>
      </c>
      <c r="E327" s="4" t="inlineStr">
        <is>
          <t>HNB073</t>
        </is>
      </c>
      <c r="F327" s="4" t="n">
        <v>5</v>
      </c>
      <c r="G327" s="4" t="inlineStr">
        <is>
          <t>5</t>
        </is>
      </c>
      <c r="H327" s="13" t="inlineStr">
        <is>
          <t>sợi nối trực tiếp → HNB073 (chưa rõ đã hàn pigtail ở ODF hai đầu)</t>
        </is>
      </c>
      <c r="I327" s="4" t="inlineStr">
        <is>
          <t>HNB073</t>
        </is>
      </c>
      <c r="J327" s="4" t="inlineStr"/>
      <c r="K327" s="4" t="inlineStr"/>
      <c r="L327" s="4" t="inlineStr">
        <is>
          <t>HNB073</t>
        </is>
      </c>
    </row>
    <row r="328">
      <c r="A328" s="4" t="inlineStr">
        <is>
          <t>HNB071</t>
        </is>
      </c>
      <c r="B328" s="4" t="inlineStr">
        <is>
          <t>C61</t>
        </is>
      </c>
      <c r="C328" s="4" t="inlineStr">
        <is>
          <t>POSTEF 2017</t>
        </is>
      </c>
      <c r="D328" s="4" t="n">
        <v>8</v>
      </c>
      <c r="E328" s="4" t="inlineStr">
        <is>
          <t>HNB073</t>
        </is>
      </c>
      <c r="F328" s="4" t="n">
        <v>6</v>
      </c>
      <c r="G328" s="4" t="inlineStr">
        <is>
          <t>6</t>
        </is>
      </c>
      <c r="H328" s="13" t="inlineStr">
        <is>
          <t>sợi nối trực tiếp → HNB073 (chưa rõ đã hàn pigtail ở ODF hai đầu)</t>
        </is>
      </c>
      <c r="I328" s="4" t="inlineStr">
        <is>
          <t>HNB073</t>
        </is>
      </c>
      <c r="J328" s="4" t="inlineStr"/>
      <c r="K328" s="4" t="inlineStr"/>
      <c r="L328" s="4" t="inlineStr">
        <is>
          <t>HNB073</t>
        </is>
      </c>
    </row>
    <row r="329">
      <c r="A329" s="4" t="inlineStr">
        <is>
          <t>HNB071</t>
        </is>
      </c>
      <c r="B329" s="4" t="inlineStr">
        <is>
          <t>C61</t>
        </is>
      </c>
      <c r="C329" s="4" t="inlineStr">
        <is>
          <t>POSTEF 2017</t>
        </is>
      </c>
      <c r="D329" s="4" t="n">
        <v>8</v>
      </c>
      <c r="E329" s="4" t="inlineStr">
        <is>
          <t>HNB073</t>
        </is>
      </c>
      <c r="F329" s="4" t="n">
        <v>7</v>
      </c>
      <c r="G329" s="4" t="inlineStr">
        <is>
          <t>không có cổng ODF (ODF chỉ có 6 cổng hướng này)</t>
        </is>
      </c>
      <c r="H329" s="13" t="inlineStr">
        <is>
          <t>sợi nối trực tiếp → HNB073 (chưa rõ đã hàn pigtail ở ODF hai đầu)</t>
        </is>
      </c>
      <c r="I329" s="4" t="inlineStr">
        <is>
          <t>HNB073</t>
        </is>
      </c>
      <c r="J329" s="4" t="inlineStr"/>
      <c r="K329" s="4" t="inlineStr"/>
      <c r="L329" s="4" t="inlineStr">
        <is>
          <t>HNB073</t>
        </is>
      </c>
    </row>
    <row r="330">
      <c r="A330" s="4" t="inlineStr">
        <is>
          <t>HNB071</t>
        </is>
      </c>
      <c r="B330" s="4" t="inlineStr">
        <is>
          <t>C61</t>
        </is>
      </c>
      <c r="C330" s="4" t="inlineStr">
        <is>
          <t>POSTEF 2017</t>
        </is>
      </c>
      <c r="D330" s="4" t="n">
        <v>8</v>
      </c>
      <c r="E330" s="4" t="inlineStr">
        <is>
          <t>HNB073</t>
        </is>
      </c>
      <c r="F330" s="4" t="n">
        <v>8</v>
      </c>
      <c r="G330" s="4" t="inlineStr">
        <is>
          <t>không có cổng ODF (ODF chỉ có 6 cổng hướng này)</t>
        </is>
      </c>
      <c r="H330" s="13" t="inlineStr">
        <is>
          <t>sợi nối trực tiếp → HNB073 (chưa rõ đã hàn pigtail ở ODF hai đầu)</t>
        </is>
      </c>
      <c r="I330" s="4" t="inlineStr">
        <is>
          <t>HNB073</t>
        </is>
      </c>
      <c r="J330" s="4" t="inlineStr"/>
      <c r="K330" s="4" t="inlineStr"/>
      <c r="L330" s="4" t="inlineStr">
        <is>
          <t>HNB073</t>
        </is>
      </c>
    </row>
    <row r="331">
      <c r="A331" s="4" t="inlineStr">
        <is>
          <t>HNB073</t>
        </is>
      </c>
      <c r="B331" s="4" t="inlineStr">
        <is>
          <t>C53</t>
        </is>
      </c>
      <c r="C331" s="4" t="inlineStr">
        <is>
          <t>VINA 2017</t>
        </is>
      </c>
      <c r="D331" s="4" t="n">
        <v>8</v>
      </c>
      <c r="E331" s="4" t="inlineStr">
        <is>
          <t>MX_LVL-02</t>
        </is>
      </c>
      <c r="F331" s="4" t="n">
        <v>1</v>
      </c>
      <c r="G331" s="4" t="inlineStr">
        <is>
          <t>1</t>
        </is>
      </c>
      <c r="H331" s="11" t="inlineStr">
        <is>
          <t>đang chạy link R4-05 → NBE22</t>
        </is>
      </c>
      <c r="I331" s="4" t="inlineStr">
        <is>
          <t>NBE22</t>
        </is>
      </c>
      <c r="J331" s="4" t="inlineStr">
        <is>
          <t>R4-05</t>
        </is>
      </c>
      <c r="K331" s="4" t="inlineStr">
        <is>
          <t>mô tả</t>
        </is>
      </c>
      <c r="L331" s="4" t="inlineStr">
        <is>
          <t>MX_LVL-02→MX thẳng đi LVL→MX_LVL-03→MX_HTP-01→MX_HTP-02→MX_HTP-03A→ODF-01 NBE22</t>
        </is>
      </c>
    </row>
    <row r="332">
      <c r="A332" s="4" t="inlineStr">
        <is>
          <t>HNB073</t>
        </is>
      </c>
      <c r="B332" s="4" t="inlineStr">
        <is>
          <t>C53</t>
        </is>
      </c>
      <c r="C332" s="4" t="inlineStr">
        <is>
          <t>VINA 2017</t>
        </is>
      </c>
      <c r="D332" s="4" t="n">
        <v>8</v>
      </c>
      <c r="E332" s="4" t="inlineStr">
        <is>
          <t>MX_LVL-02</t>
        </is>
      </c>
      <c r="F332" s="4" t="n">
        <v>2</v>
      </c>
      <c r="G332" s="4" t="inlineStr">
        <is>
          <t>2</t>
        </is>
      </c>
      <c r="H332" s="11" t="inlineStr">
        <is>
          <t>đang chạy link R4-05 → NBE22</t>
        </is>
      </c>
      <c r="I332" s="4" t="inlineStr">
        <is>
          <t>NBE22</t>
        </is>
      </c>
      <c r="J332" s="4" t="inlineStr">
        <is>
          <t>R4-05</t>
        </is>
      </c>
      <c r="K332" s="4" t="inlineStr">
        <is>
          <t>mô tả</t>
        </is>
      </c>
      <c r="L332" s="4" t="inlineStr">
        <is>
          <t>MX_LVL-02→MX thẳng đi LVL→MX_LVL-03→MX_HTP-01→MX_HTP-02→MX_HTP-03A→ODF-01 NBE22</t>
        </is>
      </c>
    </row>
    <row r="333">
      <c r="A333" s="4" t="inlineStr">
        <is>
          <t>HNB073</t>
        </is>
      </c>
      <c r="B333" s="4" t="inlineStr">
        <is>
          <t>C53</t>
        </is>
      </c>
      <c r="C333" s="4" t="inlineStr">
        <is>
          <t>VINA 2017</t>
        </is>
      </c>
      <c r="D333" s="4" t="n">
        <v>8</v>
      </c>
      <c r="E333" s="4" t="inlineStr">
        <is>
          <t>MX_LVL-02</t>
        </is>
      </c>
      <c r="F333" s="4" t="n">
        <v>3</v>
      </c>
      <c r="G333" s="4" t="inlineStr">
        <is>
          <t>3</t>
        </is>
      </c>
      <c r="H333" s="12" t="inlineStr">
        <is>
          <t>chưa ghi hàn tại MX_LVL-02 (dự phòng / chưa rõ / không hàn)</t>
        </is>
      </c>
      <c r="I333" s="4" t="inlineStr"/>
      <c r="J333" s="4" t="inlineStr"/>
      <c r="K333" s="4" t="inlineStr"/>
      <c r="L333" s="4" t="inlineStr">
        <is>
          <t>MX_LVL-02</t>
        </is>
      </c>
    </row>
    <row r="334">
      <c r="A334" s="4" t="inlineStr">
        <is>
          <t>HNB073</t>
        </is>
      </c>
      <c r="B334" s="4" t="inlineStr">
        <is>
          <t>C53</t>
        </is>
      </c>
      <c r="C334" s="4" t="inlineStr">
        <is>
          <t>VINA 2017</t>
        </is>
      </c>
      <c r="D334" s="4" t="n">
        <v>8</v>
      </c>
      <c r="E334" s="4" t="inlineStr">
        <is>
          <t>MX_LVL-02</t>
        </is>
      </c>
      <c r="F334" s="4" t="n">
        <v>4</v>
      </c>
      <c r="G334" s="4" t="inlineStr">
        <is>
          <t>4</t>
        </is>
      </c>
      <c r="H334" s="12" t="inlineStr">
        <is>
          <t>chưa ghi hàn tại MX_LVL-02 (dự phòng / chưa rõ / không hàn)</t>
        </is>
      </c>
      <c r="I334" s="4" t="inlineStr"/>
      <c r="J334" s="4" t="inlineStr"/>
      <c r="K334" s="4" t="inlineStr"/>
      <c r="L334" s="4" t="inlineStr">
        <is>
          <t>MX_LVL-02</t>
        </is>
      </c>
    </row>
    <row r="335">
      <c r="A335" s="4" t="inlineStr">
        <is>
          <t>HNB073</t>
        </is>
      </c>
      <c r="B335" s="4" t="inlineStr">
        <is>
          <t>C53</t>
        </is>
      </c>
      <c r="C335" s="4" t="inlineStr">
        <is>
          <t>VINA 2017</t>
        </is>
      </c>
      <c r="D335" s="4" t="n">
        <v>8</v>
      </c>
      <c r="E335" s="4" t="inlineStr">
        <is>
          <t>MX_LVL-02</t>
        </is>
      </c>
      <c r="F335" s="4" t="n">
        <v>5</v>
      </c>
      <c r="G335" s="4" t="inlineStr">
        <is>
          <t>5</t>
        </is>
      </c>
      <c r="H335" s="12" t="inlineStr">
        <is>
          <t>chưa ghi hàn tại MX_LVL-02 (dự phòng / chưa rõ / không hàn)</t>
        </is>
      </c>
      <c r="I335" s="4" t="inlineStr"/>
      <c r="J335" s="4" t="inlineStr"/>
      <c r="K335" s="4" t="inlineStr"/>
      <c r="L335" s="4" t="inlineStr">
        <is>
          <t>MX_LVL-02</t>
        </is>
      </c>
    </row>
    <row r="336">
      <c r="A336" s="4" t="inlineStr">
        <is>
          <t>HNB073</t>
        </is>
      </c>
      <c r="B336" s="4" t="inlineStr">
        <is>
          <t>C53</t>
        </is>
      </c>
      <c r="C336" s="4" t="inlineStr">
        <is>
          <t>VINA 2017</t>
        </is>
      </c>
      <c r="D336" s="4" t="n">
        <v>8</v>
      </c>
      <c r="E336" s="4" t="inlineStr">
        <is>
          <t>MX_LVL-02</t>
        </is>
      </c>
      <c r="F336" s="4" t="n">
        <v>6</v>
      </c>
      <c r="G336" s="4" t="inlineStr">
        <is>
          <t>6</t>
        </is>
      </c>
      <c r="H336" s="12" t="inlineStr">
        <is>
          <t>chưa ghi hàn tại MX_LVL-02 (dự phòng / chưa rõ / không hàn)</t>
        </is>
      </c>
      <c r="I336" s="4" t="inlineStr"/>
      <c r="J336" s="4" t="inlineStr"/>
      <c r="K336" s="4" t="inlineStr"/>
      <c r="L336" s="4" t="inlineStr">
        <is>
          <t>MX_LVL-02</t>
        </is>
      </c>
    </row>
    <row r="337">
      <c r="A337" s="4" t="inlineStr">
        <is>
          <t>HNB073</t>
        </is>
      </c>
      <c r="B337" s="4" t="inlineStr">
        <is>
          <t>C53</t>
        </is>
      </c>
      <c r="C337" s="4" t="inlineStr">
        <is>
          <t>VINA 2017</t>
        </is>
      </c>
      <c r="D337" s="4" t="n">
        <v>8</v>
      </c>
      <c r="E337" s="4" t="inlineStr">
        <is>
          <t>MX_LVL-02</t>
        </is>
      </c>
      <c r="F337" s="4" t="n">
        <v>7</v>
      </c>
      <c r="G337" s="4" t="inlineStr">
        <is>
          <t>không có cổng ODF (ODF chỉ có 6 cổng hướng này)</t>
        </is>
      </c>
      <c r="H337" s="12" t="inlineStr">
        <is>
          <t>chưa ghi hàn tại MX_LVL-02 (dự phòng / chưa rõ / không hàn)</t>
        </is>
      </c>
      <c r="I337" s="4" t="inlineStr"/>
      <c r="J337" s="4" t="inlineStr"/>
      <c r="K337" s="4" t="inlineStr"/>
      <c r="L337" s="4" t="inlineStr">
        <is>
          <t>MX_LVL-02</t>
        </is>
      </c>
    </row>
    <row r="338">
      <c r="A338" s="4" t="inlineStr">
        <is>
          <t>HNB073</t>
        </is>
      </c>
      <c r="B338" s="4" t="inlineStr">
        <is>
          <t>C53</t>
        </is>
      </c>
      <c r="C338" s="4" t="inlineStr">
        <is>
          <t>VINA 2017</t>
        </is>
      </c>
      <c r="D338" s="4" t="n">
        <v>8</v>
      </c>
      <c r="E338" s="4" t="inlineStr">
        <is>
          <t>MX_LVL-02</t>
        </is>
      </c>
      <c r="F338" s="4" t="n">
        <v>8</v>
      </c>
      <c r="G338" s="4" t="inlineStr">
        <is>
          <t>không có cổng ODF (ODF chỉ có 6 cổng hướng này)</t>
        </is>
      </c>
      <c r="H338" s="12" t="inlineStr">
        <is>
          <t>chưa ghi hàn tại MX_LVL-02 (dự phòng / chưa rõ / không hàn)</t>
        </is>
      </c>
      <c r="I338" s="4" t="inlineStr"/>
      <c r="J338" s="4" t="inlineStr"/>
      <c r="K338" s="4" t="inlineStr"/>
      <c r="L338" s="4" t="inlineStr">
        <is>
          <t>MX_LVL-02</t>
        </is>
      </c>
    </row>
    <row r="339">
      <c r="A339" s="4" t="inlineStr">
        <is>
          <t>HNB073</t>
        </is>
      </c>
      <c r="B339" s="4" t="inlineStr">
        <is>
          <t>C61</t>
        </is>
      </c>
      <c r="C339" s="4" t="inlineStr">
        <is>
          <t>POSTEF 2017</t>
        </is>
      </c>
      <c r="D339" s="4" t="n">
        <v>8</v>
      </c>
      <c r="E339" s="4" t="inlineStr">
        <is>
          <t>HNB071</t>
        </is>
      </c>
      <c r="F339" s="4" t="n">
        <v>1</v>
      </c>
      <c r="G339" s="4" t="inlineStr">
        <is>
          <t>1</t>
        </is>
      </c>
      <c r="H339" s="13" t="inlineStr">
        <is>
          <t>sợi nối trực tiếp → HNB071 (chưa rõ đã hàn pigtail ở ODF hai đầu)</t>
        </is>
      </c>
      <c r="I339" s="4" t="inlineStr">
        <is>
          <t>HNB071</t>
        </is>
      </c>
      <c r="J339" s="4" t="inlineStr"/>
      <c r="K339" s="4" t="inlineStr"/>
      <c r="L339" s="4" t="inlineStr">
        <is>
          <t>HNB071</t>
        </is>
      </c>
    </row>
    <row r="340">
      <c r="A340" s="4" t="inlineStr">
        <is>
          <t>HNB073</t>
        </is>
      </c>
      <c r="B340" s="4" t="inlineStr">
        <is>
          <t>C61</t>
        </is>
      </c>
      <c r="C340" s="4" t="inlineStr">
        <is>
          <t>POSTEF 2017</t>
        </is>
      </c>
      <c r="D340" s="4" t="n">
        <v>8</v>
      </c>
      <c r="E340" s="4" t="inlineStr">
        <is>
          <t>HNB071</t>
        </is>
      </c>
      <c r="F340" s="4" t="n">
        <v>2</v>
      </c>
      <c r="G340" s="4" t="inlineStr">
        <is>
          <t>2</t>
        </is>
      </c>
      <c r="H340" s="13" t="inlineStr">
        <is>
          <t>sợi nối trực tiếp → HNB071 (chưa rõ đã hàn pigtail ở ODF hai đầu)</t>
        </is>
      </c>
      <c r="I340" s="4" t="inlineStr">
        <is>
          <t>HNB071</t>
        </is>
      </c>
      <c r="J340" s="4" t="inlineStr"/>
      <c r="K340" s="4" t="inlineStr"/>
      <c r="L340" s="4" t="inlineStr">
        <is>
          <t>HNB071</t>
        </is>
      </c>
    </row>
    <row r="341">
      <c r="A341" s="4" t="inlineStr">
        <is>
          <t>HNB073</t>
        </is>
      </c>
      <c r="B341" s="4" t="inlineStr">
        <is>
          <t>C61</t>
        </is>
      </c>
      <c r="C341" s="4" t="inlineStr">
        <is>
          <t>POSTEF 2017</t>
        </is>
      </c>
      <c r="D341" s="4" t="n">
        <v>8</v>
      </c>
      <c r="E341" s="4" t="inlineStr">
        <is>
          <t>HNB071</t>
        </is>
      </c>
      <c r="F341" s="4" t="n">
        <v>3</v>
      </c>
      <c r="G341" s="4" t="inlineStr">
        <is>
          <t>3</t>
        </is>
      </c>
      <c r="H341" s="13" t="inlineStr">
        <is>
          <t>sợi nối trực tiếp → HNB071 (chưa rõ đã hàn pigtail ở ODF hai đầu)</t>
        </is>
      </c>
      <c r="I341" s="4" t="inlineStr">
        <is>
          <t>HNB071</t>
        </is>
      </c>
      <c r="J341" s="4" t="inlineStr"/>
      <c r="K341" s="4" t="inlineStr"/>
      <c r="L341" s="4" t="inlineStr">
        <is>
          <t>HNB071</t>
        </is>
      </c>
    </row>
    <row r="342">
      <c r="A342" s="4" t="inlineStr">
        <is>
          <t>HNB073</t>
        </is>
      </c>
      <c r="B342" s="4" t="inlineStr">
        <is>
          <t>C61</t>
        </is>
      </c>
      <c r="C342" s="4" t="inlineStr">
        <is>
          <t>POSTEF 2017</t>
        </is>
      </c>
      <c r="D342" s="4" t="n">
        <v>8</v>
      </c>
      <c r="E342" s="4" t="inlineStr">
        <is>
          <t>HNB071</t>
        </is>
      </c>
      <c r="F342" s="4" t="n">
        <v>4</v>
      </c>
      <c r="G342" s="4" t="inlineStr">
        <is>
          <t>4</t>
        </is>
      </c>
      <c r="H342" s="13" t="inlineStr">
        <is>
          <t>sợi nối trực tiếp → HNB071 (chưa rõ đã hàn pigtail ở ODF hai đầu)</t>
        </is>
      </c>
      <c r="I342" s="4" t="inlineStr">
        <is>
          <t>HNB071</t>
        </is>
      </c>
      <c r="J342" s="4" t="inlineStr"/>
      <c r="K342" s="4" t="inlineStr"/>
      <c r="L342" s="4" t="inlineStr">
        <is>
          <t>HNB071</t>
        </is>
      </c>
    </row>
    <row r="343">
      <c r="A343" s="4" t="inlineStr">
        <is>
          <t>HNB073</t>
        </is>
      </c>
      <c r="B343" s="4" t="inlineStr">
        <is>
          <t>C61</t>
        </is>
      </c>
      <c r="C343" s="4" t="inlineStr">
        <is>
          <t>POSTEF 2017</t>
        </is>
      </c>
      <c r="D343" s="4" t="n">
        <v>8</v>
      </c>
      <c r="E343" s="4" t="inlineStr">
        <is>
          <t>HNB071</t>
        </is>
      </c>
      <c r="F343" s="4" t="n">
        <v>5</v>
      </c>
      <c r="G343" s="4" t="inlineStr">
        <is>
          <t>5</t>
        </is>
      </c>
      <c r="H343" s="13" t="inlineStr">
        <is>
          <t>sợi nối trực tiếp → HNB071 (chưa rõ đã hàn pigtail ở ODF hai đầu)</t>
        </is>
      </c>
      <c r="I343" s="4" t="inlineStr">
        <is>
          <t>HNB071</t>
        </is>
      </c>
      <c r="J343" s="4" t="inlineStr"/>
      <c r="K343" s="4" t="inlineStr"/>
      <c r="L343" s="4" t="inlineStr">
        <is>
          <t>HNB071</t>
        </is>
      </c>
    </row>
    <row r="344">
      <c r="A344" s="4" t="inlineStr">
        <is>
          <t>HNB073</t>
        </is>
      </c>
      <c r="B344" s="4" t="inlineStr">
        <is>
          <t>C61</t>
        </is>
      </c>
      <c r="C344" s="4" t="inlineStr">
        <is>
          <t>POSTEF 2017</t>
        </is>
      </c>
      <c r="D344" s="4" t="n">
        <v>8</v>
      </c>
      <c r="E344" s="4" t="inlineStr">
        <is>
          <t>HNB071</t>
        </is>
      </c>
      <c r="F344" s="4" t="n">
        <v>6</v>
      </c>
      <c r="G344" s="4" t="inlineStr">
        <is>
          <t>6</t>
        </is>
      </c>
      <c r="H344" s="13" t="inlineStr">
        <is>
          <t>sợi nối trực tiếp → HNB071 (chưa rõ đã hàn pigtail ở ODF hai đầu)</t>
        </is>
      </c>
      <c r="I344" s="4" t="inlineStr">
        <is>
          <t>HNB071</t>
        </is>
      </c>
      <c r="J344" s="4" t="inlineStr"/>
      <c r="K344" s="4" t="inlineStr"/>
      <c r="L344" s="4" t="inlineStr">
        <is>
          <t>HNB071</t>
        </is>
      </c>
    </row>
    <row r="345">
      <c r="A345" s="4" t="inlineStr">
        <is>
          <t>HNB073</t>
        </is>
      </c>
      <c r="B345" s="4" t="inlineStr">
        <is>
          <t>C61</t>
        </is>
      </c>
      <c r="C345" s="4" t="inlineStr">
        <is>
          <t>POSTEF 2017</t>
        </is>
      </c>
      <c r="D345" s="4" t="n">
        <v>8</v>
      </c>
      <c r="E345" s="4" t="inlineStr">
        <is>
          <t>HNB071</t>
        </is>
      </c>
      <c r="F345" s="4" t="n">
        <v>7</v>
      </c>
      <c r="G345" s="4" t="inlineStr">
        <is>
          <t>không có cổng ODF (ODF chỉ có 6 cổng hướng này)</t>
        </is>
      </c>
      <c r="H345" s="13" t="inlineStr">
        <is>
          <t>sợi nối trực tiếp → HNB071 (chưa rõ đã hàn pigtail ở ODF hai đầu)</t>
        </is>
      </c>
      <c r="I345" s="4" t="inlineStr">
        <is>
          <t>HNB071</t>
        </is>
      </c>
      <c r="J345" s="4" t="inlineStr"/>
      <c r="K345" s="4" t="inlineStr"/>
      <c r="L345" s="4" t="inlineStr">
        <is>
          <t>HNB071</t>
        </is>
      </c>
    </row>
    <row r="346">
      <c r="A346" s="4" t="inlineStr">
        <is>
          <t>HNB073</t>
        </is>
      </c>
      <c r="B346" s="4" t="inlineStr">
        <is>
          <t>C61</t>
        </is>
      </c>
      <c r="C346" s="4" t="inlineStr">
        <is>
          <t>POSTEF 2017</t>
        </is>
      </c>
      <c r="D346" s="4" t="n">
        <v>8</v>
      </c>
      <c r="E346" s="4" t="inlineStr">
        <is>
          <t>HNB071</t>
        </is>
      </c>
      <c r="F346" s="4" t="n">
        <v>8</v>
      </c>
      <c r="G346" s="4" t="inlineStr">
        <is>
          <t>không có cổng ODF (ODF chỉ có 6 cổng hướng này)</t>
        </is>
      </c>
      <c r="H346" s="13" t="inlineStr">
        <is>
          <t>sợi nối trực tiếp → HNB071 (chưa rõ đã hàn pigtail ở ODF hai đầu)</t>
        </is>
      </c>
      <c r="I346" s="4" t="inlineStr">
        <is>
          <t>HNB071</t>
        </is>
      </c>
      <c r="J346" s="4" t="inlineStr"/>
      <c r="K346" s="4" t="inlineStr"/>
      <c r="L346" s="4" t="inlineStr">
        <is>
          <t>HNB071</t>
        </is>
      </c>
    </row>
    <row r="347">
      <c r="A347" s="4" t="inlineStr">
        <is>
          <t>HNB075</t>
        </is>
      </c>
      <c r="B347" s="4" t="inlineStr">
        <is>
          <t>C56</t>
        </is>
      </c>
      <c r="C347" s="4" t="inlineStr">
        <is>
          <t>focal 8fo 10/2014</t>
        </is>
      </c>
      <c r="D347" s="4" t="n">
        <v>8</v>
      </c>
      <c r="E347" s="4" t="inlineStr">
        <is>
          <t>MX thẳng LVL-01/075</t>
        </is>
      </c>
      <c r="F347" s="4" t="n">
        <v>1</v>
      </c>
      <c r="G347" s="4" t="inlineStr">
        <is>
          <t>1</t>
        </is>
      </c>
      <c r="H347" s="11" t="inlineStr">
        <is>
          <t>đang chạy link R5-04 → NBE22</t>
        </is>
      </c>
      <c r="I347" s="4" t="inlineStr">
        <is>
          <t>NBE22</t>
        </is>
      </c>
      <c r="J347" s="4" t="inlineStr">
        <is>
          <t>R5-04</t>
        </is>
      </c>
      <c r="K347" s="4" t="inlineStr">
        <is>
          <t>mô tả</t>
        </is>
      </c>
      <c r="L347" s="4" t="inlineStr">
        <is>
          <t>MX thẳng LVL-01/075→MX_LVL-01→MX_LVL-02→MX thẳng đi LVL→MX_LVL-03→MX_HTP-01→MX_HTP-02→MX_HTP-03A→ODF-01 NBE22</t>
        </is>
      </c>
    </row>
    <row r="348">
      <c r="A348" s="4" t="inlineStr">
        <is>
          <t>HNB075</t>
        </is>
      </c>
      <c r="B348" s="4" t="inlineStr">
        <is>
          <t>C56</t>
        </is>
      </c>
      <c r="C348" s="4" t="inlineStr">
        <is>
          <t>focal 8fo 10/2014</t>
        </is>
      </c>
      <c r="D348" s="4" t="n">
        <v>8</v>
      </c>
      <c r="E348" s="4" t="inlineStr">
        <is>
          <t>MX thẳng LVL-01/075</t>
        </is>
      </c>
      <c r="F348" s="4" t="n">
        <v>2</v>
      </c>
      <c r="G348" s="4" t="inlineStr">
        <is>
          <t>2</t>
        </is>
      </c>
      <c r="H348" s="11" t="inlineStr">
        <is>
          <t>đang chạy link R5-04 → NBE22</t>
        </is>
      </c>
      <c r="I348" s="4" t="inlineStr">
        <is>
          <t>NBE22</t>
        </is>
      </c>
      <c r="J348" s="4" t="inlineStr">
        <is>
          <t>R5-04</t>
        </is>
      </c>
      <c r="K348" s="4" t="inlineStr">
        <is>
          <t>mô tả</t>
        </is>
      </c>
      <c r="L348" s="4" t="inlineStr">
        <is>
          <t>MX thẳng LVL-01/075→MX_LVL-01→MX_LVL-02→MX thẳng đi LVL→MX_LVL-03→MX_HTP-01→MX_HTP-02→MX_HTP-03A→ODF-01 NBE22</t>
        </is>
      </c>
    </row>
    <row r="349">
      <c r="A349" s="4" t="inlineStr">
        <is>
          <t>HNB075</t>
        </is>
      </c>
      <c r="B349" s="4" t="inlineStr">
        <is>
          <t>C56</t>
        </is>
      </c>
      <c r="C349" s="4" t="inlineStr">
        <is>
          <t>focal 8fo 10/2014</t>
        </is>
      </c>
      <c r="D349" s="4" t="n">
        <v>8</v>
      </c>
      <c r="E349" s="4" t="inlineStr">
        <is>
          <t>MX thẳng LVL-01/075</t>
        </is>
      </c>
      <c r="F349" s="4" t="n">
        <v>3</v>
      </c>
      <c r="G349" s="4" t="inlineStr">
        <is>
          <t>3</t>
        </is>
      </c>
      <c r="H349" s="12" t="inlineStr">
        <is>
          <t>chưa ghi hàn tại MX_LVL-04 (dự phòng / chưa rõ / không hàn)</t>
        </is>
      </c>
      <c r="I349" s="4" t="inlineStr"/>
      <c r="J349" s="4" t="inlineStr"/>
      <c r="K349" s="4" t="inlineStr">
        <is>
          <t>MX thẳng (số mối hàn), sơ đồ MX</t>
        </is>
      </c>
      <c r="L349" s="4" t="inlineStr">
        <is>
          <t>MX_LVL-04</t>
        </is>
      </c>
    </row>
    <row r="350">
      <c r="A350" s="4" t="inlineStr">
        <is>
          <t>HNB075</t>
        </is>
      </c>
      <c r="B350" s="4" t="inlineStr">
        <is>
          <t>C56</t>
        </is>
      </c>
      <c r="C350" s="4" t="inlineStr">
        <is>
          <t>focal 8fo 10/2014</t>
        </is>
      </c>
      <c r="D350" s="4" t="n">
        <v>8</v>
      </c>
      <c r="E350" s="4" t="inlineStr">
        <is>
          <t>MX thẳng LVL-01/075</t>
        </is>
      </c>
      <c r="F350" s="4" t="n">
        <v>4</v>
      </c>
      <c r="G350" s="4" t="inlineStr">
        <is>
          <t>4</t>
        </is>
      </c>
      <c r="H350" s="12" t="inlineStr">
        <is>
          <t>chưa ghi hàn tại MX_LVL-04 (dự phòng / chưa rõ / không hàn)</t>
        </is>
      </c>
      <c r="I350" s="4" t="inlineStr"/>
      <c r="J350" s="4" t="inlineStr"/>
      <c r="K350" s="4" t="inlineStr">
        <is>
          <t>MX thẳng (số mối hàn), sơ đồ MX</t>
        </is>
      </c>
      <c r="L350" s="4" t="inlineStr">
        <is>
          <t>MX_LVL-04</t>
        </is>
      </c>
    </row>
    <row r="351">
      <c r="A351" s="4" t="inlineStr">
        <is>
          <t>HNB075</t>
        </is>
      </c>
      <c r="B351" s="4" t="inlineStr">
        <is>
          <t>C56</t>
        </is>
      </c>
      <c r="C351" s="4" t="inlineStr">
        <is>
          <t>focal 8fo 10/2014</t>
        </is>
      </c>
      <c r="D351" s="4" t="n">
        <v>8</v>
      </c>
      <c r="E351" s="4" t="inlineStr">
        <is>
          <t>MX thẳng LVL-01/075</t>
        </is>
      </c>
      <c r="F351" s="4" t="n">
        <v>5</v>
      </c>
      <c r="G351" s="4" t="inlineStr">
        <is>
          <t>5</t>
        </is>
      </c>
      <c r="H351" s="12" t="inlineStr">
        <is>
          <t>chưa ghi hàn tại MX_LVL-04 (dự phòng / chưa rõ / không hàn)</t>
        </is>
      </c>
      <c r="I351" s="4" t="inlineStr"/>
      <c r="J351" s="4" t="inlineStr"/>
      <c r="K351" s="4" t="inlineStr">
        <is>
          <t>MX thẳng (số mối hàn), sơ đồ MX</t>
        </is>
      </c>
      <c r="L351" s="4" t="inlineStr">
        <is>
          <t>MX_LVL-04</t>
        </is>
      </c>
    </row>
    <row r="352">
      <c r="A352" s="4" t="inlineStr">
        <is>
          <t>HNB075</t>
        </is>
      </c>
      <c r="B352" s="4" t="inlineStr">
        <is>
          <t>C56</t>
        </is>
      </c>
      <c r="C352" s="4" t="inlineStr">
        <is>
          <t>focal 8fo 10/2014</t>
        </is>
      </c>
      <c r="D352" s="4" t="n">
        <v>8</v>
      </c>
      <c r="E352" s="4" t="inlineStr">
        <is>
          <t>MX thẳng LVL-01/075</t>
        </is>
      </c>
      <c r="F352" s="4" t="n">
        <v>6</v>
      </c>
      <c r="G352" s="4" t="inlineStr">
        <is>
          <t>6</t>
        </is>
      </c>
      <c r="H352" s="12" t="inlineStr">
        <is>
          <t>chưa ghi hàn tại MX_LVL-04 (dự phòng / chưa rõ / không hàn)</t>
        </is>
      </c>
      <c r="I352" s="4" t="inlineStr"/>
      <c r="J352" s="4" t="inlineStr"/>
      <c r="K352" s="4" t="inlineStr">
        <is>
          <t>MX thẳng (số mối hàn), sơ đồ MX</t>
        </is>
      </c>
      <c r="L352" s="4" t="inlineStr">
        <is>
          <t>MX_LVL-04</t>
        </is>
      </c>
    </row>
    <row r="353">
      <c r="A353" s="4" t="inlineStr">
        <is>
          <t>HNB075</t>
        </is>
      </c>
      <c r="B353" s="4" t="inlineStr">
        <is>
          <t>C56</t>
        </is>
      </c>
      <c r="C353" s="4" t="inlineStr">
        <is>
          <t>focal 8fo 10/2014</t>
        </is>
      </c>
      <c r="D353" s="4" t="n">
        <v>8</v>
      </c>
      <c r="E353" s="4" t="inlineStr">
        <is>
          <t>MX thẳng LVL-01/075</t>
        </is>
      </c>
      <c r="F353" s="4" t="n">
        <v>7</v>
      </c>
      <c r="G353" s="4" t="inlineStr">
        <is>
          <t>không có cổng ODF (ODF chỉ có 6 cổng hướng này)</t>
        </is>
      </c>
      <c r="H353" s="12" t="inlineStr">
        <is>
          <t>chưa ghi hàn tại MX_DST (dự phòng / chưa rõ / không hàn)</t>
        </is>
      </c>
      <c r="I353" s="4" t="inlineStr"/>
      <c r="J353" s="4" t="inlineStr"/>
      <c r="K353" s="4" t="inlineStr">
        <is>
          <t>MX thẳng (số mối hàn), sơ đồ MX</t>
        </is>
      </c>
      <c r="L353" s="4" t="inlineStr">
        <is>
          <t>MX_DST</t>
        </is>
      </c>
    </row>
    <row r="354">
      <c r="A354" s="4" t="inlineStr">
        <is>
          <t>HNB075</t>
        </is>
      </c>
      <c r="B354" s="4" t="inlineStr">
        <is>
          <t>C56</t>
        </is>
      </c>
      <c r="C354" s="4" t="inlineStr">
        <is>
          <t>focal 8fo 10/2014</t>
        </is>
      </c>
      <c r="D354" s="4" t="n">
        <v>8</v>
      </c>
      <c r="E354" s="4" t="inlineStr">
        <is>
          <t>MX thẳng LVL-01/075</t>
        </is>
      </c>
      <c r="F354" s="4" t="n">
        <v>8</v>
      </c>
      <c r="G354" s="4" t="inlineStr">
        <is>
          <t>không có cổng ODF (ODF chỉ có 6 cổng hướng này)</t>
        </is>
      </c>
      <c r="H354" s="12" t="inlineStr">
        <is>
          <t>chưa ghi hàn tại MX_DST (dự phòng / chưa rõ / không hàn)</t>
        </is>
      </c>
      <c r="I354" s="4" t="inlineStr"/>
      <c r="J354" s="4" t="inlineStr"/>
      <c r="K354" s="4" t="inlineStr">
        <is>
          <t>MX thẳng (số mối hàn), sơ đồ MX</t>
        </is>
      </c>
      <c r="L354" s="4" t="inlineStr">
        <is>
          <t>MX_DST</t>
        </is>
      </c>
    </row>
    <row r="355">
      <c r="A355" s="4" t="inlineStr">
        <is>
          <t>HNB075</t>
        </is>
      </c>
      <c r="B355" s="4" t="inlineStr">
        <is>
          <t>C70</t>
        </is>
      </c>
      <c r="C355" s="4" t="inlineStr">
        <is>
          <t>FOCAL 2020</t>
        </is>
      </c>
      <c r="D355" s="4" t="n">
        <v>6</v>
      </c>
      <c r="E355" s="4" t="inlineStr">
        <is>
          <t>HNB014</t>
        </is>
      </c>
      <c r="F355" s="4" t="n">
        <v>1</v>
      </c>
      <c r="G355" s="4" t="inlineStr">
        <is>
          <t>1</t>
        </is>
      </c>
      <c r="H355" s="13" t="inlineStr">
        <is>
          <t>sợi nối trực tiếp → HNB014 (chưa rõ đã hàn pigtail ở ODF hai đầu)</t>
        </is>
      </c>
      <c r="I355" s="4" t="inlineStr">
        <is>
          <t>HNB014</t>
        </is>
      </c>
      <c r="J355" s="4" t="inlineStr"/>
      <c r="K355" s="4" t="inlineStr"/>
      <c r="L355" s="4" t="inlineStr">
        <is>
          <t>HNB014</t>
        </is>
      </c>
    </row>
    <row r="356">
      <c r="A356" s="4" t="inlineStr">
        <is>
          <t>HNB075</t>
        </is>
      </c>
      <c r="B356" s="4" t="inlineStr">
        <is>
          <t>C70</t>
        </is>
      </c>
      <c r="C356" s="4" t="inlineStr">
        <is>
          <t>FOCAL 2020</t>
        </is>
      </c>
      <c r="D356" s="4" t="n">
        <v>6</v>
      </c>
      <c r="E356" s="4" t="inlineStr">
        <is>
          <t>HNB014</t>
        </is>
      </c>
      <c r="F356" s="4" t="n">
        <v>2</v>
      </c>
      <c r="G356" s="4" t="inlineStr">
        <is>
          <t>2</t>
        </is>
      </c>
      <c r="H356" s="13" t="inlineStr">
        <is>
          <t>sợi nối trực tiếp → HNB014 (chưa rõ đã hàn pigtail ở ODF hai đầu)</t>
        </is>
      </c>
      <c r="I356" s="4" t="inlineStr">
        <is>
          <t>HNB014</t>
        </is>
      </c>
      <c r="J356" s="4" t="inlineStr"/>
      <c r="K356" s="4" t="inlineStr"/>
      <c r="L356" s="4" t="inlineStr">
        <is>
          <t>HNB014</t>
        </is>
      </c>
    </row>
    <row r="357">
      <c r="A357" s="4" t="inlineStr">
        <is>
          <t>HNB075</t>
        </is>
      </c>
      <c r="B357" s="4" t="inlineStr">
        <is>
          <t>C70</t>
        </is>
      </c>
      <c r="C357" s="4" t="inlineStr">
        <is>
          <t>FOCAL 2020</t>
        </is>
      </c>
      <c r="D357" s="4" t="n">
        <v>6</v>
      </c>
      <c r="E357" s="4" t="inlineStr">
        <is>
          <t>HNB014</t>
        </is>
      </c>
      <c r="F357" s="4" t="n">
        <v>3</v>
      </c>
      <c r="G357" s="4" t="inlineStr">
        <is>
          <t>3</t>
        </is>
      </c>
      <c r="H357" s="13" t="inlineStr">
        <is>
          <t>sợi nối trực tiếp → HNB014 (chưa rõ đã hàn pigtail ở ODF hai đầu)</t>
        </is>
      </c>
      <c r="I357" s="4" t="inlineStr">
        <is>
          <t>HNB014</t>
        </is>
      </c>
      <c r="J357" s="4" t="inlineStr"/>
      <c r="K357" s="4" t="inlineStr"/>
      <c r="L357" s="4" t="inlineStr">
        <is>
          <t>HNB014</t>
        </is>
      </c>
    </row>
    <row r="358">
      <c r="A358" s="4" t="inlineStr">
        <is>
          <t>HNB075</t>
        </is>
      </c>
      <c r="B358" s="4" t="inlineStr">
        <is>
          <t>C70</t>
        </is>
      </c>
      <c r="C358" s="4" t="inlineStr">
        <is>
          <t>FOCAL 2020</t>
        </is>
      </c>
      <c r="D358" s="4" t="n">
        <v>6</v>
      </c>
      <c r="E358" s="4" t="inlineStr">
        <is>
          <t>HNB014</t>
        </is>
      </c>
      <c r="F358" s="4" t="n">
        <v>4</v>
      </c>
      <c r="G358" s="4" t="inlineStr">
        <is>
          <t>4</t>
        </is>
      </c>
      <c r="H358" s="13" t="inlineStr">
        <is>
          <t>sợi nối trực tiếp → HNB014 (chưa rõ đã hàn pigtail ở ODF hai đầu)</t>
        </is>
      </c>
      <c r="I358" s="4" t="inlineStr">
        <is>
          <t>HNB014</t>
        </is>
      </c>
      <c r="J358" s="4" t="inlineStr"/>
      <c r="K358" s="4" t="inlineStr"/>
      <c r="L358" s="4" t="inlineStr">
        <is>
          <t>HNB014</t>
        </is>
      </c>
    </row>
    <row r="359">
      <c r="A359" s="4" t="inlineStr">
        <is>
          <t>HNB075</t>
        </is>
      </c>
      <c r="B359" s="4" t="inlineStr">
        <is>
          <t>C70</t>
        </is>
      </c>
      <c r="C359" s="4" t="inlineStr">
        <is>
          <t>FOCAL 2020</t>
        </is>
      </c>
      <c r="D359" s="4" t="n">
        <v>6</v>
      </c>
      <c r="E359" s="4" t="inlineStr">
        <is>
          <t>HNB014</t>
        </is>
      </c>
      <c r="F359" s="4" t="n">
        <v>5</v>
      </c>
      <c r="G359" s="4" t="inlineStr">
        <is>
          <t>5</t>
        </is>
      </c>
      <c r="H359" s="13" t="inlineStr">
        <is>
          <t>sợi nối trực tiếp → HNB014 (chưa rõ đã hàn pigtail ở ODF hai đầu)</t>
        </is>
      </c>
      <c r="I359" s="4" t="inlineStr">
        <is>
          <t>HNB014</t>
        </is>
      </c>
      <c r="J359" s="4" t="inlineStr"/>
      <c r="K359" s="4" t="inlineStr"/>
      <c r="L359" s="4" t="inlineStr">
        <is>
          <t>HNB014</t>
        </is>
      </c>
    </row>
    <row r="360">
      <c r="A360" s="4" t="inlineStr">
        <is>
          <t>HNB075</t>
        </is>
      </c>
      <c r="B360" s="4" t="inlineStr">
        <is>
          <t>C70</t>
        </is>
      </c>
      <c r="C360" s="4" t="inlineStr">
        <is>
          <t>FOCAL 2020</t>
        </is>
      </c>
      <c r="D360" s="4" t="n">
        <v>6</v>
      </c>
      <c r="E360" s="4" t="inlineStr">
        <is>
          <t>HNB014</t>
        </is>
      </c>
      <c r="F360" s="4" t="n">
        <v>6</v>
      </c>
      <c r="G360" s="4" t="inlineStr">
        <is>
          <t>6</t>
        </is>
      </c>
      <c r="H360" s="13" t="inlineStr">
        <is>
          <t>sợi nối trực tiếp → HNB014 (chưa rõ đã hàn pigtail ở ODF hai đầu)</t>
        </is>
      </c>
      <c r="I360" s="4" t="inlineStr">
        <is>
          <t>HNB014</t>
        </is>
      </c>
      <c r="J360" s="4" t="inlineStr"/>
      <c r="K360" s="4" t="inlineStr"/>
      <c r="L360" s="4" t="inlineStr">
        <is>
          <t>HNB014</t>
        </is>
      </c>
    </row>
    <row r="361">
      <c r="A361" s="4" t="inlineStr">
        <is>
          <t>HNB086</t>
        </is>
      </c>
      <c r="B361" s="4" t="inlineStr">
        <is>
          <t>C23</t>
        </is>
      </c>
      <c r="C361" s="4" t="inlineStr">
        <is>
          <t>FOCAL 2020</t>
        </is>
      </c>
      <c r="D361" s="4" t="n">
        <v>6</v>
      </c>
      <c r="E361" s="4" t="inlineStr">
        <is>
          <t>MX_NB-02</t>
        </is>
      </c>
      <c r="F361" s="4" t="n">
        <v>1</v>
      </c>
      <c r="G361" s="4" t="inlineStr">
        <is>
          <t>1</t>
        </is>
      </c>
      <c r="H361" s="11" t="inlineStr">
        <is>
          <t>đang chạy link R6-01 → NBE12</t>
        </is>
      </c>
      <c r="I361" s="4" t="inlineStr">
        <is>
          <t>NBE12</t>
        </is>
      </c>
      <c r="J361" s="4" t="inlineStr">
        <is>
          <t>R6-01</t>
        </is>
      </c>
      <c r="K361" s="4" t="inlineStr">
        <is>
          <t>mô tả</t>
        </is>
      </c>
      <c r="L361" s="4" t="inlineStr">
        <is>
          <t>MX_NB-02→MX_NB-01→VNPT Long Thới (ODF-01 NBE12)</t>
        </is>
      </c>
    </row>
    <row r="362">
      <c r="A362" s="4" t="inlineStr">
        <is>
          <t>HNB086</t>
        </is>
      </c>
      <c r="B362" s="4" t="inlineStr">
        <is>
          <t>C23</t>
        </is>
      </c>
      <c r="C362" s="4" t="inlineStr">
        <is>
          <t>FOCAL 2020</t>
        </is>
      </c>
      <c r="D362" s="4" t="n">
        <v>6</v>
      </c>
      <c r="E362" s="4" t="inlineStr">
        <is>
          <t>MX_NB-02</t>
        </is>
      </c>
      <c r="F362" s="4" t="n">
        <v>2</v>
      </c>
      <c r="G362" s="4" t="inlineStr">
        <is>
          <t>2</t>
        </is>
      </c>
      <c r="H362" s="11" t="inlineStr">
        <is>
          <t>đang chạy link R6-01 → NBE12</t>
        </is>
      </c>
      <c r="I362" s="4" t="inlineStr">
        <is>
          <t>NBE12</t>
        </is>
      </c>
      <c r="J362" s="4" t="inlineStr">
        <is>
          <t>R6-01</t>
        </is>
      </c>
      <c r="K362" s="4" t="inlineStr">
        <is>
          <t>mô tả</t>
        </is>
      </c>
      <c r="L362" s="4" t="inlineStr">
        <is>
          <t>MX_NB-02→MX_NB-01→VNPT Long Thới (ODF-01 NBE12)</t>
        </is>
      </c>
    </row>
    <row r="363">
      <c r="A363" s="4" t="inlineStr">
        <is>
          <t>HNB086</t>
        </is>
      </c>
      <c r="B363" s="4" t="inlineStr">
        <is>
          <t>C23</t>
        </is>
      </c>
      <c r="C363" s="4" t="inlineStr">
        <is>
          <t>FOCAL 2020</t>
        </is>
      </c>
      <c r="D363" s="4" t="n">
        <v>6</v>
      </c>
      <c r="E363" s="4" t="inlineStr">
        <is>
          <t>MX_NB-02</t>
        </is>
      </c>
      <c r="F363" s="4" t="n">
        <v>3</v>
      </c>
      <c r="G363" s="4" t="inlineStr">
        <is>
          <t>3</t>
        </is>
      </c>
      <c r="H363" s="12" t="inlineStr">
        <is>
          <t>chưa ghi hàn tại MX_NB-02 (dự phòng / chưa rõ / không hàn)</t>
        </is>
      </c>
      <c r="I363" s="4" t="inlineStr"/>
      <c r="J363" s="4" t="inlineStr"/>
      <c r="K363" s="4" t="inlineStr"/>
      <c r="L363" s="4" t="inlineStr">
        <is>
          <t>MX_NB-02</t>
        </is>
      </c>
    </row>
    <row r="364">
      <c r="A364" s="4" t="inlineStr">
        <is>
          <t>HNB086</t>
        </is>
      </c>
      <c r="B364" s="4" t="inlineStr">
        <is>
          <t>C23</t>
        </is>
      </c>
      <c r="C364" s="4" t="inlineStr">
        <is>
          <t>FOCAL 2020</t>
        </is>
      </c>
      <c r="D364" s="4" t="n">
        <v>6</v>
      </c>
      <c r="E364" s="4" t="inlineStr">
        <is>
          <t>MX_NB-02</t>
        </is>
      </c>
      <c r="F364" s="4" t="n">
        <v>4</v>
      </c>
      <c r="G364" s="4" t="inlineStr">
        <is>
          <t>4</t>
        </is>
      </c>
      <c r="H364" s="12" t="inlineStr">
        <is>
          <t>chưa ghi hàn tại MX_NB-02 (dự phòng / chưa rõ / không hàn)</t>
        </is>
      </c>
      <c r="I364" s="4" t="inlineStr"/>
      <c r="J364" s="4" t="inlineStr"/>
      <c r="K364" s="4" t="inlineStr"/>
      <c r="L364" s="4" t="inlineStr">
        <is>
          <t>MX_NB-02</t>
        </is>
      </c>
    </row>
    <row r="365">
      <c r="A365" s="4" t="inlineStr">
        <is>
          <t>HNB086</t>
        </is>
      </c>
      <c r="B365" s="4" t="inlineStr">
        <is>
          <t>C23</t>
        </is>
      </c>
      <c r="C365" s="4" t="inlineStr">
        <is>
          <t>FOCAL 2020</t>
        </is>
      </c>
      <c r="D365" s="4" t="n">
        <v>6</v>
      </c>
      <c r="E365" s="4" t="inlineStr">
        <is>
          <t>MX_NB-02</t>
        </is>
      </c>
      <c r="F365" s="4" t="n">
        <v>5</v>
      </c>
      <c r="G365" s="4" t="inlineStr">
        <is>
          <t>5</t>
        </is>
      </c>
      <c r="H365" s="12" t="inlineStr">
        <is>
          <t>chưa ghi hàn tại MX_NB-02 (dự phòng / chưa rõ / không hàn)</t>
        </is>
      </c>
      <c r="I365" s="4" t="inlineStr"/>
      <c r="J365" s="4" t="inlineStr"/>
      <c r="K365" s="4" t="inlineStr"/>
      <c r="L365" s="4" t="inlineStr">
        <is>
          <t>MX_NB-02</t>
        </is>
      </c>
    </row>
    <row r="366">
      <c r="A366" s="4" t="inlineStr">
        <is>
          <t>HNB086</t>
        </is>
      </c>
      <c r="B366" s="4" t="inlineStr">
        <is>
          <t>C23</t>
        </is>
      </c>
      <c r="C366" s="4" t="inlineStr">
        <is>
          <t>FOCAL 2020</t>
        </is>
      </c>
      <c r="D366" s="4" t="n">
        <v>6</v>
      </c>
      <c r="E366" s="4" t="inlineStr">
        <is>
          <t>MX_NB-02</t>
        </is>
      </c>
      <c r="F366" s="4" t="n">
        <v>6</v>
      </c>
      <c r="G366" s="4" t="inlineStr">
        <is>
          <t>6</t>
        </is>
      </c>
      <c r="H366" s="12" t="inlineStr">
        <is>
          <t>chưa ghi hàn tại MX_NB-02 (dự phòng / chưa rõ / không hàn)</t>
        </is>
      </c>
      <c r="I366" s="4" t="inlineStr"/>
      <c r="J366" s="4" t="inlineStr"/>
      <c r="K366" s="4" t="inlineStr"/>
      <c r="L366" s="4" t="inlineStr">
        <is>
          <t>MX_NB-02</t>
        </is>
      </c>
    </row>
    <row r="367">
      <c r="A367" s="4" t="inlineStr">
        <is>
          <t>HNB086</t>
        </is>
      </c>
      <c r="B367" s="4" t="inlineStr">
        <is>
          <t>C24</t>
        </is>
      </c>
      <c r="C367" s="4" t="inlineStr">
        <is>
          <t>FOCAL 2020</t>
        </is>
      </c>
      <c r="D367" s="4" t="n">
        <v>6</v>
      </c>
      <c r="E367" s="4" t="inlineStr">
        <is>
          <t>HNB024</t>
        </is>
      </c>
      <c r="F367" s="4" t="n">
        <v>1</v>
      </c>
      <c r="G367" s="4" t="inlineStr">
        <is>
          <t>1</t>
        </is>
      </c>
      <c r="H367" s="13" t="inlineStr">
        <is>
          <t>sợi nối trực tiếp → HNB024 (chưa rõ đã hàn pigtail ở ODF hai đầu)</t>
        </is>
      </c>
      <c r="I367" s="4" t="inlineStr">
        <is>
          <t>HNB024</t>
        </is>
      </c>
      <c r="J367" s="4" t="inlineStr"/>
      <c r="K367" s="4" t="inlineStr"/>
      <c r="L367" s="4" t="inlineStr">
        <is>
          <t>HNB024</t>
        </is>
      </c>
    </row>
    <row r="368">
      <c r="A368" s="4" t="inlineStr">
        <is>
          <t>HNB086</t>
        </is>
      </c>
      <c r="B368" s="4" t="inlineStr">
        <is>
          <t>C24</t>
        </is>
      </c>
      <c r="C368" s="4" t="inlineStr">
        <is>
          <t>FOCAL 2020</t>
        </is>
      </c>
      <c r="D368" s="4" t="n">
        <v>6</v>
      </c>
      <c r="E368" s="4" t="inlineStr">
        <is>
          <t>HNB024</t>
        </is>
      </c>
      <c r="F368" s="4" t="n">
        <v>2</v>
      </c>
      <c r="G368" s="4" t="inlineStr">
        <is>
          <t>2</t>
        </is>
      </c>
      <c r="H368" s="13" t="inlineStr">
        <is>
          <t>sợi nối trực tiếp → HNB024 (chưa rõ đã hàn pigtail ở ODF hai đầu)</t>
        </is>
      </c>
      <c r="I368" s="4" t="inlineStr">
        <is>
          <t>HNB024</t>
        </is>
      </c>
      <c r="J368" s="4" t="inlineStr"/>
      <c r="K368" s="4" t="inlineStr"/>
      <c r="L368" s="4" t="inlineStr">
        <is>
          <t>HNB024</t>
        </is>
      </c>
    </row>
    <row r="369">
      <c r="A369" s="4" t="inlineStr">
        <is>
          <t>HNB086</t>
        </is>
      </c>
      <c r="B369" s="4" t="inlineStr">
        <is>
          <t>C24</t>
        </is>
      </c>
      <c r="C369" s="4" t="inlineStr">
        <is>
          <t>FOCAL 2020</t>
        </is>
      </c>
      <c r="D369" s="4" t="n">
        <v>6</v>
      </c>
      <c r="E369" s="4" t="inlineStr">
        <is>
          <t>HNB024</t>
        </is>
      </c>
      <c r="F369" s="4" t="n">
        <v>3</v>
      </c>
      <c r="G369" s="4" t="inlineStr">
        <is>
          <t>3</t>
        </is>
      </c>
      <c r="H369" s="13" t="inlineStr">
        <is>
          <t>sợi nối trực tiếp → HNB024 (chưa rõ đã hàn pigtail ở ODF hai đầu)</t>
        </is>
      </c>
      <c r="I369" s="4" t="inlineStr">
        <is>
          <t>HNB024</t>
        </is>
      </c>
      <c r="J369" s="4" t="inlineStr"/>
      <c r="K369" s="4" t="inlineStr"/>
      <c r="L369" s="4" t="inlineStr">
        <is>
          <t>HNB024</t>
        </is>
      </c>
    </row>
    <row r="370">
      <c r="A370" s="4" t="inlineStr">
        <is>
          <t>HNB086</t>
        </is>
      </c>
      <c r="B370" s="4" t="inlineStr">
        <is>
          <t>C24</t>
        </is>
      </c>
      <c r="C370" s="4" t="inlineStr">
        <is>
          <t>FOCAL 2020</t>
        </is>
      </c>
      <c r="D370" s="4" t="n">
        <v>6</v>
      </c>
      <c r="E370" s="4" t="inlineStr">
        <is>
          <t>HNB024</t>
        </is>
      </c>
      <c r="F370" s="4" t="n">
        <v>4</v>
      </c>
      <c r="G370" s="4" t="inlineStr">
        <is>
          <t>4</t>
        </is>
      </c>
      <c r="H370" s="13" t="inlineStr">
        <is>
          <t>sợi nối trực tiếp → HNB024 (chưa rõ đã hàn pigtail ở ODF hai đầu)</t>
        </is>
      </c>
      <c r="I370" s="4" t="inlineStr">
        <is>
          <t>HNB024</t>
        </is>
      </c>
      <c r="J370" s="4" t="inlineStr"/>
      <c r="K370" s="4" t="inlineStr"/>
      <c r="L370" s="4" t="inlineStr">
        <is>
          <t>HNB024</t>
        </is>
      </c>
    </row>
    <row r="371">
      <c r="A371" s="4" t="inlineStr">
        <is>
          <t>HNB086</t>
        </is>
      </c>
      <c r="B371" s="4" t="inlineStr">
        <is>
          <t>C24</t>
        </is>
      </c>
      <c r="C371" s="4" t="inlineStr">
        <is>
          <t>FOCAL 2020</t>
        </is>
      </c>
      <c r="D371" s="4" t="n">
        <v>6</v>
      </c>
      <c r="E371" s="4" t="inlineStr">
        <is>
          <t>HNB024</t>
        </is>
      </c>
      <c r="F371" s="4" t="n">
        <v>5</v>
      </c>
      <c r="G371" s="4" t="inlineStr">
        <is>
          <t>5</t>
        </is>
      </c>
      <c r="H371" s="13" t="inlineStr">
        <is>
          <t>sợi nối trực tiếp → HNB024 (chưa rõ đã hàn pigtail ở ODF hai đầu)</t>
        </is>
      </c>
      <c r="I371" s="4" t="inlineStr">
        <is>
          <t>HNB024</t>
        </is>
      </c>
      <c r="J371" s="4" t="inlineStr"/>
      <c r="K371" s="4" t="inlineStr"/>
      <c r="L371" s="4" t="inlineStr">
        <is>
          <t>HNB024</t>
        </is>
      </c>
    </row>
    <row r="372">
      <c r="A372" s="4" t="inlineStr">
        <is>
          <t>HNB086</t>
        </is>
      </c>
      <c r="B372" s="4" t="inlineStr">
        <is>
          <t>C24</t>
        </is>
      </c>
      <c r="C372" s="4" t="inlineStr">
        <is>
          <t>FOCAL 2020</t>
        </is>
      </c>
      <c r="D372" s="4" t="n">
        <v>6</v>
      </c>
      <c r="E372" s="4" t="inlineStr">
        <is>
          <t>HNB024</t>
        </is>
      </c>
      <c r="F372" s="4" t="n">
        <v>6</v>
      </c>
      <c r="G372" s="4" t="inlineStr">
        <is>
          <t>6</t>
        </is>
      </c>
      <c r="H372" s="13" t="inlineStr">
        <is>
          <t>sợi nối trực tiếp → HNB024 (chưa rõ đã hàn pigtail ở ODF hai đầu)</t>
        </is>
      </c>
      <c r="I372" s="4" t="inlineStr">
        <is>
          <t>HNB024</t>
        </is>
      </c>
      <c r="J372" s="4" t="inlineStr"/>
      <c r="K372" s="4" t="inlineStr"/>
      <c r="L372" s="4" t="inlineStr">
        <is>
          <t>HNB024</t>
        </is>
      </c>
    </row>
    <row r="373">
      <c r="A373" s="4" t="inlineStr">
        <is>
          <t>HNB091</t>
        </is>
      </c>
      <c r="B373" s="4" t="inlineStr">
        <is>
          <t>C07</t>
        </is>
      </c>
      <c r="C373" s="4" t="inlineStr">
        <is>
          <t>FOCAL 2020</t>
        </is>
      </c>
      <c r="D373" s="4" t="n">
        <v>6</v>
      </c>
      <c r="E373" s="4" t="inlineStr">
        <is>
          <t>MX_NVT_03A</t>
        </is>
      </c>
      <c r="F373" s="4" t="n">
        <v>1</v>
      </c>
      <c r="G373" s="4" t="inlineStr">
        <is>
          <t>1</t>
        </is>
      </c>
      <c r="H373" s="11" t="inlineStr">
        <is>
          <t>đang chạy link R2-03 → HNB006</t>
        </is>
      </c>
      <c r="I373" s="4" t="inlineStr">
        <is>
          <t>HNB006</t>
        </is>
      </c>
      <c r="J373" s="4" t="inlineStr">
        <is>
          <t>R2-03</t>
        </is>
      </c>
      <c r="K373" s="4" t="inlineStr">
        <is>
          <t>mô tả</t>
        </is>
      </c>
      <c r="L373" s="4" t="inlineStr">
        <is>
          <t>MX_NVT_03A→MX_NVT_02A→HNB006</t>
        </is>
      </c>
    </row>
    <row r="374">
      <c r="A374" s="4" t="inlineStr">
        <is>
          <t>HNB091</t>
        </is>
      </c>
      <c r="B374" s="4" t="inlineStr">
        <is>
          <t>C07</t>
        </is>
      </c>
      <c r="C374" s="4" t="inlineStr">
        <is>
          <t>FOCAL 2020</t>
        </is>
      </c>
      <c r="D374" s="4" t="n">
        <v>6</v>
      </c>
      <c r="E374" s="4" t="inlineStr">
        <is>
          <t>MX_NVT_03A</t>
        </is>
      </c>
      <c r="F374" s="4" t="n">
        <v>2</v>
      </c>
      <c r="G374" s="4" t="inlineStr">
        <is>
          <t>2</t>
        </is>
      </c>
      <c r="H374" s="11" t="inlineStr">
        <is>
          <t>đang chạy link R2-03 → HNB006</t>
        </is>
      </c>
      <c r="I374" s="4" t="inlineStr">
        <is>
          <t>HNB006</t>
        </is>
      </c>
      <c r="J374" s="4" t="inlineStr">
        <is>
          <t>R2-03</t>
        </is>
      </c>
      <c r="K374" s="4" t="inlineStr">
        <is>
          <t>mô tả</t>
        </is>
      </c>
      <c r="L374" s="4" t="inlineStr">
        <is>
          <t>MX_NVT_03A→MX_NVT_02A→HNB006</t>
        </is>
      </c>
    </row>
    <row r="375">
      <c r="A375" s="4" t="inlineStr">
        <is>
          <t>HNB091</t>
        </is>
      </c>
      <c r="B375" s="4" t="inlineStr">
        <is>
          <t>C07</t>
        </is>
      </c>
      <c r="C375" s="4" t="inlineStr">
        <is>
          <t>FOCAL 2020</t>
        </is>
      </c>
      <c r="D375" s="4" t="n">
        <v>6</v>
      </c>
      <c r="E375" s="4" t="inlineStr">
        <is>
          <t>MX_NVT_03A</t>
        </is>
      </c>
      <c r="F375" s="4" t="n">
        <v>3</v>
      </c>
      <c r="G375" s="4" t="inlineStr">
        <is>
          <t>3</t>
        </is>
      </c>
      <c r="H375" s="12" t="inlineStr">
        <is>
          <t>chưa ghi hàn tại MX_NVT_03A (dự phòng / chưa rõ / không hàn)</t>
        </is>
      </c>
      <c r="I375" s="4" t="inlineStr"/>
      <c r="J375" s="4" t="inlineStr"/>
      <c r="K375" s="4" t="inlineStr"/>
      <c r="L375" s="4" t="inlineStr">
        <is>
          <t>MX_NVT_03A</t>
        </is>
      </c>
    </row>
    <row r="376">
      <c r="A376" s="4" t="inlineStr">
        <is>
          <t>HNB091</t>
        </is>
      </c>
      <c r="B376" s="4" t="inlineStr">
        <is>
          <t>C07</t>
        </is>
      </c>
      <c r="C376" s="4" t="inlineStr">
        <is>
          <t>FOCAL 2020</t>
        </is>
      </c>
      <c r="D376" s="4" t="n">
        <v>6</v>
      </c>
      <c r="E376" s="4" t="inlineStr">
        <is>
          <t>MX_NVT_03A</t>
        </is>
      </c>
      <c r="F376" s="4" t="n">
        <v>4</v>
      </c>
      <c r="G376" s="4" t="inlineStr">
        <is>
          <t>4</t>
        </is>
      </c>
      <c r="H376" s="12" t="inlineStr">
        <is>
          <t>chưa ghi hàn tại MX_NVT_03A (dự phòng / chưa rõ / không hàn)</t>
        </is>
      </c>
      <c r="I376" s="4" t="inlineStr"/>
      <c r="J376" s="4" t="inlineStr"/>
      <c r="K376" s="4" t="inlineStr"/>
      <c r="L376" s="4" t="inlineStr">
        <is>
          <t>MX_NVT_03A</t>
        </is>
      </c>
    </row>
    <row r="377">
      <c r="A377" s="4" t="inlineStr">
        <is>
          <t>HNB091</t>
        </is>
      </c>
      <c r="B377" s="4" t="inlineStr">
        <is>
          <t>C07</t>
        </is>
      </c>
      <c r="C377" s="4" t="inlineStr">
        <is>
          <t>FOCAL 2020</t>
        </is>
      </c>
      <c r="D377" s="4" t="n">
        <v>6</v>
      </c>
      <c r="E377" s="4" t="inlineStr">
        <is>
          <t>MX_NVT_03A</t>
        </is>
      </c>
      <c r="F377" s="4" t="n">
        <v>5</v>
      </c>
      <c r="G377" s="4" t="inlineStr">
        <is>
          <t>5</t>
        </is>
      </c>
      <c r="H377" s="12" t="inlineStr">
        <is>
          <t>chưa ghi hàn tại MX_NVT_03A (dự phòng / chưa rõ / không hàn)</t>
        </is>
      </c>
      <c r="I377" s="4" t="inlineStr"/>
      <c r="J377" s="4" t="inlineStr"/>
      <c r="K377" s="4" t="inlineStr"/>
      <c r="L377" s="4" t="inlineStr">
        <is>
          <t>MX_NVT_03A</t>
        </is>
      </c>
    </row>
    <row r="378">
      <c r="A378" s="4" t="inlineStr">
        <is>
          <t>HNB091</t>
        </is>
      </c>
      <c r="B378" s="4" t="inlineStr">
        <is>
          <t>C07</t>
        </is>
      </c>
      <c r="C378" s="4" t="inlineStr">
        <is>
          <t>FOCAL 2020</t>
        </is>
      </c>
      <c r="D378" s="4" t="n">
        <v>6</v>
      </c>
      <c r="E378" s="4" t="inlineStr">
        <is>
          <t>MX_NVT_03A</t>
        </is>
      </c>
      <c r="F378" s="4" t="n">
        <v>6</v>
      </c>
      <c r="G378" s="4" t="inlineStr">
        <is>
          <t>6</t>
        </is>
      </c>
      <c r="H378" s="12" t="inlineStr">
        <is>
          <t>chưa ghi hàn tại MX_NVT_03A (dự phòng / chưa rõ / không hàn)</t>
        </is>
      </c>
      <c r="I378" s="4" t="inlineStr"/>
      <c r="J378" s="4" t="inlineStr"/>
      <c r="K378" s="4" t="inlineStr"/>
      <c r="L378" s="4" t="inlineStr">
        <is>
          <t>MX_NVT_03A</t>
        </is>
      </c>
    </row>
    <row r="379">
      <c r="A379" s="4" t="inlineStr">
        <is>
          <t>HNB091</t>
        </is>
      </c>
      <c r="B379" s="4" t="inlineStr">
        <is>
          <t>C08</t>
        </is>
      </c>
      <c r="C379" s="4" t="inlineStr">
        <is>
          <t>FOCAL 2020</t>
        </is>
      </c>
      <c r="D379" s="4" t="n">
        <v>6</v>
      </c>
      <c r="E379" s="4" t="inlineStr">
        <is>
          <t>MX_NVT_03B</t>
        </is>
      </c>
      <c r="F379" s="4" t="n">
        <v>1</v>
      </c>
      <c r="G379" s="4" t="inlineStr">
        <is>
          <t>1</t>
        </is>
      </c>
      <c r="H379" s="11" t="inlineStr">
        <is>
          <t>đang chạy link R2-04 → NBE22</t>
        </is>
      </c>
      <c r="I379" s="4" t="inlineStr">
        <is>
          <t>NBE22</t>
        </is>
      </c>
      <c r="J379" s="4" t="inlineStr">
        <is>
          <t>R2-04</t>
        </is>
      </c>
      <c r="K379" s="4" t="inlineStr">
        <is>
          <t>mô tả</t>
        </is>
      </c>
      <c r="L379" s="4" t="inlineStr">
        <is>
          <t>MX_NVT_03B→MX_NVT_02B→MX_LVL-05→MX_NB-01→MX_NB-02→MX_NB-03→MX_NB-04→MX thẳng HTP→MX_HTP-03B→ODF-02 NBE22</t>
        </is>
      </c>
    </row>
    <row r="380">
      <c r="A380" s="4" t="inlineStr">
        <is>
          <t>HNB091</t>
        </is>
      </c>
      <c r="B380" s="4" t="inlineStr">
        <is>
          <t>C08</t>
        </is>
      </c>
      <c r="C380" s="4" t="inlineStr">
        <is>
          <t>FOCAL 2020</t>
        </is>
      </c>
      <c r="D380" s="4" t="n">
        <v>6</v>
      </c>
      <c r="E380" s="4" t="inlineStr">
        <is>
          <t>MX_NVT_03B</t>
        </is>
      </c>
      <c r="F380" s="4" t="n">
        <v>2</v>
      </c>
      <c r="G380" s="4" t="inlineStr">
        <is>
          <t>2</t>
        </is>
      </c>
      <c r="H380" s="11" t="inlineStr">
        <is>
          <t>đang chạy link R2-04 → NBE22</t>
        </is>
      </c>
      <c r="I380" s="4" t="inlineStr">
        <is>
          <t>NBE22</t>
        </is>
      </c>
      <c r="J380" s="4" t="inlineStr">
        <is>
          <t>R2-04</t>
        </is>
      </c>
      <c r="K380" s="4" t="inlineStr">
        <is>
          <t>mô tả</t>
        </is>
      </c>
      <c r="L380" s="4" t="inlineStr">
        <is>
          <t>MX_NVT_03B→MX_NVT_02B→MX_LVL-05→MX_NB-01→MX_NB-02→MX_NB-03→MX_NB-04→MX thẳng HTP→MX_HTP-03B→ODF-02 NBE22</t>
        </is>
      </c>
    </row>
    <row r="381">
      <c r="A381" s="4" t="inlineStr">
        <is>
          <t>HNB091</t>
        </is>
      </c>
      <c r="B381" s="4" t="inlineStr">
        <is>
          <t>C08</t>
        </is>
      </c>
      <c r="C381" s="4" t="inlineStr">
        <is>
          <t>FOCAL 2020</t>
        </is>
      </c>
      <c r="D381" s="4" t="n">
        <v>6</v>
      </c>
      <c r="E381" s="4" t="inlineStr">
        <is>
          <t>MX_NVT_03B</t>
        </is>
      </c>
      <c r="F381" s="4" t="n">
        <v>3</v>
      </c>
      <c r="G381" s="4" t="inlineStr">
        <is>
          <t>3</t>
        </is>
      </c>
      <c r="H381" s="12" t="inlineStr">
        <is>
          <t>chưa ghi hàn tại MX_NVT_03B (dự phòng / chưa rõ / không hàn)</t>
        </is>
      </c>
      <c r="I381" s="4" t="inlineStr"/>
      <c r="J381" s="4" t="inlineStr"/>
      <c r="K381" s="4" t="inlineStr"/>
      <c r="L381" s="4" t="inlineStr">
        <is>
          <t>MX_NVT_03B</t>
        </is>
      </c>
    </row>
    <row r="382">
      <c r="A382" s="4" t="inlineStr">
        <is>
          <t>HNB091</t>
        </is>
      </c>
      <c r="B382" s="4" t="inlineStr">
        <is>
          <t>C08</t>
        </is>
      </c>
      <c r="C382" s="4" t="inlineStr">
        <is>
          <t>FOCAL 2020</t>
        </is>
      </c>
      <c r="D382" s="4" t="n">
        <v>6</v>
      </c>
      <c r="E382" s="4" t="inlineStr">
        <is>
          <t>MX_NVT_03B</t>
        </is>
      </c>
      <c r="F382" s="4" t="n">
        <v>4</v>
      </c>
      <c r="G382" s="4" t="inlineStr">
        <is>
          <t>4</t>
        </is>
      </c>
      <c r="H382" s="12" t="inlineStr">
        <is>
          <t>chưa ghi hàn tại MX_NVT_03B (dự phòng / chưa rõ / không hàn)</t>
        </is>
      </c>
      <c r="I382" s="4" t="inlineStr"/>
      <c r="J382" s="4" t="inlineStr"/>
      <c r="K382" s="4" t="inlineStr"/>
      <c r="L382" s="4" t="inlineStr">
        <is>
          <t>MX_NVT_03B</t>
        </is>
      </c>
    </row>
    <row r="383">
      <c r="A383" s="4" t="inlineStr">
        <is>
          <t>HNB091</t>
        </is>
      </c>
      <c r="B383" s="4" t="inlineStr">
        <is>
          <t>C08</t>
        </is>
      </c>
      <c r="C383" s="4" t="inlineStr">
        <is>
          <t>FOCAL 2020</t>
        </is>
      </c>
      <c r="D383" s="4" t="n">
        <v>6</v>
      </c>
      <c r="E383" s="4" t="inlineStr">
        <is>
          <t>MX_NVT_03B</t>
        </is>
      </c>
      <c r="F383" s="4" t="n">
        <v>5</v>
      </c>
      <c r="G383" s="4" t="inlineStr">
        <is>
          <t>5</t>
        </is>
      </c>
      <c r="H383" s="12" t="inlineStr">
        <is>
          <t>chưa ghi hàn tại MX_NVT_03B (dự phòng / chưa rõ / không hàn)</t>
        </is>
      </c>
      <c r="I383" s="4" t="inlineStr"/>
      <c r="J383" s="4" t="inlineStr"/>
      <c r="K383" s="4" t="inlineStr"/>
      <c r="L383" s="4" t="inlineStr">
        <is>
          <t>MX_NVT_03B</t>
        </is>
      </c>
    </row>
    <row r="384">
      <c r="A384" s="4" t="inlineStr">
        <is>
          <t>HNB091</t>
        </is>
      </c>
      <c r="B384" s="4" t="inlineStr">
        <is>
          <t>C08</t>
        </is>
      </c>
      <c r="C384" s="4" t="inlineStr">
        <is>
          <t>FOCAL 2020</t>
        </is>
      </c>
      <c r="D384" s="4" t="n">
        <v>6</v>
      </c>
      <c r="E384" s="4" t="inlineStr">
        <is>
          <t>MX_NVT_03B</t>
        </is>
      </c>
      <c r="F384" s="4" t="n">
        <v>6</v>
      </c>
      <c r="G384" s="4" t="inlineStr">
        <is>
          <t>6</t>
        </is>
      </c>
      <c r="H384" s="12" t="inlineStr">
        <is>
          <t>chưa ghi hàn tại MX_NVT_03B (dự phòng / chưa rõ / không hàn)</t>
        </is>
      </c>
      <c r="I384" s="4" t="inlineStr"/>
      <c r="J384" s="4" t="inlineStr"/>
      <c r="K384" s="4" t="inlineStr"/>
      <c r="L384" s="4" t="inlineStr">
        <is>
          <t>MX_NVT_03B</t>
        </is>
      </c>
    </row>
    <row r="385">
      <c r="A385" s="4" t="inlineStr">
        <is>
          <t>HNB094</t>
        </is>
      </c>
      <c r="B385" s="4" t="inlineStr">
        <is>
          <t>C49</t>
        </is>
      </c>
      <c r="C385" s="4" t="inlineStr">
        <is>
          <t>SACOM 2014</t>
        </is>
      </c>
      <c r="D385" s="4" t="n">
        <v>12</v>
      </c>
      <c r="E385" s="4" t="inlineStr">
        <is>
          <t>MX_LVL-03</t>
        </is>
      </c>
      <c r="F385" s="4" t="n">
        <v>1</v>
      </c>
      <c r="G385" s="4" t="inlineStr">
        <is>
          <t>1</t>
        </is>
      </c>
      <c r="H385" s="11" t="inlineStr">
        <is>
          <t>đang chạy link R3-S1 → HNB018</t>
        </is>
      </c>
      <c r="I385" s="4" t="inlineStr">
        <is>
          <t>HNB018</t>
        </is>
      </c>
      <c r="J385" s="4" t="inlineStr">
        <is>
          <t>R3-S1</t>
        </is>
      </c>
      <c r="K385" s="4" t="inlineStr">
        <is>
          <t>mô tả</t>
        </is>
      </c>
      <c r="L385" s="4" t="inlineStr">
        <is>
          <t>MX_LVL-03→MX_LVL-04→HNB018</t>
        </is>
      </c>
    </row>
    <row r="386">
      <c r="A386" s="4" t="inlineStr">
        <is>
          <t>HNB094</t>
        </is>
      </c>
      <c r="B386" s="4" t="inlineStr">
        <is>
          <t>C49</t>
        </is>
      </c>
      <c r="C386" s="4" t="inlineStr">
        <is>
          <t>SACOM 2014</t>
        </is>
      </c>
      <c r="D386" s="4" t="n">
        <v>12</v>
      </c>
      <c r="E386" s="4" t="inlineStr">
        <is>
          <t>MX_LVL-03</t>
        </is>
      </c>
      <c r="F386" s="4" t="n">
        <v>2</v>
      </c>
      <c r="G386" s="4" t="inlineStr">
        <is>
          <t>2</t>
        </is>
      </c>
      <c r="H386" s="11" t="inlineStr">
        <is>
          <t>đang chạy link R3-S1 → HNB018</t>
        </is>
      </c>
      <c r="I386" s="4" t="inlineStr">
        <is>
          <t>HNB018</t>
        </is>
      </c>
      <c r="J386" s="4" t="inlineStr">
        <is>
          <t>R3-S1</t>
        </is>
      </c>
      <c r="K386" s="4" t="inlineStr">
        <is>
          <t>mô tả</t>
        </is>
      </c>
      <c r="L386" s="4" t="inlineStr">
        <is>
          <t>MX_LVL-03→MX_LVL-04→HNB018</t>
        </is>
      </c>
    </row>
    <row r="387">
      <c r="A387" s="4" t="inlineStr">
        <is>
          <t>HNB094</t>
        </is>
      </c>
      <c r="B387" s="4" t="inlineStr">
        <is>
          <t>C49</t>
        </is>
      </c>
      <c r="C387" s="4" t="inlineStr">
        <is>
          <t>SACOM 2014</t>
        </is>
      </c>
      <c r="D387" s="4" t="n">
        <v>12</v>
      </c>
      <c r="E387" s="4" t="inlineStr">
        <is>
          <t>MX_LVL-03</t>
        </is>
      </c>
      <c r="F387" s="4" t="n">
        <v>3</v>
      </c>
      <c r="G387" s="4" t="inlineStr">
        <is>
          <t>3</t>
        </is>
      </c>
      <c r="H387" s="11" t="inlineStr">
        <is>
          <t>đang chạy link R3-03 → HNB065</t>
        </is>
      </c>
      <c r="I387" s="4" t="inlineStr">
        <is>
          <t>HNB065</t>
        </is>
      </c>
      <c r="J387" s="4" t="inlineStr">
        <is>
          <t>R3-03</t>
        </is>
      </c>
      <c r="K387" s="4" t="inlineStr">
        <is>
          <t>mô tả</t>
        </is>
      </c>
      <c r="L387" s="4" t="inlineStr">
        <is>
          <t>MX_LVL-03→MX thẳng đi LVL→MX_LVL-02→HNB065</t>
        </is>
      </c>
    </row>
    <row r="388">
      <c r="A388" s="4" t="inlineStr">
        <is>
          <t>HNB094</t>
        </is>
      </c>
      <c r="B388" s="4" t="inlineStr">
        <is>
          <t>C49</t>
        </is>
      </c>
      <c r="C388" s="4" t="inlineStr">
        <is>
          <t>SACOM 2014</t>
        </is>
      </c>
      <c r="D388" s="4" t="n">
        <v>12</v>
      </c>
      <c r="E388" s="4" t="inlineStr">
        <is>
          <t>MX_LVL-03</t>
        </is>
      </c>
      <c r="F388" s="4" t="n">
        <v>4</v>
      </c>
      <c r="G388" s="4" t="inlineStr">
        <is>
          <t>4</t>
        </is>
      </c>
      <c r="H388" s="11" t="inlineStr">
        <is>
          <t>đang chạy link R3-03 → HNB065</t>
        </is>
      </c>
      <c r="I388" s="4" t="inlineStr">
        <is>
          <t>HNB065</t>
        </is>
      </c>
      <c r="J388" s="4" t="inlineStr">
        <is>
          <t>R3-03</t>
        </is>
      </c>
      <c r="K388" s="4" t="inlineStr">
        <is>
          <t>mô tả</t>
        </is>
      </c>
      <c r="L388" s="4" t="inlineStr">
        <is>
          <t>MX_LVL-03→MX thẳng đi LVL→MX_LVL-02→HNB065</t>
        </is>
      </c>
    </row>
    <row r="389">
      <c r="A389" s="4" t="inlineStr">
        <is>
          <t>HNB094</t>
        </is>
      </c>
      <c r="B389" s="4" t="inlineStr">
        <is>
          <t>C49</t>
        </is>
      </c>
      <c r="C389" s="4" t="inlineStr">
        <is>
          <t>SACOM 2014</t>
        </is>
      </c>
      <c r="D389" s="4" t="n">
        <v>12</v>
      </c>
      <c r="E389" s="4" t="inlineStr">
        <is>
          <t>MX_LVL-03</t>
        </is>
      </c>
      <c r="F389" s="4" t="n">
        <v>5</v>
      </c>
      <c r="G389" s="4" t="inlineStr">
        <is>
          <t>5</t>
        </is>
      </c>
      <c r="H389" s="11" t="inlineStr">
        <is>
          <t>đang chạy link R3-04 → NBE22</t>
        </is>
      </c>
      <c r="I389" s="4" t="inlineStr">
        <is>
          <t>NBE22</t>
        </is>
      </c>
      <c r="J389" s="4" t="inlineStr">
        <is>
          <t>R3-04</t>
        </is>
      </c>
      <c r="K389" s="4" t="inlineStr">
        <is>
          <t>mô tả</t>
        </is>
      </c>
      <c r="L389" s="4" t="inlineStr">
        <is>
          <t>MX_LVL-03→MX_HTP-01→MX_HTP-02→MX_HTP-03A→ODF-01 NBE22</t>
        </is>
      </c>
    </row>
    <row r="390">
      <c r="A390" s="4" t="inlineStr">
        <is>
          <t>HNB094</t>
        </is>
      </c>
      <c r="B390" s="4" t="inlineStr">
        <is>
          <t>C49</t>
        </is>
      </c>
      <c r="C390" s="4" t="inlineStr">
        <is>
          <t>SACOM 2014</t>
        </is>
      </c>
      <c r="D390" s="4" t="n">
        <v>12</v>
      </c>
      <c r="E390" s="4" t="inlineStr">
        <is>
          <t>MX_LVL-03</t>
        </is>
      </c>
      <c r="F390" s="4" t="n">
        <v>6</v>
      </c>
      <c r="G390" s="4" t="inlineStr">
        <is>
          <t>6</t>
        </is>
      </c>
      <c r="H390" s="11" t="inlineStr">
        <is>
          <t>đang chạy link R3-04 → NBE22</t>
        </is>
      </c>
      <c r="I390" s="4" t="inlineStr">
        <is>
          <t>NBE22</t>
        </is>
      </c>
      <c r="J390" s="4" t="inlineStr">
        <is>
          <t>R3-04</t>
        </is>
      </c>
      <c r="K390" s="4" t="inlineStr">
        <is>
          <t>mô tả</t>
        </is>
      </c>
      <c r="L390" s="4" t="inlineStr">
        <is>
          <t>MX_LVL-03→MX_HTP-01→MX_HTP-02→MX_HTP-03A→ODF-01 NBE22</t>
        </is>
      </c>
    </row>
    <row r="391">
      <c r="A391" s="4" t="inlineStr">
        <is>
          <t>HNB094</t>
        </is>
      </c>
      <c r="B391" s="4" t="inlineStr">
        <is>
          <t>C49</t>
        </is>
      </c>
      <c r="C391" s="4" t="inlineStr">
        <is>
          <t>SACOM 2014</t>
        </is>
      </c>
      <c r="D391" s="4" t="n">
        <v>12</v>
      </c>
      <c r="E391" s="4" t="inlineStr">
        <is>
          <t>MX_LVL-03</t>
        </is>
      </c>
      <c r="F391" s="4" t="n">
        <v>7</v>
      </c>
      <c r="G391" s="4" t="inlineStr">
        <is>
          <t>không có cổng ODF (ODF chỉ có 6 cổng hướng này)</t>
        </is>
      </c>
      <c r="H391" s="12" t="inlineStr">
        <is>
          <t>chưa ghi hàn tại MX_LVL-03 (dự phòng / chưa rõ / không hàn)</t>
        </is>
      </c>
      <c r="I391" s="4" t="inlineStr"/>
      <c r="J391" s="4" t="inlineStr"/>
      <c r="K391" s="4" t="inlineStr"/>
      <c r="L391" s="4" t="inlineStr">
        <is>
          <t>MX_LVL-03</t>
        </is>
      </c>
    </row>
    <row r="392">
      <c r="A392" s="4" t="inlineStr">
        <is>
          <t>HNB094</t>
        </is>
      </c>
      <c r="B392" s="4" t="inlineStr">
        <is>
          <t>C49</t>
        </is>
      </c>
      <c r="C392" s="4" t="inlineStr">
        <is>
          <t>SACOM 2014</t>
        </is>
      </c>
      <c r="D392" s="4" t="n">
        <v>12</v>
      </c>
      <c r="E392" s="4" t="inlineStr">
        <is>
          <t>MX_LVL-03</t>
        </is>
      </c>
      <c r="F392" s="4" t="n">
        <v>8</v>
      </c>
      <c r="G392" s="4" t="inlineStr">
        <is>
          <t>không có cổng ODF (ODF chỉ có 6 cổng hướng này)</t>
        </is>
      </c>
      <c r="H392" s="12" t="inlineStr">
        <is>
          <t>chưa ghi hàn tại MX_LVL-03 (dự phòng / chưa rõ / không hàn)</t>
        </is>
      </c>
      <c r="I392" s="4" t="inlineStr"/>
      <c r="J392" s="4" t="inlineStr"/>
      <c r="K392" s="4" t="inlineStr"/>
      <c r="L392" s="4" t="inlineStr">
        <is>
          <t>MX_LVL-03</t>
        </is>
      </c>
    </row>
    <row r="393">
      <c r="A393" s="4" t="inlineStr">
        <is>
          <t>HNB094</t>
        </is>
      </c>
      <c r="B393" s="4" t="inlineStr">
        <is>
          <t>C49</t>
        </is>
      </c>
      <c r="C393" s="4" t="inlineStr">
        <is>
          <t>SACOM 2014</t>
        </is>
      </c>
      <c r="D393" s="4" t="n">
        <v>12</v>
      </c>
      <c r="E393" s="4" t="inlineStr">
        <is>
          <t>MX_LVL-03</t>
        </is>
      </c>
      <c r="F393" s="4" t="n">
        <v>9</v>
      </c>
      <c r="G393" s="4" t="inlineStr">
        <is>
          <t>không có cổng ODF (ODF chỉ có 6 cổng hướng này)</t>
        </is>
      </c>
      <c r="H393" s="12" t="inlineStr">
        <is>
          <t>chưa ghi hàn tại MX_LVL-03 (dự phòng / chưa rõ / không hàn)</t>
        </is>
      </c>
      <c r="I393" s="4" t="inlineStr"/>
      <c r="J393" s="4" t="inlineStr"/>
      <c r="K393" s="4" t="inlineStr"/>
      <c r="L393" s="4" t="inlineStr">
        <is>
          <t>MX_LVL-03</t>
        </is>
      </c>
    </row>
    <row r="394">
      <c r="A394" s="4" t="inlineStr">
        <is>
          <t>HNB094</t>
        </is>
      </c>
      <c r="B394" s="4" t="inlineStr">
        <is>
          <t>C49</t>
        </is>
      </c>
      <c r="C394" s="4" t="inlineStr">
        <is>
          <t>SACOM 2014</t>
        </is>
      </c>
      <c r="D394" s="4" t="n">
        <v>12</v>
      </c>
      <c r="E394" s="4" t="inlineStr">
        <is>
          <t>MX_LVL-03</t>
        </is>
      </c>
      <c r="F394" s="4" t="n">
        <v>10</v>
      </c>
      <c r="G394" s="4" t="inlineStr">
        <is>
          <t>không có cổng ODF (ODF chỉ có 6 cổng hướng này)</t>
        </is>
      </c>
      <c r="H394" s="12" t="inlineStr">
        <is>
          <t>chưa ghi hàn tại MX_LVL-03 (dự phòng / chưa rõ / không hàn)</t>
        </is>
      </c>
      <c r="I394" s="4" t="inlineStr"/>
      <c r="J394" s="4" t="inlineStr"/>
      <c r="K394" s="4" t="inlineStr"/>
      <c r="L394" s="4" t="inlineStr">
        <is>
          <t>MX_LVL-03</t>
        </is>
      </c>
    </row>
    <row r="395">
      <c r="A395" s="4" t="inlineStr">
        <is>
          <t>HNB094</t>
        </is>
      </c>
      <c r="B395" s="4" t="inlineStr">
        <is>
          <t>C49</t>
        </is>
      </c>
      <c r="C395" s="4" t="inlineStr">
        <is>
          <t>SACOM 2014</t>
        </is>
      </c>
      <c r="D395" s="4" t="n">
        <v>12</v>
      </c>
      <c r="E395" s="4" t="inlineStr">
        <is>
          <t>MX_LVL-03</t>
        </is>
      </c>
      <c r="F395" s="4" t="n">
        <v>11</v>
      </c>
      <c r="G395" s="4" t="inlineStr">
        <is>
          <t>không có cổng ODF (ODF chỉ có 6 cổng hướng này)</t>
        </is>
      </c>
      <c r="H395" s="12" t="inlineStr">
        <is>
          <t>chưa ghi hàn tại MX_LVL-03 (dự phòng / chưa rõ / không hàn)</t>
        </is>
      </c>
      <c r="I395" s="4" t="inlineStr"/>
      <c r="J395" s="4" t="inlineStr"/>
      <c r="K395" s="4" t="inlineStr"/>
      <c r="L395" s="4" t="inlineStr">
        <is>
          <t>MX_LVL-03</t>
        </is>
      </c>
    </row>
    <row r="396">
      <c r="A396" s="4" t="inlineStr">
        <is>
          <t>HNB094</t>
        </is>
      </c>
      <c r="B396" s="4" t="inlineStr">
        <is>
          <t>C49</t>
        </is>
      </c>
      <c r="C396" s="4" t="inlineStr">
        <is>
          <t>SACOM 2014</t>
        </is>
      </c>
      <c r="D396" s="4" t="n">
        <v>12</v>
      </c>
      <c r="E396" s="4" t="inlineStr">
        <is>
          <t>MX_LVL-03</t>
        </is>
      </c>
      <c r="F396" s="4" t="n">
        <v>12</v>
      </c>
      <c r="G396" s="4" t="inlineStr">
        <is>
          <t>không có cổng ODF (ODF chỉ có 6 cổng hướng này)</t>
        </is>
      </c>
      <c r="H396" s="12" t="inlineStr">
        <is>
          <t>chưa ghi hàn tại MX_LVL-03 (dự phòng / chưa rõ / không hàn)</t>
        </is>
      </c>
      <c r="I396" s="4" t="inlineStr"/>
      <c r="J396" s="4" t="inlineStr"/>
      <c r="K396" s="4" t="inlineStr"/>
      <c r="L396" s="4" t="inlineStr">
        <is>
          <t>MX_LVL-03</t>
        </is>
      </c>
    </row>
    <row r="397">
      <c r="A397" s="4" t="inlineStr">
        <is>
          <t>NBE12</t>
        </is>
      </c>
      <c r="B397" s="4" t="inlineStr">
        <is>
          <t>C01</t>
        </is>
      </c>
      <c r="C397" s="4" t="inlineStr">
        <is>
          <t>ADSS 9/2009</t>
        </is>
      </c>
      <c r="D397" s="4" t="n">
        <v>24</v>
      </c>
      <c r="E397" s="4" t="inlineStr">
        <is>
          <t>MX nhập đài Long Thới–NVT</t>
        </is>
      </c>
      <c r="F397" s="4" t="n">
        <v>1</v>
      </c>
      <c r="G397" s="4" t="inlineStr">
        <is>
          <t>1</t>
        </is>
      </c>
      <c r="H397" s="11" t="inlineStr">
        <is>
          <t>đang chạy link R2-01 → HNB054</t>
        </is>
      </c>
      <c r="I397" s="4" t="inlineStr">
        <is>
          <t>HNB054</t>
        </is>
      </c>
      <c r="J397" s="4" t="inlineStr">
        <is>
          <t>R2-01</t>
        </is>
      </c>
      <c r="K397" s="4" t="inlineStr">
        <is>
          <t>mô tả</t>
        </is>
      </c>
      <c r="L397" s="4" t="inlineStr">
        <is>
          <t>MX nhập đài Long Thới–NVT→MX_NVT_01→HNB054</t>
        </is>
      </c>
    </row>
    <row r="398">
      <c r="A398" s="4" t="inlineStr">
        <is>
          <t>NBE12</t>
        </is>
      </c>
      <c r="B398" s="4" t="inlineStr">
        <is>
          <t>C01</t>
        </is>
      </c>
      <c r="C398" s="4" t="inlineStr">
        <is>
          <t>ADSS 9/2009</t>
        </is>
      </c>
      <c r="D398" s="4" t="n">
        <v>24</v>
      </c>
      <c r="E398" s="4" t="inlineStr">
        <is>
          <t>MX nhập đài Long Thới–NVT</t>
        </is>
      </c>
      <c r="F398" s="4" t="n">
        <v>2</v>
      </c>
      <c r="G398" s="4" t="inlineStr">
        <is>
          <t>2</t>
        </is>
      </c>
      <c r="H398" s="11" t="inlineStr">
        <is>
          <t>đang chạy link R2-01 → HNB054</t>
        </is>
      </c>
      <c r="I398" s="4" t="inlineStr">
        <is>
          <t>HNB054</t>
        </is>
      </c>
      <c r="J398" s="4" t="inlineStr">
        <is>
          <t>R2-01</t>
        </is>
      </c>
      <c r="K398" s="4" t="inlineStr">
        <is>
          <t>mô tả</t>
        </is>
      </c>
      <c r="L398" s="4" t="inlineStr">
        <is>
          <t>MX nhập đài Long Thới–NVT→MX_NVT_01→HNB054</t>
        </is>
      </c>
    </row>
    <row r="399">
      <c r="A399" s="4" t="inlineStr">
        <is>
          <t>NBE12</t>
        </is>
      </c>
      <c r="B399" s="4" t="inlineStr">
        <is>
          <t>C01</t>
        </is>
      </c>
      <c r="C399" s="4" t="inlineStr">
        <is>
          <t>ADSS 9/2009</t>
        </is>
      </c>
      <c r="D399" s="4" t="n">
        <v>24</v>
      </c>
      <c r="E399" s="4" t="inlineStr">
        <is>
          <t>MX nhập đài Long Thới–NVT</t>
        </is>
      </c>
      <c r="F399" s="4" t="n">
        <v>3</v>
      </c>
      <c r="G399" s="4" t="inlineStr">
        <is>
          <t>3</t>
        </is>
      </c>
      <c r="H399" s="11" t="inlineStr">
        <is>
          <t>đang chạy link R1-01 → HNB059</t>
        </is>
      </c>
      <c r="I399" s="4" t="inlineStr">
        <is>
          <t>HNB059</t>
        </is>
      </c>
      <c r="J399" s="4" t="inlineStr">
        <is>
          <t>R1-01</t>
        </is>
      </c>
      <c r="K399" s="4" t="inlineStr">
        <is>
          <t>mô tả</t>
        </is>
      </c>
      <c r="L399" s="4" t="inlineStr">
        <is>
          <t>MX nhập đài Long Thới–NVT→MX_NVT_01→MX_NVT_02A→MX_NVT_03A→HNB059</t>
        </is>
      </c>
    </row>
    <row r="400">
      <c r="A400" s="4" t="inlineStr">
        <is>
          <t>NBE12</t>
        </is>
      </c>
      <c r="B400" s="4" t="inlineStr">
        <is>
          <t>C01</t>
        </is>
      </c>
      <c r="C400" s="4" t="inlineStr">
        <is>
          <t>ADSS 9/2009</t>
        </is>
      </c>
      <c r="D400" s="4" t="n">
        <v>24</v>
      </c>
      <c r="E400" s="4" t="inlineStr">
        <is>
          <t>MX nhập đài Long Thới–NVT</t>
        </is>
      </c>
      <c r="F400" s="4" t="n">
        <v>4</v>
      </c>
      <c r="G400" s="4" t="inlineStr">
        <is>
          <t>4</t>
        </is>
      </c>
      <c r="H400" s="11" t="inlineStr">
        <is>
          <t>đang chạy link R1-01 → HNB059</t>
        </is>
      </c>
      <c r="I400" s="4" t="inlineStr">
        <is>
          <t>HNB059</t>
        </is>
      </c>
      <c r="J400" s="4" t="inlineStr">
        <is>
          <t>R1-01</t>
        </is>
      </c>
      <c r="K400" s="4" t="inlineStr">
        <is>
          <t>mô tả</t>
        </is>
      </c>
      <c r="L400" s="4" t="inlineStr">
        <is>
          <t>MX nhập đài Long Thới–NVT→MX_NVT_01→MX_NVT_02A→MX_NVT_03A→HNB059</t>
        </is>
      </c>
    </row>
    <row r="401">
      <c r="A401" s="4" t="inlineStr">
        <is>
          <t>NBE12</t>
        </is>
      </c>
      <c r="B401" s="4" t="inlineStr">
        <is>
          <t>C01</t>
        </is>
      </c>
      <c r="C401" s="4" t="inlineStr">
        <is>
          <t>ADSS 9/2009</t>
        </is>
      </c>
      <c r="D401" s="4" t="n">
        <v>24</v>
      </c>
      <c r="E401" s="4" t="inlineStr">
        <is>
          <t>MX nhập đài Long Thới–NVT</t>
        </is>
      </c>
      <c r="F401" s="4" t="n">
        <v>5</v>
      </c>
      <c r="G401" s="4" t="inlineStr">
        <is>
          <t>5</t>
        </is>
      </c>
      <c r="H401" s="12" t="inlineStr">
        <is>
          <t>chưa ghi hàn tại MX_NVT_01 (dự phòng / chưa rõ / không hàn)</t>
        </is>
      </c>
      <c r="I401" s="4" t="inlineStr"/>
      <c r="J401" s="4" t="inlineStr"/>
      <c r="K401" s="4" t="inlineStr">
        <is>
          <t>MX thẳng (số mối hàn)</t>
        </is>
      </c>
      <c r="L401" s="4" t="inlineStr">
        <is>
          <t>MX_NVT_01</t>
        </is>
      </c>
    </row>
    <row r="402">
      <c r="A402" s="4" t="inlineStr">
        <is>
          <t>NBE12</t>
        </is>
      </c>
      <c r="B402" s="4" t="inlineStr">
        <is>
          <t>C01</t>
        </is>
      </c>
      <c r="C402" s="4" t="inlineStr">
        <is>
          <t>ADSS 9/2009</t>
        </is>
      </c>
      <c r="D402" s="4" t="n">
        <v>24</v>
      </c>
      <c r="E402" s="4" t="inlineStr">
        <is>
          <t>MX nhập đài Long Thới–NVT</t>
        </is>
      </c>
      <c r="F402" s="4" t="n">
        <v>6</v>
      </c>
      <c r="G402" s="4" t="inlineStr">
        <is>
          <t>6</t>
        </is>
      </c>
      <c r="H402" s="12" t="inlineStr">
        <is>
          <t>chưa ghi hàn tại MX_NVT_01 (dự phòng / chưa rõ / không hàn)</t>
        </is>
      </c>
      <c r="I402" s="4" t="inlineStr"/>
      <c r="J402" s="4" t="inlineStr"/>
      <c r="K402" s="4" t="inlineStr">
        <is>
          <t>MX thẳng (số mối hàn)</t>
        </is>
      </c>
      <c r="L402" s="4" t="inlineStr">
        <is>
          <t>MX_NVT_01</t>
        </is>
      </c>
    </row>
    <row r="403">
      <c r="A403" s="4" t="inlineStr">
        <is>
          <t>NBE12</t>
        </is>
      </c>
      <c r="B403" s="4" t="inlineStr">
        <is>
          <t>C01</t>
        </is>
      </c>
      <c r="C403" s="4" t="inlineStr">
        <is>
          <t>ADSS 9/2009</t>
        </is>
      </c>
      <c r="D403" s="4" t="n">
        <v>24</v>
      </c>
      <c r="E403" s="4" t="inlineStr">
        <is>
          <t>MX nhập đài Long Thới–NVT</t>
        </is>
      </c>
      <c r="F403" s="4" t="n">
        <v>7</v>
      </c>
      <c r="G403" s="4" t="inlineStr">
        <is>
          <t>7</t>
        </is>
      </c>
      <c r="H403" s="12" t="inlineStr">
        <is>
          <t>chưa ghi hàn tại MX_NVT_01 (dự phòng / chưa rõ / không hàn)</t>
        </is>
      </c>
      <c r="I403" s="4" t="inlineStr"/>
      <c r="J403" s="4" t="inlineStr"/>
      <c r="K403" s="4" t="inlineStr">
        <is>
          <t>MX thẳng (số mối hàn)</t>
        </is>
      </c>
      <c r="L403" s="4" t="inlineStr">
        <is>
          <t>MX_NVT_01</t>
        </is>
      </c>
    </row>
    <row r="404">
      <c r="A404" s="4" t="inlineStr">
        <is>
          <t>NBE12</t>
        </is>
      </c>
      <c r="B404" s="4" t="inlineStr">
        <is>
          <t>C01</t>
        </is>
      </c>
      <c r="C404" s="4" t="inlineStr">
        <is>
          <t>ADSS 9/2009</t>
        </is>
      </c>
      <c r="D404" s="4" t="n">
        <v>24</v>
      </c>
      <c r="E404" s="4" t="inlineStr">
        <is>
          <t>MX nhập đài Long Thới–NVT</t>
        </is>
      </c>
      <c r="F404" s="4" t="n">
        <v>8</v>
      </c>
      <c r="G404" s="4" t="inlineStr">
        <is>
          <t>8</t>
        </is>
      </c>
      <c r="H404" s="12" t="inlineStr">
        <is>
          <t>chưa ghi hàn tại MX_NVT_01 (dự phòng / chưa rõ / không hàn)</t>
        </is>
      </c>
      <c r="I404" s="4" t="inlineStr"/>
      <c r="J404" s="4" t="inlineStr"/>
      <c r="K404" s="4" t="inlineStr">
        <is>
          <t>MX thẳng (số mối hàn)</t>
        </is>
      </c>
      <c r="L404" s="4" t="inlineStr">
        <is>
          <t>MX_NVT_01</t>
        </is>
      </c>
    </row>
    <row r="405">
      <c r="A405" s="4" t="inlineStr">
        <is>
          <t>NBE12</t>
        </is>
      </c>
      <c r="B405" s="4" t="inlineStr">
        <is>
          <t>C01</t>
        </is>
      </c>
      <c r="C405" s="4" t="inlineStr">
        <is>
          <t>ADSS 9/2009</t>
        </is>
      </c>
      <c r="D405" s="4" t="n">
        <v>24</v>
      </c>
      <c r="E405" s="4" t="inlineStr">
        <is>
          <t>MX nhập đài Long Thới–NVT</t>
        </is>
      </c>
      <c r="F405" s="4" t="n">
        <v>9</v>
      </c>
      <c r="G405" s="4" t="inlineStr">
        <is>
          <t>9</t>
        </is>
      </c>
      <c r="H405" s="11" t="inlineStr">
        <is>
          <t>đang chạy link R8-01 → HNB066</t>
        </is>
      </c>
      <c r="I405" s="4" t="inlineStr">
        <is>
          <t>HNB066</t>
        </is>
      </c>
      <c r="J405" s="4" t="inlineStr">
        <is>
          <t>R8-01</t>
        </is>
      </c>
      <c r="K405" s="4" t="inlineStr">
        <is>
          <t>mô tả</t>
        </is>
      </c>
      <c r="L405" s="4" t="inlineStr">
        <is>
          <t>MX nhập đài Long Thới–NVT→MX_NVT_01→MX_NVT_02A→MX_NVT_02B→MX_LVL-05→MX_LVL-04→MX_LVL-03→MX_HTP-01→HNB066</t>
        </is>
      </c>
    </row>
    <row r="406">
      <c r="A406" s="4" t="inlineStr">
        <is>
          <t>NBE12</t>
        </is>
      </c>
      <c r="B406" s="4" t="inlineStr">
        <is>
          <t>C01</t>
        </is>
      </c>
      <c r="C406" s="4" t="inlineStr">
        <is>
          <t>ADSS 9/2009</t>
        </is>
      </c>
      <c r="D406" s="4" t="n">
        <v>24</v>
      </c>
      <c r="E406" s="4" t="inlineStr">
        <is>
          <t>MX nhập đài Long Thới–NVT</t>
        </is>
      </c>
      <c r="F406" s="4" t="n">
        <v>10</v>
      </c>
      <c r="G406" s="4" t="inlineStr">
        <is>
          <t>10</t>
        </is>
      </c>
      <c r="H406" s="11" t="inlineStr">
        <is>
          <t>đang chạy link R8-01 → HNB066</t>
        </is>
      </c>
      <c r="I406" s="4" t="inlineStr">
        <is>
          <t>HNB066</t>
        </is>
      </c>
      <c r="J406" s="4" t="inlineStr">
        <is>
          <t>R8-01</t>
        </is>
      </c>
      <c r="K406" s="4" t="inlineStr">
        <is>
          <t>mô tả</t>
        </is>
      </c>
      <c r="L406" s="4" t="inlineStr">
        <is>
          <t>MX nhập đài Long Thới–NVT→MX_NVT_01→MX_NVT_02A→MX_NVT_02B→MX_LVL-05→MX_LVL-04→MX_LVL-03→MX_HTP-01→HNB066</t>
        </is>
      </c>
    </row>
    <row r="407">
      <c r="A407" s="4" t="inlineStr">
        <is>
          <t>NBE12</t>
        </is>
      </c>
      <c r="B407" s="4" t="inlineStr">
        <is>
          <t>C01</t>
        </is>
      </c>
      <c r="C407" s="4" t="inlineStr">
        <is>
          <t>ADSS 9/2009</t>
        </is>
      </c>
      <c r="D407" s="4" t="n">
        <v>24</v>
      </c>
      <c r="E407" s="4" t="inlineStr">
        <is>
          <t>MX nhập đài Long Thới–NVT</t>
        </is>
      </c>
      <c r="F407" s="4" t="n">
        <v>11</v>
      </c>
      <c r="G407" s="4" t="inlineStr">
        <is>
          <t>11</t>
        </is>
      </c>
      <c r="H407" s="11" t="inlineStr">
        <is>
          <t>đang chạy link R7-01 → HNB005</t>
        </is>
      </c>
      <c r="I407" s="4" t="inlineStr">
        <is>
          <t>HNB005</t>
        </is>
      </c>
      <c r="J407" s="4" t="inlineStr">
        <is>
          <t>R7-01</t>
        </is>
      </c>
      <c r="K407" s="4" t="inlineStr">
        <is>
          <t>mô tả</t>
        </is>
      </c>
      <c r="L407" s="4" t="inlineStr">
        <is>
          <t>MX nhập đài Long Thới–NVT→MX_NVT_01→MX_NVT_02A→MX_NVT_02B→MX_LVL-05→MX_LVL-04→MX_LVL-03→MX_HTP-01→MX_HTP-02→HNB005</t>
        </is>
      </c>
    </row>
    <row r="408">
      <c r="A408" s="4" t="inlineStr">
        <is>
          <t>NBE12</t>
        </is>
      </c>
      <c r="B408" s="4" t="inlineStr">
        <is>
          <t>C01</t>
        </is>
      </c>
      <c r="C408" s="4" t="inlineStr">
        <is>
          <t>ADSS 9/2009</t>
        </is>
      </c>
      <c r="D408" s="4" t="n">
        <v>24</v>
      </c>
      <c r="E408" s="4" t="inlineStr">
        <is>
          <t>MX nhập đài Long Thới–NVT</t>
        </is>
      </c>
      <c r="F408" s="4" t="n">
        <v>12</v>
      </c>
      <c r="G408" s="4" t="inlineStr">
        <is>
          <t>12</t>
        </is>
      </c>
      <c r="H408" s="11" t="inlineStr">
        <is>
          <t>đang chạy link R7-01 → HNB005</t>
        </is>
      </c>
      <c r="I408" s="4" t="inlineStr">
        <is>
          <t>HNB005</t>
        </is>
      </c>
      <c r="J408" s="4" t="inlineStr">
        <is>
          <t>R7-01</t>
        </is>
      </c>
      <c r="K408" s="4" t="inlineStr">
        <is>
          <t>mô tả</t>
        </is>
      </c>
      <c r="L408" s="4" t="inlineStr">
        <is>
          <t>MX nhập đài Long Thới–NVT→MX_NVT_01→MX_NVT_02A→MX_NVT_02B→MX_LVL-05→MX_LVL-04→MX_LVL-03→MX_HTP-01→MX_HTP-02→HNB005</t>
        </is>
      </c>
    </row>
    <row r="409">
      <c r="A409" s="4" t="inlineStr">
        <is>
          <t>NBE12</t>
        </is>
      </c>
      <c r="B409" s="4" t="inlineStr">
        <is>
          <t>C01</t>
        </is>
      </c>
      <c r="C409" s="4" t="inlineStr">
        <is>
          <t>ADSS 9/2009</t>
        </is>
      </c>
      <c r="D409" s="4" t="n">
        <v>24</v>
      </c>
      <c r="E409" s="4" t="inlineStr">
        <is>
          <t>MX nhập đài Long Thới–NVT</t>
        </is>
      </c>
      <c r="F409" s="4" t="n">
        <v>13</v>
      </c>
      <c r="G409" s="4" t="inlineStr">
        <is>
          <t>13</t>
        </is>
      </c>
      <c r="H409" s="12" t="inlineStr">
        <is>
          <t>chưa ghi hàn tại MX nhập đài Long Thới–NVT (dự phòng / chưa rõ / không hàn)</t>
        </is>
      </c>
      <c r="I409" s="4" t="inlineStr"/>
      <c r="J409" s="4" t="inlineStr"/>
      <c r="K409" s="4" t="inlineStr"/>
      <c r="L409" s="4" t="inlineStr">
        <is>
          <t>MX nhập đài Long Thới–NVT</t>
        </is>
      </c>
    </row>
    <row r="410">
      <c r="A410" s="4" t="inlineStr">
        <is>
          <t>NBE12</t>
        </is>
      </c>
      <c r="B410" s="4" t="inlineStr">
        <is>
          <t>C01</t>
        </is>
      </c>
      <c r="C410" s="4" t="inlineStr">
        <is>
          <t>ADSS 9/2009</t>
        </is>
      </c>
      <c r="D410" s="4" t="n">
        <v>24</v>
      </c>
      <c r="E410" s="4" t="inlineStr">
        <is>
          <t>MX nhập đài Long Thới–NVT</t>
        </is>
      </c>
      <c r="F410" s="4" t="n">
        <v>14</v>
      </c>
      <c r="G410" s="4" t="inlineStr">
        <is>
          <t>14</t>
        </is>
      </c>
      <c r="H410" s="12" t="inlineStr">
        <is>
          <t>chưa ghi hàn tại MX nhập đài Long Thới–NVT (dự phòng / chưa rõ / không hàn)</t>
        </is>
      </c>
      <c r="I410" s="4" t="inlineStr"/>
      <c r="J410" s="4" t="inlineStr"/>
      <c r="K410" s="4" t="inlineStr"/>
      <c r="L410" s="4" t="inlineStr">
        <is>
          <t>MX nhập đài Long Thới–NVT</t>
        </is>
      </c>
    </row>
    <row r="411">
      <c r="A411" s="4" t="inlineStr">
        <is>
          <t>NBE12</t>
        </is>
      </c>
      <c r="B411" s="4" t="inlineStr">
        <is>
          <t>C01</t>
        </is>
      </c>
      <c r="C411" s="4" t="inlineStr">
        <is>
          <t>ADSS 9/2009</t>
        </is>
      </c>
      <c r="D411" s="4" t="n">
        <v>24</v>
      </c>
      <c r="E411" s="4" t="inlineStr">
        <is>
          <t>MX nhập đài Long Thới–NVT</t>
        </is>
      </c>
      <c r="F411" s="4" t="n">
        <v>15</v>
      </c>
      <c r="G411" s="4" t="inlineStr">
        <is>
          <t>15</t>
        </is>
      </c>
      <c r="H411" s="12" t="inlineStr">
        <is>
          <t>chưa ghi hàn tại MX nhập đài Long Thới–NVT (dự phòng / chưa rõ / không hàn)</t>
        </is>
      </c>
      <c r="I411" s="4" t="inlineStr"/>
      <c r="J411" s="4" t="inlineStr"/>
      <c r="K411" s="4" t="inlineStr"/>
      <c r="L411" s="4" t="inlineStr">
        <is>
          <t>MX nhập đài Long Thới–NVT</t>
        </is>
      </c>
    </row>
    <row r="412">
      <c r="A412" s="4" t="inlineStr">
        <is>
          <t>NBE12</t>
        </is>
      </c>
      <c r="B412" s="4" t="inlineStr">
        <is>
          <t>C01</t>
        </is>
      </c>
      <c r="C412" s="4" t="inlineStr">
        <is>
          <t>ADSS 9/2009</t>
        </is>
      </c>
      <c r="D412" s="4" t="n">
        <v>24</v>
      </c>
      <c r="E412" s="4" t="inlineStr">
        <is>
          <t>MX nhập đài Long Thới–NVT</t>
        </is>
      </c>
      <c r="F412" s="4" t="n">
        <v>16</v>
      </c>
      <c r="G412" s="4" t="inlineStr">
        <is>
          <t>16</t>
        </is>
      </c>
      <c r="H412" s="12" t="inlineStr">
        <is>
          <t>chưa ghi hàn tại MX nhập đài Long Thới–NVT (dự phòng / chưa rõ / không hàn)</t>
        </is>
      </c>
      <c r="I412" s="4" t="inlineStr"/>
      <c r="J412" s="4" t="inlineStr"/>
      <c r="K412" s="4" t="inlineStr"/>
      <c r="L412" s="4" t="inlineStr">
        <is>
          <t>MX nhập đài Long Thới–NVT</t>
        </is>
      </c>
    </row>
    <row r="413">
      <c r="A413" s="4" t="inlineStr">
        <is>
          <t>NBE12</t>
        </is>
      </c>
      <c r="B413" s="4" t="inlineStr">
        <is>
          <t>C01</t>
        </is>
      </c>
      <c r="C413" s="4" t="inlineStr">
        <is>
          <t>ADSS 9/2009</t>
        </is>
      </c>
      <c r="D413" s="4" t="n">
        <v>24</v>
      </c>
      <c r="E413" s="4" t="inlineStr">
        <is>
          <t>MX nhập đài Long Thới–NVT</t>
        </is>
      </c>
      <c r="F413" s="4" t="n">
        <v>17</v>
      </c>
      <c r="G413" s="4" t="inlineStr">
        <is>
          <t>17</t>
        </is>
      </c>
      <c r="H413" s="12" t="inlineStr">
        <is>
          <t>chưa ghi hàn tại MX nhập đài Long Thới–NVT (dự phòng / chưa rõ / không hàn)</t>
        </is>
      </c>
      <c r="I413" s="4" t="inlineStr"/>
      <c r="J413" s="4" t="inlineStr"/>
      <c r="K413" s="4" t="inlineStr"/>
      <c r="L413" s="4" t="inlineStr">
        <is>
          <t>MX nhập đài Long Thới–NVT</t>
        </is>
      </c>
    </row>
    <row r="414">
      <c r="A414" s="4" t="inlineStr">
        <is>
          <t>NBE12</t>
        </is>
      </c>
      <c r="B414" s="4" t="inlineStr">
        <is>
          <t>C01</t>
        </is>
      </c>
      <c r="C414" s="4" t="inlineStr">
        <is>
          <t>ADSS 9/2009</t>
        </is>
      </c>
      <c r="D414" s="4" t="n">
        <v>24</v>
      </c>
      <c r="E414" s="4" t="inlineStr">
        <is>
          <t>MX nhập đài Long Thới–NVT</t>
        </is>
      </c>
      <c r="F414" s="4" t="n">
        <v>18</v>
      </c>
      <c r="G414" s="4" t="inlineStr">
        <is>
          <t>18</t>
        </is>
      </c>
      <c r="H414" s="12" t="inlineStr">
        <is>
          <t>chưa ghi hàn tại MX nhập đài Long Thới–NVT (dự phòng / chưa rõ / không hàn)</t>
        </is>
      </c>
      <c r="I414" s="4" t="inlineStr"/>
      <c r="J414" s="4" t="inlineStr"/>
      <c r="K414" s="4" t="inlineStr"/>
      <c r="L414" s="4" t="inlineStr">
        <is>
          <t>MX nhập đài Long Thới–NVT</t>
        </is>
      </c>
    </row>
    <row r="415">
      <c r="A415" s="4" t="inlineStr">
        <is>
          <t>NBE12</t>
        </is>
      </c>
      <c r="B415" s="4" t="inlineStr">
        <is>
          <t>C01</t>
        </is>
      </c>
      <c r="C415" s="4" t="inlineStr">
        <is>
          <t>ADSS 9/2009</t>
        </is>
      </c>
      <c r="D415" s="4" t="n">
        <v>24</v>
      </c>
      <c r="E415" s="4" t="inlineStr">
        <is>
          <t>MX nhập đài Long Thới–NVT</t>
        </is>
      </c>
      <c r="F415" s="4" t="n">
        <v>19</v>
      </c>
      <c r="G415" s="4" t="inlineStr">
        <is>
          <t>19</t>
        </is>
      </c>
      <c r="H415" s="14" t="inlineStr">
        <is>
          <t>HƯ</t>
        </is>
      </c>
      <c r="I415" s="4" t="inlineStr"/>
      <c r="J415" s="4" t="inlineStr"/>
      <c r="K415" s="4" t="inlineStr"/>
      <c r="L415" s="4" t="inlineStr"/>
    </row>
    <row r="416">
      <c r="A416" s="4" t="inlineStr">
        <is>
          <t>NBE12</t>
        </is>
      </c>
      <c r="B416" s="4" t="inlineStr">
        <is>
          <t>C01</t>
        </is>
      </c>
      <c r="C416" s="4" t="inlineStr">
        <is>
          <t>ADSS 9/2009</t>
        </is>
      </c>
      <c r="D416" s="4" t="n">
        <v>24</v>
      </c>
      <c r="E416" s="4" t="inlineStr">
        <is>
          <t>MX nhập đài Long Thới–NVT</t>
        </is>
      </c>
      <c r="F416" s="4" t="n">
        <v>20</v>
      </c>
      <c r="G416" s="4" t="inlineStr">
        <is>
          <t>20</t>
        </is>
      </c>
      <c r="H416" s="14" t="inlineStr">
        <is>
          <t>HƯ</t>
        </is>
      </c>
      <c r="I416" s="4" t="inlineStr"/>
      <c r="J416" s="4" t="inlineStr"/>
      <c r="K416" s="4" t="inlineStr"/>
      <c r="L416" s="4" t="inlineStr"/>
    </row>
    <row r="417">
      <c r="A417" s="4" t="inlineStr">
        <is>
          <t>NBE12</t>
        </is>
      </c>
      <c r="B417" s="4" t="inlineStr">
        <is>
          <t>C01</t>
        </is>
      </c>
      <c r="C417" s="4" t="inlineStr">
        <is>
          <t>ADSS 9/2009</t>
        </is>
      </c>
      <c r="D417" s="4" t="n">
        <v>24</v>
      </c>
      <c r="E417" s="4" t="inlineStr">
        <is>
          <t>MX nhập đài Long Thới–NVT</t>
        </is>
      </c>
      <c r="F417" s="4" t="n">
        <v>21</v>
      </c>
      <c r="G417" s="4" t="inlineStr">
        <is>
          <t>21</t>
        </is>
      </c>
      <c r="H417" s="14" t="inlineStr">
        <is>
          <t>HƯ</t>
        </is>
      </c>
      <c r="I417" s="4" t="inlineStr"/>
      <c r="J417" s="4" t="inlineStr"/>
      <c r="K417" s="4" t="inlineStr"/>
      <c r="L417" s="4" t="inlineStr"/>
    </row>
    <row r="418">
      <c r="A418" s="4" t="inlineStr">
        <is>
          <t>NBE12</t>
        </is>
      </c>
      <c r="B418" s="4" t="inlineStr">
        <is>
          <t>C01</t>
        </is>
      </c>
      <c r="C418" s="4" t="inlineStr">
        <is>
          <t>ADSS 9/2009</t>
        </is>
      </c>
      <c r="D418" s="4" t="n">
        <v>24</v>
      </c>
      <c r="E418" s="4" t="inlineStr">
        <is>
          <t>MX nhập đài Long Thới–NVT</t>
        </is>
      </c>
      <c r="F418" s="4" t="n">
        <v>22</v>
      </c>
      <c r="G418" s="4" t="inlineStr">
        <is>
          <t>22</t>
        </is>
      </c>
      <c r="H418" s="14" t="inlineStr">
        <is>
          <t>HƯ</t>
        </is>
      </c>
      <c r="I418" s="4" t="inlineStr"/>
      <c r="J418" s="4" t="inlineStr"/>
      <c r="K418" s="4" t="inlineStr"/>
      <c r="L418" s="4" t="inlineStr"/>
    </row>
    <row r="419">
      <c r="A419" s="4" t="inlineStr">
        <is>
          <t>NBE12</t>
        </is>
      </c>
      <c r="B419" s="4" t="inlineStr">
        <is>
          <t>C01</t>
        </is>
      </c>
      <c r="C419" s="4" t="inlineStr">
        <is>
          <t>ADSS 9/2009</t>
        </is>
      </c>
      <c r="D419" s="4" t="n">
        <v>24</v>
      </c>
      <c r="E419" s="4" t="inlineStr">
        <is>
          <t>MX nhập đài Long Thới–NVT</t>
        </is>
      </c>
      <c r="F419" s="4" t="n">
        <v>23</v>
      </c>
      <c r="G419" s="4" t="inlineStr">
        <is>
          <t>23</t>
        </is>
      </c>
      <c r="H419" s="14" t="inlineStr">
        <is>
          <t>HƯ</t>
        </is>
      </c>
      <c r="I419" s="4" t="inlineStr"/>
      <c r="J419" s="4" t="inlineStr"/>
      <c r="K419" s="4" t="inlineStr"/>
      <c r="L419" s="4" t="inlineStr"/>
    </row>
    <row r="420">
      <c r="A420" s="4" t="inlineStr">
        <is>
          <t>NBE12</t>
        </is>
      </c>
      <c r="B420" s="4" t="inlineStr">
        <is>
          <t>C01</t>
        </is>
      </c>
      <c r="C420" s="4" t="inlineStr">
        <is>
          <t>ADSS 9/2009</t>
        </is>
      </c>
      <c r="D420" s="4" t="n">
        <v>24</v>
      </c>
      <c r="E420" s="4" t="inlineStr">
        <is>
          <t>MX nhập đài Long Thới–NVT</t>
        </is>
      </c>
      <c r="F420" s="4" t="n">
        <v>24</v>
      </c>
      <c r="G420" s="4" t="inlineStr">
        <is>
          <t>24</t>
        </is>
      </c>
      <c r="H420" s="14" t="inlineStr">
        <is>
          <t>HƯ</t>
        </is>
      </c>
      <c r="I420" s="4" t="inlineStr"/>
      <c r="J420" s="4" t="inlineStr"/>
      <c r="K420" s="4" t="inlineStr"/>
      <c r="L420" s="4" t="inlineStr"/>
    </row>
    <row r="421">
      <c r="A421" s="4" t="inlineStr">
        <is>
          <t>NBE12</t>
        </is>
      </c>
      <c r="B421" s="4" t="inlineStr">
        <is>
          <t>C22</t>
        </is>
      </c>
      <c r="C421" s="4" t="inlineStr">
        <is>
          <t>POSTEF 11/2016</t>
        </is>
      </c>
      <c r="D421" s="4" t="n">
        <v>24</v>
      </c>
      <c r="E421" s="4" t="inlineStr">
        <is>
          <t>MX_NB-01</t>
        </is>
      </c>
      <c r="F421" s="4" t="n">
        <v>1</v>
      </c>
      <c r="G421" s="4" t="inlineStr">
        <is>
          <t>1</t>
        </is>
      </c>
      <c r="H421" s="11" t="inlineStr">
        <is>
          <t>đang chạy link R5-01 → HNB012</t>
        </is>
      </c>
      <c r="I421" s="4" t="inlineStr">
        <is>
          <t>HNB012</t>
        </is>
      </c>
      <c r="J421" s="4" t="inlineStr">
        <is>
          <t>R5-01</t>
        </is>
      </c>
      <c r="K421" s="4" t="inlineStr">
        <is>
          <t>mô tả</t>
        </is>
      </c>
      <c r="L421" s="4" t="inlineStr">
        <is>
          <t>MX_NB-01→MX_LVL-05→MX thẳng LVL-05/DST→MX_DST→MX băng sông 2→MX băng sông 1→HNB012</t>
        </is>
      </c>
    </row>
    <row r="422">
      <c r="A422" s="4" t="inlineStr">
        <is>
          <t>NBE12</t>
        </is>
      </c>
      <c r="B422" s="4" t="inlineStr">
        <is>
          <t>C22</t>
        </is>
      </c>
      <c r="C422" s="4" t="inlineStr">
        <is>
          <t>POSTEF 11/2016</t>
        </is>
      </c>
      <c r="D422" s="4" t="n">
        <v>24</v>
      </c>
      <c r="E422" s="4" t="inlineStr">
        <is>
          <t>MX_NB-01</t>
        </is>
      </c>
      <c r="F422" s="4" t="n">
        <v>2</v>
      </c>
      <c r="G422" s="4" t="inlineStr">
        <is>
          <t>2</t>
        </is>
      </c>
      <c r="H422" s="11" t="inlineStr">
        <is>
          <t>đang chạy link R5-01 → HNB012</t>
        </is>
      </c>
      <c r="I422" s="4" t="inlineStr">
        <is>
          <t>HNB012</t>
        </is>
      </c>
      <c r="J422" s="4" t="inlineStr">
        <is>
          <t>R5-01</t>
        </is>
      </c>
      <c r="K422" s="4" t="inlineStr">
        <is>
          <t>mô tả</t>
        </is>
      </c>
      <c r="L422" s="4" t="inlineStr">
        <is>
          <t>MX_NB-01→MX_LVL-05→MX thẳng LVL-05/DST→MX_DST→MX băng sông 2→MX băng sông 1→HNB012</t>
        </is>
      </c>
    </row>
    <row r="423">
      <c r="A423" s="4" t="inlineStr">
        <is>
          <t>NBE12</t>
        </is>
      </c>
      <c r="B423" s="4" t="inlineStr">
        <is>
          <t>C22</t>
        </is>
      </c>
      <c r="C423" s="4" t="inlineStr">
        <is>
          <t>POSTEF 11/2016</t>
        </is>
      </c>
      <c r="D423" s="4" t="n">
        <v>24</v>
      </c>
      <c r="E423" s="4" t="inlineStr">
        <is>
          <t>MX_NB-01</t>
        </is>
      </c>
      <c r="F423" s="4" t="n">
        <v>3</v>
      </c>
      <c r="G423" s="4" t="inlineStr">
        <is>
          <t>3</t>
        </is>
      </c>
      <c r="H423" s="14" t="inlineStr">
        <is>
          <t>HƯ</t>
        </is>
      </c>
      <c r="I423" s="4" t="inlineStr"/>
      <c r="J423" s="4" t="inlineStr"/>
      <c r="K423" s="4" t="inlineStr"/>
      <c r="L423" s="4" t="inlineStr"/>
    </row>
    <row r="424">
      <c r="A424" s="4" t="inlineStr">
        <is>
          <t>NBE12</t>
        </is>
      </c>
      <c r="B424" s="4" t="inlineStr">
        <is>
          <t>C22</t>
        </is>
      </c>
      <c r="C424" s="4" t="inlineStr">
        <is>
          <t>POSTEF 11/2016</t>
        </is>
      </c>
      <c r="D424" s="4" t="n">
        <v>24</v>
      </c>
      <c r="E424" s="4" t="inlineStr">
        <is>
          <t>MX_NB-01</t>
        </is>
      </c>
      <c r="F424" s="4" t="n">
        <v>4</v>
      </c>
      <c r="G424" s="4" t="inlineStr">
        <is>
          <t>4</t>
        </is>
      </c>
      <c r="H424" s="14" t="inlineStr">
        <is>
          <t>HƯ</t>
        </is>
      </c>
      <c r="I424" s="4" t="inlineStr"/>
      <c r="J424" s="4" t="inlineStr"/>
      <c r="K424" s="4" t="inlineStr"/>
      <c r="L424" s="4" t="inlineStr"/>
    </row>
    <row r="425">
      <c r="A425" s="4" t="inlineStr">
        <is>
          <t>NBE12</t>
        </is>
      </c>
      <c r="B425" s="4" t="inlineStr">
        <is>
          <t>C22</t>
        </is>
      </c>
      <c r="C425" s="4" t="inlineStr">
        <is>
          <t>POSTEF 11/2016</t>
        </is>
      </c>
      <c r="D425" s="4" t="n">
        <v>24</v>
      </c>
      <c r="E425" s="4" t="inlineStr">
        <is>
          <t>MX_NB-01</t>
        </is>
      </c>
      <c r="F425" s="4" t="n">
        <v>5</v>
      </c>
      <c r="G425" s="4" t="inlineStr">
        <is>
          <t>5</t>
        </is>
      </c>
      <c r="H425" s="11" t="inlineStr">
        <is>
          <t>đang chạy link R3-01 → HNB055</t>
        </is>
      </c>
      <c r="I425" s="4" t="inlineStr">
        <is>
          <t>HNB055</t>
        </is>
      </c>
      <c r="J425" s="4" t="inlineStr">
        <is>
          <t>R3-01</t>
        </is>
      </c>
      <c r="K425" s="4" t="inlineStr">
        <is>
          <t>mô tả</t>
        </is>
      </c>
      <c r="L425" s="4" t="inlineStr">
        <is>
          <t>MX_NB-01→MX_LVL-05→MX thẳng LVL-05/DST→MX_DST→MX_LVL-01→MX_LVL-02→HNB055</t>
        </is>
      </c>
    </row>
    <row r="426">
      <c r="A426" s="4" t="inlineStr">
        <is>
          <t>NBE12</t>
        </is>
      </c>
      <c r="B426" s="4" t="inlineStr">
        <is>
          <t>C22</t>
        </is>
      </c>
      <c r="C426" s="4" t="inlineStr">
        <is>
          <t>POSTEF 11/2016</t>
        </is>
      </c>
      <c r="D426" s="4" t="n">
        <v>24</v>
      </c>
      <c r="E426" s="4" t="inlineStr">
        <is>
          <t>MX_NB-01</t>
        </is>
      </c>
      <c r="F426" s="4" t="n">
        <v>6</v>
      </c>
      <c r="G426" s="4" t="inlineStr">
        <is>
          <t>6</t>
        </is>
      </c>
      <c r="H426" s="11" t="inlineStr">
        <is>
          <t>đang chạy link R3-01 → HNB055</t>
        </is>
      </c>
      <c r="I426" s="4" t="inlineStr">
        <is>
          <t>HNB055</t>
        </is>
      </c>
      <c r="J426" s="4" t="inlineStr">
        <is>
          <t>R3-01</t>
        </is>
      </c>
      <c r="K426" s="4" t="inlineStr">
        <is>
          <t>mô tả</t>
        </is>
      </c>
      <c r="L426" s="4" t="inlineStr">
        <is>
          <t>MX_NB-01→MX_LVL-05→MX thẳng LVL-05/DST→MX_DST→MX_LVL-01→MX_LVL-02→HNB055</t>
        </is>
      </c>
    </row>
    <row r="427">
      <c r="A427" s="4" t="inlineStr">
        <is>
          <t>NBE12</t>
        </is>
      </c>
      <c r="B427" s="4" t="inlineStr">
        <is>
          <t>C22</t>
        </is>
      </c>
      <c r="C427" s="4" t="inlineStr">
        <is>
          <t>POSTEF 11/2016</t>
        </is>
      </c>
      <c r="D427" s="4" t="n">
        <v>24</v>
      </c>
      <c r="E427" s="4" t="inlineStr">
        <is>
          <t>MX_NB-01</t>
        </is>
      </c>
      <c r="F427" s="4" t="n">
        <v>7</v>
      </c>
      <c r="G427" s="4" t="inlineStr">
        <is>
          <t>7</t>
        </is>
      </c>
      <c r="H427" s="12" t="inlineStr">
        <is>
          <t>chưa ghi hàn tại MX_LVL-04 (dự phòng / chưa rõ / không hàn)</t>
        </is>
      </c>
      <c r="I427" s="4" t="inlineStr"/>
      <c r="J427" s="4" t="inlineStr"/>
      <c r="K427" s="4" t="inlineStr">
        <is>
          <t>sơ đồ MX</t>
        </is>
      </c>
      <c r="L427" s="4" t="inlineStr">
        <is>
          <t>MX_LVL-04</t>
        </is>
      </c>
    </row>
    <row r="428">
      <c r="A428" s="4" t="inlineStr">
        <is>
          <t>NBE12</t>
        </is>
      </c>
      <c r="B428" s="4" t="inlineStr">
        <is>
          <t>C22</t>
        </is>
      </c>
      <c r="C428" s="4" t="inlineStr">
        <is>
          <t>POSTEF 11/2016</t>
        </is>
      </c>
      <c r="D428" s="4" t="n">
        <v>24</v>
      </c>
      <c r="E428" s="4" t="inlineStr">
        <is>
          <t>MX_NB-01</t>
        </is>
      </c>
      <c r="F428" s="4" t="n">
        <v>8</v>
      </c>
      <c r="G428" s="4" t="inlineStr">
        <is>
          <t>8</t>
        </is>
      </c>
      <c r="H428" s="12" t="inlineStr">
        <is>
          <t>chưa ghi hàn tại MX_LVL-04 (dự phòng / chưa rõ / không hàn)</t>
        </is>
      </c>
      <c r="I428" s="4" t="inlineStr"/>
      <c r="J428" s="4" t="inlineStr"/>
      <c r="K428" s="4" t="inlineStr">
        <is>
          <t>sơ đồ MX</t>
        </is>
      </c>
      <c r="L428" s="4" t="inlineStr">
        <is>
          <t>MX_LVL-04</t>
        </is>
      </c>
    </row>
    <row r="429">
      <c r="A429" s="4" t="inlineStr">
        <is>
          <t>NBE12</t>
        </is>
      </c>
      <c r="B429" s="4" t="inlineStr">
        <is>
          <t>C22</t>
        </is>
      </c>
      <c r="C429" s="4" t="inlineStr">
        <is>
          <t>POSTEF 11/2016</t>
        </is>
      </c>
      <c r="D429" s="4" t="n">
        <v>24</v>
      </c>
      <c r="E429" s="4" t="inlineStr">
        <is>
          <t>MX_NB-01</t>
        </is>
      </c>
      <c r="F429" s="4" t="n">
        <v>9</v>
      </c>
      <c r="G429" s="4" t="inlineStr">
        <is>
          <t>9</t>
        </is>
      </c>
      <c r="H429" s="12" t="inlineStr">
        <is>
          <t>chưa ghi hàn tại MX_NB-01 (dự phòng / chưa rõ / không hàn)</t>
        </is>
      </c>
      <c r="I429" s="4" t="inlineStr"/>
      <c r="J429" s="4" t="inlineStr"/>
      <c r="K429" s="4" t="inlineStr"/>
      <c r="L429" s="4" t="inlineStr">
        <is>
          <t>MX_NB-01</t>
        </is>
      </c>
    </row>
    <row r="430">
      <c r="A430" s="4" t="inlineStr">
        <is>
          <t>NBE12</t>
        </is>
      </c>
      <c r="B430" s="4" t="inlineStr">
        <is>
          <t>C22</t>
        </is>
      </c>
      <c r="C430" s="4" t="inlineStr">
        <is>
          <t>POSTEF 11/2016</t>
        </is>
      </c>
      <c r="D430" s="4" t="n">
        <v>24</v>
      </c>
      <c r="E430" s="4" t="inlineStr">
        <is>
          <t>MX_NB-01</t>
        </is>
      </c>
      <c r="F430" s="4" t="n">
        <v>10</v>
      </c>
      <c r="G430" s="4" t="inlineStr">
        <is>
          <t>10</t>
        </is>
      </c>
      <c r="H430" s="12" t="inlineStr">
        <is>
          <t>chưa ghi hàn tại MX_NB-01 (dự phòng / chưa rõ / không hàn)</t>
        </is>
      </c>
      <c r="I430" s="4" t="inlineStr"/>
      <c r="J430" s="4" t="inlineStr"/>
      <c r="K430" s="4" t="inlineStr"/>
      <c r="L430" s="4" t="inlineStr">
        <is>
          <t>MX_NB-01</t>
        </is>
      </c>
    </row>
    <row r="431">
      <c r="A431" s="4" t="inlineStr">
        <is>
          <t>NBE12</t>
        </is>
      </c>
      <c r="B431" s="4" t="inlineStr">
        <is>
          <t>C22</t>
        </is>
      </c>
      <c r="C431" s="4" t="inlineStr">
        <is>
          <t>POSTEF 11/2016</t>
        </is>
      </c>
      <c r="D431" s="4" t="n">
        <v>24</v>
      </c>
      <c r="E431" s="4" t="inlineStr">
        <is>
          <t>MX_NB-01</t>
        </is>
      </c>
      <c r="F431" s="4" t="n">
        <v>11</v>
      </c>
      <c r="G431" s="4" t="inlineStr">
        <is>
          <t>11</t>
        </is>
      </c>
      <c r="H431" s="11" t="inlineStr">
        <is>
          <t>đang chạy link R4-01 → HNB011</t>
        </is>
      </c>
      <c r="I431" s="4" t="inlineStr">
        <is>
          <t>HNB011</t>
        </is>
      </c>
      <c r="J431" s="4" t="inlineStr">
        <is>
          <t>R4-01</t>
        </is>
      </c>
      <c r="K431" s="4" t="inlineStr">
        <is>
          <t>mô tả</t>
        </is>
      </c>
      <c r="L431" s="4" t="inlineStr">
        <is>
          <t>MX_NB-01→MX_LVL-05→MX thẳng LVL-05/DST→MX_DST→MX_LVL-01→HNB011</t>
        </is>
      </c>
    </row>
    <row r="432">
      <c r="A432" s="4" t="inlineStr">
        <is>
          <t>NBE12</t>
        </is>
      </c>
      <c r="B432" s="4" t="inlineStr">
        <is>
          <t>C22</t>
        </is>
      </c>
      <c r="C432" s="4" t="inlineStr">
        <is>
          <t>POSTEF 11/2016</t>
        </is>
      </c>
      <c r="D432" s="4" t="n">
        <v>24</v>
      </c>
      <c r="E432" s="4" t="inlineStr">
        <is>
          <t>MX_NB-01</t>
        </is>
      </c>
      <c r="F432" s="4" t="n">
        <v>12</v>
      </c>
      <c r="G432" s="4" t="inlineStr">
        <is>
          <t>12</t>
        </is>
      </c>
      <c r="H432" s="11" t="inlineStr">
        <is>
          <t>đang chạy link R4-01 → HNB011</t>
        </is>
      </c>
      <c r="I432" s="4" t="inlineStr">
        <is>
          <t>HNB011</t>
        </is>
      </c>
      <c r="J432" s="4" t="inlineStr">
        <is>
          <t>R4-01</t>
        </is>
      </c>
      <c r="K432" s="4" t="inlineStr">
        <is>
          <t>mô tả</t>
        </is>
      </c>
      <c r="L432" s="4" t="inlineStr">
        <is>
          <t>MX_NB-01→MX_LVL-05→MX thẳng LVL-05/DST→MX_DST→MX_LVL-01→HNB011</t>
        </is>
      </c>
    </row>
    <row r="433">
      <c r="A433" s="4" t="inlineStr">
        <is>
          <t>NBE12</t>
        </is>
      </c>
      <c r="B433" s="4" t="inlineStr">
        <is>
          <t>C22</t>
        </is>
      </c>
      <c r="C433" s="4" t="inlineStr">
        <is>
          <t>POSTEF 11/2016</t>
        </is>
      </c>
      <c r="D433" s="4" t="n">
        <v>24</v>
      </c>
      <c r="E433" s="4" t="inlineStr">
        <is>
          <t>MX_NB-01</t>
        </is>
      </c>
      <c r="F433" s="4" t="n">
        <v>13</v>
      </c>
      <c r="G433" s="4" t="inlineStr">
        <is>
          <t>13</t>
        </is>
      </c>
      <c r="H433" s="12" t="inlineStr">
        <is>
          <t>chưa ghi hàn tại MX_NB-01 (dự phòng / chưa rõ / không hàn)</t>
        </is>
      </c>
      <c r="I433" s="4" t="inlineStr"/>
      <c r="J433" s="4" t="inlineStr"/>
      <c r="K433" s="4" t="inlineStr"/>
      <c r="L433" s="4" t="inlineStr">
        <is>
          <t>MX_NB-01</t>
        </is>
      </c>
    </row>
    <row r="434">
      <c r="A434" s="4" t="inlineStr">
        <is>
          <t>NBE12</t>
        </is>
      </c>
      <c r="B434" s="4" t="inlineStr">
        <is>
          <t>C22</t>
        </is>
      </c>
      <c r="C434" s="4" t="inlineStr">
        <is>
          <t>POSTEF 11/2016</t>
        </is>
      </c>
      <c r="D434" s="4" t="n">
        <v>24</v>
      </c>
      <c r="E434" s="4" t="inlineStr">
        <is>
          <t>MX_NB-01</t>
        </is>
      </c>
      <c r="F434" s="4" t="n">
        <v>14</v>
      </c>
      <c r="G434" s="4" t="inlineStr">
        <is>
          <t>14</t>
        </is>
      </c>
      <c r="H434" s="12" t="inlineStr">
        <is>
          <t>chưa ghi hàn tại MX_NB-01 (dự phòng / chưa rõ / không hàn)</t>
        </is>
      </c>
      <c r="I434" s="4" t="inlineStr"/>
      <c r="J434" s="4" t="inlineStr"/>
      <c r="K434" s="4" t="inlineStr"/>
      <c r="L434" s="4" t="inlineStr">
        <is>
          <t>MX_NB-01</t>
        </is>
      </c>
    </row>
    <row r="435">
      <c r="A435" s="4" t="inlineStr">
        <is>
          <t>NBE12</t>
        </is>
      </c>
      <c r="B435" s="4" t="inlineStr">
        <is>
          <t>C22</t>
        </is>
      </c>
      <c r="C435" s="4" t="inlineStr">
        <is>
          <t>POSTEF 11/2016</t>
        </is>
      </c>
      <c r="D435" s="4" t="n">
        <v>24</v>
      </c>
      <c r="E435" s="4" t="inlineStr">
        <is>
          <t>MX_NB-01</t>
        </is>
      </c>
      <c r="F435" s="4" t="n">
        <v>15</v>
      </c>
      <c r="G435" s="4" t="inlineStr">
        <is>
          <t>15</t>
        </is>
      </c>
      <c r="H435" s="14" t="inlineStr">
        <is>
          <t>HƯ</t>
        </is>
      </c>
      <c r="I435" s="4" t="inlineStr"/>
      <c r="J435" s="4" t="inlineStr"/>
      <c r="K435" s="4" t="inlineStr"/>
      <c r="L435" s="4" t="inlineStr"/>
    </row>
    <row r="436">
      <c r="A436" s="4" t="inlineStr">
        <is>
          <t>NBE12</t>
        </is>
      </c>
      <c r="B436" s="4" t="inlineStr">
        <is>
          <t>C22</t>
        </is>
      </c>
      <c r="C436" s="4" t="inlineStr">
        <is>
          <t>POSTEF 11/2016</t>
        </is>
      </c>
      <c r="D436" s="4" t="n">
        <v>24</v>
      </c>
      <c r="E436" s="4" t="inlineStr">
        <is>
          <t>MX_NB-01</t>
        </is>
      </c>
      <c r="F436" s="4" t="n">
        <v>16</v>
      </c>
      <c r="G436" s="4" t="inlineStr">
        <is>
          <t>16</t>
        </is>
      </c>
      <c r="H436" s="12" t="inlineStr">
        <is>
          <t>chưa ghi hàn tại MX_NB-01 (dự phòng / chưa rõ / không hàn)</t>
        </is>
      </c>
      <c r="I436" s="4" t="inlineStr"/>
      <c r="J436" s="4" t="inlineStr"/>
      <c r="K436" s="4" t="inlineStr"/>
      <c r="L436" s="4" t="inlineStr">
        <is>
          <t>MX_NB-01</t>
        </is>
      </c>
    </row>
    <row r="437">
      <c r="A437" s="4" t="inlineStr">
        <is>
          <t>NBE12</t>
        </is>
      </c>
      <c r="B437" s="4" t="inlineStr">
        <is>
          <t>C22</t>
        </is>
      </c>
      <c r="C437" s="4" t="inlineStr">
        <is>
          <t>POSTEF 11/2016</t>
        </is>
      </c>
      <c r="D437" s="4" t="n">
        <v>24</v>
      </c>
      <c r="E437" s="4" t="inlineStr">
        <is>
          <t>MX_NB-01</t>
        </is>
      </c>
      <c r="F437" s="4" t="n">
        <v>17</v>
      </c>
      <c r="G437" s="4" t="inlineStr">
        <is>
          <t>17</t>
        </is>
      </c>
      <c r="H437" s="12" t="inlineStr">
        <is>
          <t>chưa ghi hàn tại MX_NB-01 (dự phòng / chưa rõ / không hàn)</t>
        </is>
      </c>
      <c r="I437" s="4" t="inlineStr"/>
      <c r="J437" s="4" t="inlineStr"/>
      <c r="K437" s="4" t="inlineStr"/>
      <c r="L437" s="4" t="inlineStr">
        <is>
          <t>MX_NB-01</t>
        </is>
      </c>
    </row>
    <row r="438">
      <c r="A438" s="4" t="inlineStr">
        <is>
          <t>NBE12</t>
        </is>
      </c>
      <c r="B438" s="4" t="inlineStr">
        <is>
          <t>C22</t>
        </is>
      </c>
      <c r="C438" s="4" t="inlineStr">
        <is>
          <t>POSTEF 11/2016</t>
        </is>
      </c>
      <c r="D438" s="4" t="n">
        <v>24</v>
      </c>
      <c r="E438" s="4" t="inlineStr">
        <is>
          <t>MX_NB-01</t>
        </is>
      </c>
      <c r="F438" s="4" t="n">
        <v>18</v>
      </c>
      <c r="G438" s="4" t="inlineStr">
        <is>
          <t>18</t>
        </is>
      </c>
      <c r="H438" s="12" t="inlineStr">
        <is>
          <t>chưa ghi hàn tại MX_NB-01 (dự phòng / chưa rõ / không hàn)</t>
        </is>
      </c>
      <c r="I438" s="4" t="inlineStr"/>
      <c r="J438" s="4" t="inlineStr"/>
      <c r="K438" s="4" t="inlineStr"/>
      <c r="L438" s="4" t="inlineStr">
        <is>
          <t>MX_NB-01</t>
        </is>
      </c>
    </row>
    <row r="439">
      <c r="A439" s="4" t="inlineStr">
        <is>
          <t>NBE12</t>
        </is>
      </c>
      <c r="B439" s="4" t="inlineStr">
        <is>
          <t>C22</t>
        </is>
      </c>
      <c r="C439" s="4" t="inlineStr">
        <is>
          <t>POSTEF 11/2016</t>
        </is>
      </c>
      <c r="D439" s="4" t="n">
        <v>24</v>
      </c>
      <c r="E439" s="4" t="inlineStr">
        <is>
          <t>MX_NB-01</t>
        </is>
      </c>
      <c r="F439" s="4" t="n">
        <v>19</v>
      </c>
      <c r="G439" s="4" t="inlineStr">
        <is>
          <t>19</t>
        </is>
      </c>
      <c r="H439" s="11" t="inlineStr">
        <is>
          <t>đang chạy link R6-01 → HNB086</t>
        </is>
      </c>
      <c r="I439" s="4" t="inlineStr">
        <is>
          <t>HNB086</t>
        </is>
      </c>
      <c r="J439" s="4" t="inlineStr">
        <is>
          <t>R6-01</t>
        </is>
      </c>
      <c r="K439" s="4" t="inlineStr">
        <is>
          <t>mô tả</t>
        </is>
      </c>
      <c r="L439" s="4" t="inlineStr">
        <is>
          <t>MX_NB-01→MX_NB-02→HNB086</t>
        </is>
      </c>
    </row>
    <row r="440">
      <c r="A440" s="4" t="inlineStr">
        <is>
          <t>NBE12</t>
        </is>
      </c>
      <c r="B440" s="4" t="inlineStr">
        <is>
          <t>C22</t>
        </is>
      </c>
      <c r="C440" s="4" t="inlineStr">
        <is>
          <t>POSTEF 11/2016</t>
        </is>
      </c>
      <c r="D440" s="4" t="n">
        <v>24</v>
      </c>
      <c r="E440" s="4" t="inlineStr">
        <is>
          <t>MX_NB-01</t>
        </is>
      </c>
      <c r="F440" s="4" t="n">
        <v>20</v>
      </c>
      <c r="G440" s="4" t="inlineStr">
        <is>
          <t>20</t>
        </is>
      </c>
      <c r="H440" s="11" t="inlineStr">
        <is>
          <t>đang chạy link R6-01 → HNB086</t>
        </is>
      </c>
      <c r="I440" s="4" t="inlineStr">
        <is>
          <t>HNB086</t>
        </is>
      </c>
      <c r="J440" s="4" t="inlineStr">
        <is>
          <t>R6-01</t>
        </is>
      </c>
      <c r="K440" s="4" t="inlineStr">
        <is>
          <t>mô tả</t>
        </is>
      </c>
      <c r="L440" s="4" t="inlineStr">
        <is>
          <t>MX_NB-01→MX_NB-02→HNB086</t>
        </is>
      </c>
    </row>
    <row r="441">
      <c r="A441" s="4" t="inlineStr">
        <is>
          <t>NBE12</t>
        </is>
      </c>
      <c r="B441" s="4" t="inlineStr">
        <is>
          <t>C22</t>
        </is>
      </c>
      <c r="C441" s="4" t="inlineStr">
        <is>
          <t>POSTEF 11/2016</t>
        </is>
      </c>
      <c r="D441" s="4" t="n">
        <v>24</v>
      </c>
      <c r="E441" s="4" t="inlineStr">
        <is>
          <t>MX_NB-01</t>
        </is>
      </c>
      <c r="F441" s="4" t="n">
        <v>21</v>
      </c>
      <c r="G441" s="4" t="inlineStr">
        <is>
          <t>21</t>
        </is>
      </c>
      <c r="H441" s="14" t="inlineStr">
        <is>
          <t>HƯ</t>
        </is>
      </c>
      <c r="I441" s="4" t="inlineStr"/>
      <c r="J441" s="4" t="inlineStr"/>
      <c r="K441" s="4" t="inlineStr"/>
      <c r="L441" s="4" t="inlineStr"/>
    </row>
    <row r="442">
      <c r="A442" s="4" t="inlineStr">
        <is>
          <t>NBE12</t>
        </is>
      </c>
      <c r="B442" s="4" t="inlineStr">
        <is>
          <t>C22</t>
        </is>
      </c>
      <c r="C442" s="4" t="inlineStr">
        <is>
          <t>POSTEF 11/2016</t>
        </is>
      </c>
      <c r="D442" s="4" t="n">
        <v>24</v>
      </c>
      <c r="E442" s="4" t="inlineStr">
        <is>
          <t>MX_NB-01</t>
        </is>
      </c>
      <c r="F442" s="4" t="n">
        <v>22</v>
      </c>
      <c r="G442" s="4" t="inlineStr">
        <is>
          <t>22</t>
        </is>
      </c>
      <c r="H442" s="12" t="inlineStr">
        <is>
          <t>chưa ghi hàn tại MX_NB-01 (dự phòng / chưa rõ / không hàn)</t>
        </is>
      </c>
      <c r="I442" s="4" t="inlineStr"/>
      <c r="J442" s="4" t="inlineStr"/>
      <c r="K442" s="4" t="inlineStr"/>
      <c r="L442" s="4" t="inlineStr">
        <is>
          <t>MX_NB-01</t>
        </is>
      </c>
    </row>
    <row r="443">
      <c r="A443" s="4" t="inlineStr">
        <is>
          <t>NBE12</t>
        </is>
      </c>
      <c r="B443" s="4" t="inlineStr">
        <is>
          <t>C22</t>
        </is>
      </c>
      <c r="C443" s="4" t="inlineStr">
        <is>
          <t>POSTEF 11/2016</t>
        </is>
      </c>
      <c r="D443" s="4" t="n">
        <v>24</v>
      </c>
      <c r="E443" s="4" t="inlineStr">
        <is>
          <t>MX_NB-01</t>
        </is>
      </c>
      <c r="F443" s="4" t="n">
        <v>23</v>
      </c>
      <c r="G443" s="4" t="inlineStr">
        <is>
          <t>23</t>
        </is>
      </c>
      <c r="H443" s="12" t="inlineStr">
        <is>
          <t>chưa ghi hàn tại MX_NB-01 (dự phòng / chưa rõ / không hàn)</t>
        </is>
      </c>
      <c r="I443" s="4" t="inlineStr"/>
      <c r="J443" s="4" t="inlineStr"/>
      <c r="K443" s="4" t="inlineStr"/>
      <c r="L443" s="4" t="inlineStr">
        <is>
          <t>MX_NB-01</t>
        </is>
      </c>
    </row>
    <row r="444">
      <c r="A444" s="4" t="inlineStr">
        <is>
          <t>NBE12</t>
        </is>
      </c>
      <c r="B444" s="4" t="inlineStr">
        <is>
          <t>C22</t>
        </is>
      </c>
      <c r="C444" s="4" t="inlineStr">
        <is>
          <t>POSTEF 11/2016</t>
        </is>
      </c>
      <c r="D444" s="4" t="n">
        <v>24</v>
      </c>
      <c r="E444" s="4" t="inlineStr">
        <is>
          <t>MX_NB-01</t>
        </is>
      </c>
      <c r="F444" s="4" t="n">
        <v>24</v>
      </c>
      <c r="G444" s="4" t="inlineStr">
        <is>
          <t>24</t>
        </is>
      </c>
      <c r="H444" s="12" t="inlineStr">
        <is>
          <t>chưa ghi hàn tại MX_NB-01 (dự phòng / chưa rõ / không hàn)</t>
        </is>
      </c>
      <c r="I444" s="4" t="inlineStr"/>
      <c r="J444" s="4" t="inlineStr"/>
      <c r="K444" s="4" t="inlineStr"/>
      <c r="L444" s="4" t="inlineStr">
        <is>
          <t>MX_NB-01</t>
        </is>
      </c>
    </row>
    <row r="445">
      <c r="A445" s="4" t="inlineStr">
        <is>
          <t>NBE22</t>
        </is>
      </c>
      <c r="B445" s="4" t="inlineStr">
        <is>
          <t>C17</t>
        </is>
      </c>
      <c r="C445" s="4" t="inlineStr">
        <is>
          <t>POSTEF</t>
        </is>
      </c>
      <c r="D445" s="4" t="n">
        <v>24</v>
      </c>
      <c r="E445" s="4" t="inlineStr">
        <is>
          <t>MX_HTP-03B</t>
        </is>
      </c>
      <c r="F445" s="4" t="n">
        <v>1</v>
      </c>
      <c r="G445" s="4" t="inlineStr">
        <is>
          <t>1</t>
        </is>
      </c>
      <c r="H445" s="11" t="inlineStr">
        <is>
          <t>đang chạy link R2-04 → HNB091</t>
        </is>
      </c>
      <c r="I445" s="4" t="inlineStr">
        <is>
          <t>HNB091</t>
        </is>
      </c>
      <c r="J445" s="4" t="inlineStr">
        <is>
          <t>R2-04</t>
        </is>
      </c>
      <c r="K445" s="4" t="inlineStr">
        <is>
          <t>mô tả</t>
        </is>
      </c>
      <c r="L445" s="4" t="inlineStr">
        <is>
          <t>MX_HTP-03B→MX thẳng HTP→MX_NB-04→MX_NB-03→MX_NB-02→MX_NB-01→MX_LVL-05→MX_NVT_02B→MX_NVT_03B→HNB091</t>
        </is>
      </c>
    </row>
    <row r="446">
      <c r="A446" s="4" t="inlineStr">
        <is>
          <t>NBE22</t>
        </is>
      </c>
      <c r="B446" s="4" t="inlineStr">
        <is>
          <t>C17</t>
        </is>
      </c>
      <c r="C446" s="4" t="inlineStr">
        <is>
          <t>POSTEF</t>
        </is>
      </c>
      <c r="D446" s="4" t="n">
        <v>24</v>
      </c>
      <c r="E446" s="4" t="inlineStr">
        <is>
          <t>MX_HTP-03B</t>
        </is>
      </c>
      <c r="F446" s="4" t="n">
        <v>2</v>
      </c>
      <c r="G446" s="4" t="inlineStr">
        <is>
          <t>2</t>
        </is>
      </c>
      <c r="H446" s="11" t="inlineStr">
        <is>
          <t>đang chạy link R2-04 → HNB091</t>
        </is>
      </c>
      <c r="I446" s="4" t="inlineStr">
        <is>
          <t>HNB091</t>
        </is>
      </c>
      <c r="J446" s="4" t="inlineStr">
        <is>
          <t>R2-04</t>
        </is>
      </c>
      <c r="K446" s="4" t="inlineStr">
        <is>
          <t>mô tả</t>
        </is>
      </c>
      <c r="L446" s="4" t="inlineStr">
        <is>
          <t>MX_HTP-03B→MX thẳng HTP→MX_NB-04→MX_NB-03→MX_NB-02→MX_NB-01→MX_LVL-05→MX_NVT_02B→MX_NVT_03B→HNB091</t>
        </is>
      </c>
    </row>
    <row r="447">
      <c r="A447" s="4" t="inlineStr">
        <is>
          <t>NBE22</t>
        </is>
      </c>
      <c r="B447" s="4" t="inlineStr">
        <is>
          <t>C17</t>
        </is>
      </c>
      <c r="C447" s="4" t="inlineStr">
        <is>
          <t>POSTEF</t>
        </is>
      </c>
      <c r="D447" s="4" t="n">
        <v>24</v>
      </c>
      <c r="E447" s="4" t="inlineStr">
        <is>
          <t>MX_HTP-03B</t>
        </is>
      </c>
      <c r="F447" s="4" t="n">
        <v>3</v>
      </c>
      <c r="G447" s="4" t="inlineStr">
        <is>
          <t>3</t>
        </is>
      </c>
      <c r="H447" s="11" t="inlineStr">
        <is>
          <t>đang chạy link R1-04 → HNB048</t>
        </is>
      </c>
      <c r="I447" s="4" t="inlineStr">
        <is>
          <t>HNB048</t>
        </is>
      </c>
      <c r="J447" s="4" t="inlineStr">
        <is>
          <t>R1-04</t>
        </is>
      </c>
      <c r="K447" s="4" t="inlineStr">
        <is>
          <t>mô tả</t>
        </is>
      </c>
      <c r="L447" s="4" t="inlineStr">
        <is>
          <t>MX_HTP-03B→MX thẳng HTP→MX_NB-04→MX_NB-03→MX_NB-02→MX_NB-01→MX_LVL-05→MX_NVT_02B→MX_NVT_03B→HNB048</t>
        </is>
      </c>
    </row>
    <row r="448">
      <c r="A448" s="4" t="inlineStr">
        <is>
          <t>NBE22</t>
        </is>
      </c>
      <c r="B448" s="4" t="inlineStr">
        <is>
          <t>C17</t>
        </is>
      </c>
      <c r="C448" s="4" t="inlineStr">
        <is>
          <t>POSTEF</t>
        </is>
      </c>
      <c r="D448" s="4" t="n">
        <v>24</v>
      </c>
      <c r="E448" s="4" t="inlineStr">
        <is>
          <t>MX_HTP-03B</t>
        </is>
      </c>
      <c r="F448" s="4" t="n">
        <v>4</v>
      </c>
      <c r="G448" s="4" t="inlineStr">
        <is>
          <t>4</t>
        </is>
      </c>
      <c r="H448" s="11" t="inlineStr">
        <is>
          <t>đang chạy link R1-04 → HNB048</t>
        </is>
      </c>
      <c r="I448" s="4" t="inlineStr">
        <is>
          <t>HNB048</t>
        </is>
      </c>
      <c r="J448" s="4" t="inlineStr">
        <is>
          <t>R1-04</t>
        </is>
      </c>
      <c r="K448" s="4" t="inlineStr">
        <is>
          <t>mô tả</t>
        </is>
      </c>
      <c r="L448" s="4" t="inlineStr">
        <is>
          <t>MX_HTP-03B→MX thẳng HTP→MX_NB-04→MX_NB-03→MX_NB-02→MX_NB-01→MX_LVL-05→MX_NVT_02B→MX_NVT_03B→HNB048</t>
        </is>
      </c>
    </row>
    <row r="449">
      <c r="A449" s="4" t="inlineStr">
        <is>
          <t>NBE22</t>
        </is>
      </c>
      <c r="B449" s="4" t="inlineStr">
        <is>
          <t>C17</t>
        </is>
      </c>
      <c r="C449" s="4" t="inlineStr">
        <is>
          <t>POSTEF</t>
        </is>
      </c>
      <c r="D449" s="4" t="n">
        <v>24</v>
      </c>
      <c r="E449" s="4" t="inlineStr">
        <is>
          <t>MX_HTP-03B</t>
        </is>
      </c>
      <c r="F449" s="4" t="n">
        <v>5</v>
      </c>
      <c r="G449" s="4" t="inlineStr">
        <is>
          <t>5</t>
        </is>
      </c>
      <c r="H449" s="12" t="inlineStr">
        <is>
          <t>chưa ghi hàn tại MX_HTP-03B (dự phòng / chưa rõ / không hàn)</t>
        </is>
      </c>
      <c r="I449" s="4" t="inlineStr"/>
      <c r="J449" s="4" t="inlineStr"/>
      <c r="K449" s="4" t="inlineStr"/>
      <c r="L449" s="4" t="inlineStr">
        <is>
          <t>MX_HTP-03B</t>
        </is>
      </c>
    </row>
    <row r="450">
      <c r="A450" s="4" t="inlineStr">
        <is>
          <t>NBE22</t>
        </is>
      </c>
      <c r="B450" s="4" t="inlineStr">
        <is>
          <t>C17</t>
        </is>
      </c>
      <c r="C450" s="4" t="inlineStr">
        <is>
          <t>POSTEF</t>
        </is>
      </c>
      <c r="D450" s="4" t="n">
        <v>24</v>
      </c>
      <c r="E450" s="4" t="inlineStr">
        <is>
          <t>MX_HTP-03B</t>
        </is>
      </c>
      <c r="F450" s="4" t="n">
        <v>6</v>
      </c>
      <c r="G450" s="4" t="inlineStr">
        <is>
          <t>6</t>
        </is>
      </c>
      <c r="H450" s="12" t="inlineStr">
        <is>
          <t>chưa ghi hàn tại MX_HTP-03B (dự phòng / chưa rõ / không hàn)</t>
        </is>
      </c>
      <c r="I450" s="4" t="inlineStr"/>
      <c r="J450" s="4" t="inlineStr"/>
      <c r="K450" s="4" t="inlineStr"/>
      <c r="L450" s="4" t="inlineStr">
        <is>
          <t>MX_HTP-03B</t>
        </is>
      </c>
    </row>
    <row r="451">
      <c r="A451" s="4" t="inlineStr">
        <is>
          <t>NBE22</t>
        </is>
      </c>
      <c r="B451" s="4" t="inlineStr">
        <is>
          <t>C17</t>
        </is>
      </c>
      <c r="C451" s="4" t="inlineStr">
        <is>
          <t>POSTEF</t>
        </is>
      </c>
      <c r="D451" s="4" t="n">
        <v>24</v>
      </c>
      <c r="E451" s="4" t="inlineStr">
        <is>
          <t>MX_HTP-03B</t>
        </is>
      </c>
      <c r="F451" s="4" t="n">
        <v>7</v>
      </c>
      <c r="G451" s="4" t="inlineStr">
        <is>
          <t>7</t>
        </is>
      </c>
      <c r="H451" s="11" t="inlineStr">
        <is>
          <t>đang chạy link R6-06 → HNB020</t>
        </is>
      </c>
      <c r="I451" s="4" t="inlineStr">
        <is>
          <t>HNB020</t>
        </is>
      </c>
      <c r="J451" s="4" t="inlineStr">
        <is>
          <t>R6-06</t>
        </is>
      </c>
      <c r="K451" s="4" t="inlineStr">
        <is>
          <t>mô tả</t>
        </is>
      </c>
      <c r="L451" s="4" t="inlineStr">
        <is>
          <t>MX_HTP-03B→MX thẳng HTP→MX_NB-04→HNB020</t>
        </is>
      </c>
    </row>
    <row r="452">
      <c r="A452" s="4" t="inlineStr">
        <is>
          <t>NBE22</t>
        </is>
      </c>
      <c r="B452" s="4" t="inlineStr">
        <is>
          <t>C17</t>
        </is>
      </c>
      <c r="C452" s="4" t="inlineStr">
        <is>
          <t>POSTEF</t>
        </is>
      </c>
      <c r="D452" s="4" t="n">
        <v>24</v>
      </c>
      <c r="E452" s="4" t="inlineStr">
        <is>
          <t>MX_HTP-03B</t>
        </is>
      </c>
      <c r="F452" s="4" t="n">
        <v>8</v>
      </c>
      <c r="G452" s="4" t="inlineStr">
        <is>
          <t>8</t>
        </is>
      </c>
      <c r="H452" s="11" t="inlineStr">
        <is>
          <t>đang chạy link R6-06 → HNB020</t>
        </is>
      </c>
      <c r="I452" s="4" t="inlineStr">
        <is>
          <t>HNB020</t>
        </is>
      </c>
      <c r="J452" s="4" t="inlineStr">
        <is>
          <t>R6-06</t>
        </is>
      </c>
      <c r="K452" s="4" t="inlineStr">
        <is>
          <t>mô tả</t>
        </is>
      </c>
      <c r="L452" s="4" t="inlineStr">
        <is>
          <t>MX_HTP-03B→MX thẳng HTP→MX_NB-04→HNB020</t>
        </is>
      </c>
    </row>
    <row r="453">
      <c r="A453" s="4" t="inlineStr">
        <is>
          <t>NBE22</t>
        </is>
      </c>
      <c r="B453" s="4" t="inlineStr">
        <is>
          <t>C17</t>
        </is>
      </c>
      <c r="C453" s="4" t="inlineStr">
        <is>
          <t>POSTEF</t>
        </is>
      </c>
      <c r="D453" s="4" t="n">
        <v>24</v>
      </c>
      <c r="E453" s="4" t="inlineStr">
        <is>
          <t>MX_HTP-03B</t>
        </is>
      </c>
      <c r="F453" s="4" t="n">
        <v>9</v>
      </c>
      <c r="G453" s="4" t="inlineStr">
        <is>
          <t>9</t>
        </is>
      </c>
      <c r="H453" s="12" t="inlineStr">
        <is>
          <t>chưa ghi hàn tại MX_HTP-03B (dự phòng / chưa rõ / không hàn)</t>
        </is>
      </c>
      <c r="I453" s="4" t="inlineStr"/>
      <c r="J453" s="4" t="inlineStr"/>
      <c r="K453" s="4" t="inlineStr"/>
      <c r="L453" s="4" t="inlineStr">
        <is>
          <t>MX_HTP-03B</t>
        </is>
      </c>
    </row>
    <row r="454">
      <c r="A454" s="4" t="inlineStr">
        <is>
          <t>NBE22</t>
        </is>
      </c>
      <c r="B454" s="4" t="inlineStr">
        <is>
          <t>C17</t>
        </is>
      </c>
      <c r="C454" s="4" t="inlineStr">
        <is>
          <t>POSTEF</t>
        </is>
      </c>
      <c r="D454" s="4" t="n">
        <v>24</v>
      </c>
      <c r="E454" s="4" t="inlineStr">
        <is>
          <t>MX_HTP-03B</t>
        </is>
      </c>
      <c r="F454" s="4" t="n">
        <v>10</v>
      </c>
      <c r="G454" s="4" t="inlineStr">
        <is>
          <t>10</t>
        </is>
      </c>
      <c r="H454" s="12" t="inlineStr">
        <is>
          <t>chưa ghi hàn tại MX_HTP-03B (dự phòng / chưa rõ / không hàn)</t>
        </is>
      </c>
      <c r="I454" s="4" t="inlineStr"/>
      <c r="J454" s="4" t="inlineStr"/>
      <c r="K454" s="4" t="inlineStr"/>
      <c r="L454" s="4" t="inlineStr">
        <is>
          <t>MX_HTP-03B</t>
        </is>
      </c>
    </row>
    <row r="455">
      <c r="A455" s="4" t="inlineStr">
        <is>
          <t>NBE22</t>
        </is>
      </c>
      <c r="B455" s="4" t="inlineStr">
        <is>
          <t>C17</t>
        </is>
      </c>
      <c r="C455" s="4" t="inlineStr">
        <is>
          <t>POSTEF</t>
        </is>
      </c>
      <c r="D455" s="4" t="n">
        <v>24</v>
      </c>
      <c r="E455" s="4" t="inlineStr">
        <is>
          <t>MX_HTP-03B</t>
        </is>
      </c>
      <c r="F455" s="4" t="n">
        <v>11</v>
      </c>
      <c r="G455" s="4" t="inlineStr">
        <is>
          <t>11</t>
        </is>
      </c>
      <c r="H455" s="12" t="inlineStr">
        <is>
          <t>chưa ghi hàn tại MX_HTP-03B (dự phòng / chưa rõ / không hàn)</t>
        </is>
      </c>
      <c r="I455" s="4" t="inlineStr"/>
      <c r="J455" s="4" t="inlineStr"/>
      <c r="K455" s="4" t="inlineStr"/>
      <c r="L455" s="4" t="inlineStr">
        <is>
          <t>MX_HTP-03B</t>
        </is>
      </c>
    </row>
    <row r="456">
      <c r="A456" s="4" t="inlineStr">
        <is>
          <t>NBE22</t>
        </is>
      </c>
      <c r="B456" s="4" t="inlineStr">
        <is>
          <t>C17</t>
        </is>
      </c>
      <c r="C456" s="4" t="inlineStr">
        <is>
          <t>POSTEF</t>
        </is>
      </c>
      <c r="D456" s="4" t="n">
        <v>24</v>
      </c>
      <c r="E456" s="4" t="inlineStr">
        <is>
          <t>MX_HTP-03B</t>
        </is>
      </c>
      <c r="F456" s="4" t="n">
        <v>12</v>
      </c>
      <c r="G456" s="4" t="inlineStr">
        <is>
          <t>12</t>
        </is>
      </c>
      <c r="H456" s="12" t="inlineStr">
        <is>
          <t>chưa ghi hàn tại MX_HTP-03B (dự phòng / chưa rõ / không hàn)</t>
        </is>
      </c>
      <c r="I456" s="4" t="inlineStr"/>
      <c r="J456" s="4" t="inlineStr"/>
      <c r="K456" s="4" t="inlineStr"/>
      <c r="L456" s="4" t="inlineStr">
        <is>
          <t>MX_HTP-03B</t>
        </is>
      </c>
    </row>
    <row r="457">
      <c r="A457" s="4" t="inlineStr">
        <is>
          <t>NBE22</t>
        </is>
      </c>
      <c r="B457" s="4" t="inlineStr">
        <is>
          <t>C17</t>
        </is>
      </c>
      <c r="C457" s="4" t="inlineStr">
        <is>
          <t>POSTEF</t>
        </is>
      </c>
      <c r="D457" s="4" t="n">
        <v>24</v>
      </c>
      <c r="E457" s="4" t="inlineStr">
        <is>
          <t>MX_HTP-03B</t>
        </is>
      </c>
      <c r="F457" s="4" t="n">
        <v>13</v>
      </c>
      <c r="G457" s="4" t="inlineStr">
        <is>
          <t>13</t>
        </is>
      </c>
      <c r="H457" s="12" t="inlineStr">
        <is>
          <t>chưa ghi hàn tại MX_HTP-03B (dự phòng / chưa rõ / không hàn)</t>
        </is>
      </c>
      <c r="I457" s="4" t="inlineStr"/>
      <c r="J457" s="4" t="inlineStr"/>
      <c r="K457" s="4" t="inlineStr"/>
      <c r="L457" s="4" t="inlineStr">
        <is>
          <t>MX_HTP-03B</t>
        </is>
      </c>
    </row>
    <row r="458">
      <c r="A458" s="4" t="inlineStr">
        <is>
          <t>NBE22</t>
        </is>
      </c>
      <c r="B458" s="4" t="inlineStr">
        <is>
          <t>C17</t>
        </is>
      </c>
      <c r="C458" s="4" t="inlineStr">
        <is>
          <t>POSTEF</t>
        </is>
      </c>
      <c r="D458" s="4" t="n">
        <v>24</v>
      </c>
      <c r="E458" s="4" t="inlineStr">
        <is>
          <t>MX_HTP-03B</t>
        </is>
      </c>
      <c r="F458" s="4" t="n">
        <v>14</v>
      </c>
      <c r="G458" s="4" t="inlineStr">
        <is>
          <t>14</t>
        </is>
      </c>
      <c r="H458" s="12" t="inlineStr">
        <is>
          <t>chưa ghi hàn tại MX_HTP-03B (dự phòng / chưa rõ / không hàn)</t>
        </is>
      </c>
      <c r="I458" s="4" t="inlineStr"/>
      <c r="J458" s="4" t="inlineStr"/>
      <c r="K458" s="4" t="inlineStr"/>
      <c r="L458" s="4" t="inlineStr">
        <is>
          <t>MX_HTP-03B</t>
        </is>
      </c>
    </row>
    <row r="459">
      <c r="A459" s="4" t="inlineStr">
        <is>
          <t>NBE22</t>
        </is>
      </c>
      <c r="B459" s="4" t="inlineStr">
        <is>
          <t>C17</t>
        </is>
      </c>
      <c r="C459" s="4" t="inlineStr">
        <is>
          <t>POSTEF</t>
        </is>
      </c>
      <c r="D459" s="4" t="n">
        <v>24</v>
      </c>
      <c r="E459" s="4" t="inlineStr">
        <is>
          <t>MX_HTP-03B</t>
        </is>
      </c>
      <c r="F459" s="4" t="n">
        <v>15</v>
      </c>
      <c r="G459" s="4" t="inlineStr">
        <is>
          <t>15</t>
        </is>
      </c>
      <c r="H459" s="12" t="inlineStr">
        <is>
          <t>chưa ghi hàn tại MX_HTP-03B (dự phòng / chưa rõ / không hàn)</t>
        </is>
      </c>
      <c r="I459" s="4" t="inlineStr"/>
      <c r="J459" s="4" t="inlineStr"/>
      <c r="K459" s="4" t="inlineStr"/>
      <c r="L459" s="4" t="inlineStr">
        <is>
          <t>MX_HTP-03B</t>
        </is>
      </c>
    </row>
    <row r="460">
      <c r="A460" s="4" t="inlineStr">
        <is>
          <t>NBE22</t>
        </is>
      </c>
      <c r="B460" s="4" t="inlineStr">
        <is>
          <t>C17</t>
        </is>
      </c>
      <c r="C460" s="4" t="inlineStr">
        <is>
          <t>POSTEF</t>
        </is>
      </c>
      <c r="D460" s="4" t="n">
        <v>24</v>
      </c>
      <c r="E460" s="4" t="inlineStr">
        <is>
          <t>MX_HTP-03B</t>
        </is>
      </c>
      <c r="F460" s="4" t="n">
        <v>16</v>
      </c>
      <c r="G460" s="4" t="inlineStr">
        <is>
          <t>16</t>
        </is>
      </c>
      <c r="H460" s="12" t="inlineStr">
        <is>
          <t>chưa ghi hàn tại MX_HTP-03B (dự phòng / chưa rõ / không hàn)</t>
        </is>
      </c>
      <c r="I460" s="4" t="inlineStr"/>
      <c r="J460" s="4" t="inlineStr"/>
      <c r="K460" s="4" t="inlineStr"/>
      <c r="L460" s="4" t="inlineStr">
        <is>
          <t>MX_HTP-03B</t>
        </is>
      </c>
    </row>
    <row r="461">
      <c r="A461" s="4" t="inlineStr">
        <is>
          <t>NBE22</t>
        </is>
      </c>
      <c r="B461" s="4" t="inlineStr">
        <is>
          <t>C17</t>
        </is>
      </c>
      <c r="C461" s="4" t="inlineStr">
        <is>
          <t>POSTEF</t>
        </is>
      </c>
      <c r="D461" s="4" t="n">
        <v>24</v>
      </c>
      <c r="E461" s="4" t="inlineStr">
        <is>
          <t>MX_HTP-03B</t>
        </is>
      </c>
      <c r="F461" s="4" t="n">
        <v>17</v>
      </c>
      <c r="G461" s="4" t="inlineStr">
        <is>
          <t>17</t>
        </is>
      </c>
      <c r="H461" s="12" t="inlineStr">
        <is>
          <t>chưa ghi hàn tại MX_HTP-03B (dự phòng / chưa rõ / không hàn)</t>
        </is>
      </c>
      <c r="I461" s="4" t="inlineStr"/>
      <c r="J461" s="4" t="inlineStr"/>
      <c r="K461" s="4" t="inlineStr"/>
      <c r="L461" s="4" t="inlineStr">
        <is>
          <t>MX_HTP-03B</t>
        </is>
      </c>
    </row>
    <row r="462">
      <c r="A462" s="4" t="inlineStr">
        <is>
          <t>NBE22</t>
        </is>
      </c>
      <c r="B462" s="4" t="inlineStr">
        <is>
          <t>C17</t>
        </is>
      </c>
      <c r="C462" s="4" t="inlineStr">
        <is>
          <t>POSTEF</t>
        </is>
      </c>
      <c r="D462" s="4" t="n">
        <v>24</v>
      </c>
      <c r="E462" s="4" t="inlineStr">
        <is>
          <t>MX_HTP-03B</t>
        </is>
      </c>
      <c r="F462" s="4" t="n">
        <v>18</v>
      </c>
      <c r="G462" s="4" t="inlineStr">
        <is>
          <t>18</t>
        </is>
      </c>
      <c r="H462" s="12" t="inlineStr">
        <is>
          <t>chưa ghi hàn tại MX_HTP-03B (dự phòng / chưa rõ / không hàn)</t>
        </is>
      </c>
      <c r="I462" s="4" t="inlineStr"/>
      <c r="J462" s="4" t="inlineStr"/>
      <c r="K462" s="4" t="inlineStr"/>
      <c r="L462" s="4" t="inlineStr">
        <is>
          <t>MX_HTP-03B</t>
        </is>
      </c>
    </row>
    <row r="463">
      <c r="A463" s="4" t="inlineStr">
        <is>
          <t>NBE22</t>
        </is>
      </c>
      <c r="B463" s="4" t="inlineStr">
        <is>
          <t>C17</t>
        </is>
      </c>
      <c r="C463" s="4" t="inlineStr">
        <is>
          <t>POSTEF</t>
        </is>
      </c>
      <c r="D463" s="4" t="n">
        <v>24</v>
      </c>
      <c r="E463" s="4" t="inlineStr">
        <is>
          <t>MX_HTP-03B</t>
        </is>
      </c>
      <c r="F463" s="4" t="n">
        <v>19</v>
      </c>
      <c r="G463" s="4" t="inlineStr">
        <is>
          <t>19</t>
        </is>
      </c>
      <c r="H463" s="12" t="inlineStr">
        <is>
          <t>chưa ghi hàn tại MX_HTP-03B (dự phòng / chưa rõ / không hàn)</t>
        </is>
      </c>
      <c r="I463" s="4" t="inlineStr"/>
      <c r="J463" s="4" t="inlineStr"/>
      <c r="K463" s="4" t="inlineStr"/>
      <c r="L463" s="4" t="inlineStr">
        <is>
          <t>MX_HTP-03B</t>
        </is>
      </c>
    </row>
    <row r="464">
      <c r="A464" s="4" t="inlineStr">
        <is>
          <t>NBE22</t>
        </is>
      </c>
      <c r="B464" s="4" t="inlineStr">
        <is>
          <t>C17</t>
        </is>
      </c>
      <c r="C464" s="4" t="inlineStr">
        <is>
          <t>POSTEF</t>
        </is>
      </c>
      <c r="D464" s="4" t="n">
        <v>24</v>
      </c>
      <c r="E464" s="4" t="inlineStr">
        <is>
          <t>MX_HTP-03B</t>
        </is>
      </c>
      <c r="F464" s="4" t="n">
        <v>20</v>
      </c>
      <c r="G464" s="4" t="inlineStr">
        <is>
          <t>20</t>
        </is>
      </c>
      <c r="H464" s="12" t="inlineStr">
        <is>
          <t>chưa ghi hàn tại MX_HTP-03B (dự phòng / chưa rõ / không hàn)</t>
        </is>
      </c>
      <c r="I464" s="4" t="inlineStr"/>
      <c r="J464" s="4" t="inlineStr"/>
      <c r="K464" s="4" t="inlineStr"/>
      <c r="L464" s="4" t="inlineStr">
        <is>
          <t>MX_HTP-03B</t>
        </is>
      </c>
    </row>
    <row r="465">
      <c r="A465" s="4" t="inlineStr">
        <is>
          <t>NBE22</t>
        </is>
      </c>
      <c r="B465" s="4" t="inlineStr">
        <is>
          <t>C17</t>
        </is>
      </c>
      <c r="C465" s="4" t="inlineStr">
        <is>
          <t>POSTEF</t>
        </is>
      </c>
      <c r="D465" s="4" t="n">
        <v>24</v>
      </c>
      <c r="E465" s="4" t="inlineStr">
        <is>
          <t>MX_HTP-03B</t>
        </is>
      </c>
      <c r="F465" s="4" t="n">
        <v>21</v>
      </c>
      <c r="G465" s="4" t="inlineStr">
        <is>
          <t>21</t>
        </is>
      </c>
      <c r="H465" s="12" t="inlineStr">
        <is>
          <t>chưa ghi hàn tại MX_HTP-03B (dự phòng / chưa rõ / không hàn)</t>
        </is>
      </c>
      <c r="I465" s="4" t="inlineStr"/>
      <c r="J465" s="4" t="inlineStr"/>
      <c r="K465" s="4" t="inlineStr"/>
      <c r="L465" s="4" t="inlineStr">
        <is>
          <t>MX_HTP-03B</t>
        </is>
      </c>
    </row>
    <row r="466">
      <c r="A466" s="4" t="inlineStr">
        <is>
          <t>NBE22</t>
        </is>
      </c>
      <c r="B466" s="4" t="inlineStr">
        <is>
          <t>C17</t>
        </is>
      </c>
      <c r="C466" s="4" t="inlineStr">
        <is>
          <t>POSTEF</t>
        </is>
      </c>
      <c r="D466" s="4" t="n">
        <v>24</v>
      </c>
      <c r="E466" s="4" t="inlineStr">
        <is>
          <t>MX_HTP-03B</t>
        </is>
      </c>
      <c r="F466" s="4" t="n">
        <v>22</v>
      </c>
      <c r="G466" s="4" t="inlineStr">
        <is>
          <t>22</t>
        </is>
      </c>
      <c r="H466" s="12" t="inlineStr">
        <is>
          <t>chưa ghi hàn tại MX_HTP-03B (dự phòng / chưa rõ / không hàn)</t>
        </is>
      </c>
      <c r="I466" s="4" t="inlineStr"/>
      <c r="J466" s="4" t="inlineStr"/>
      <c r="K466" s="4" t="inlineStr"/>
      <c r="L466" s="4" t="inlineStr">
        <is>
          <t>MX_HTP-03B</t>
        </is>
      </c>
    </row>
    <row r="467">
      <c r="A467" s="4" t="inlineStr">
        <is>
          <t>NBE22</t>
        </is>
      </c>
      <c r="B467" s="4" t="inlineStr">
        <is>
          <t>C17</t>
        </is>
      </c>
      <c r="C467" s="4" t="inlineStr">
        <is>
          <t>POSTEF</t>
        </is>
      </c>
      <c r="D467" s="4" t="n">
        <v>24</v>
      </c>
      <c r="E467" s="4" t="inlineStr">
        <is>
          <t>MX_HTP-03B</t>
        </is>
      </c>
      <c r="F467" s="4" t="n">
        <v>23</v>
      </c>
      <c r="G467" s="4" t="inlineStr">
        <is>
          <t>23</t>
        </is>
      </c>
      <c r="H467" s="12" t="inlineStr">
        <is>
          <t>chưa ghi hàn tại MX_HTP-03B (dự phòng / chưa rõ / không hàn)</t>
        </is>
      </c>
      <c r="I467" s="4" t="inlineStr"/>
      <c r="J467" s="4" t="inlineStr"/>
      <c r="K467" s="4" t="inlineStr"/>
      <c r="L467" s="4" t="inlineStr">
        <is>
          <t>MX_HTP-03B</t>
        </is>
      </c>
    </row>
    <row r="468">
      <c r="A468" s="4" t="inlineStr">
        <is>
          <t>NBE22</t>
        </is>
      </c>
      <c r="B468" s="4" t="inlineStr">
        <is>
          <t>C17</t>
        </is>
      </c>
      <c r="C468" s="4" t="inlineStr">
        <is>
          <t>POSTEF</t>
        </is>
      </c>
      <c r="D468" s="4" t="n">
        <v>24</v>
      </c>
      <c r="E468" s="4" t="inlineStr">
        <is>
          <t>MX_HTP-03B</t>
        </is>
      </c>
      <c r="F468" s="4" t="n">
        <v>24</v>
      </c>
      <c r="G468" s="4" t="inlineStr">
        <is>
          <t>24</t>
        </is>
      </c>
      <c r="H468" s="12" t="inlineStr">
        <is>
          <t>chưa ghi hàn tại MX_HTP-03B (dự phòng / chưa rõ / không hàn)</t>
        </is>
      </c>
      <c r="I468" s="4" t="inlineStr"/>
      <c r="J468" s="4" t="inlineStr"/>
      <c r="K468" s="4" t="inlineStr"/>
      <c r="L468" s="4" t="inlineStr">
        <is>
          <t>MX_HTP-03B</t>
        </is>
      </c>
    </row>
    <row r="469">
      <c r="A469" s="4" t="inlineStr">
        <is>
          <t>NBE22</t>
        </is>
      </c>
      <c r="B469" s="4" t="inlineStr">
        <is>
          <t>C35</t>
        </is>
      </c>
      <c r="C469" s="4" t="inlineStr">
        <is>
          <t>POSTEF</t>
        </is>
      </c>
      <c r="D469" s="4" t="n">
        <v>24</v>
      </c>
      <c r="E469" s="4" t="inlineStr">
        <is>
          <t>MX_HTP-03A</t>
        </is>
      </c>
      <c r="F469" s="4" t="n">
        <v>1</v>
      </c>
      <c r="G469" s="4" t="inlineStr">
        <is>
          <t>1</t>
        </is>
      </c>
      <c r="H469" s="11" t="inlineStr">
        <is>
          <t>đang chạy link R5-04 → HNB075</t>
        </is>
      </c>
      <c r="I469" s="4" t="inlineStr">
        <is>
          <t>HNB075</t>
        </is>
      </c>
      <c r="J469" s="4" t="inlineStr">
        <is>
          <t>R5-04</t>
        </is>
      </c>
      <c r="K469" s="4" t="inlineStr">
        <is>
          <t>mô tả</t>
        </is>
      </c>
      <c r="L469" s="4" t="inlineStr">
        <is>
          <t>MX_HTP-03A→MX_HTP-02→MX_HTP-01→MX_LVL-03→MX thẳng đi LVL→MX_LVL-02→MX_LVL-01→MX thẳng LVL-01/075→HNB075</t>
        </is>
      </c>
    </row>
    <row r="470">
      <c r="A470" s="4" t="inlineStr">
        <is>
          <t>NBE22</t>
        </is>
      </c>
      <c r="B470" s="4" t="inlineStr">
        <is>
          <t>C35</t>
        </is>
      </c>
      <c r="C470" s="4" t="inlineStr">
        <is>
          <t>POSTEF</t>
        </is>
      </c>
      <c r="D470" s="4" t="n">
        <v>24</v>
      </c>
      <c r="E470" s="4" t="inlineStr">
        <is>
          <t>MX_HTP-03A</t>
        </is>
      </c>
      <c r="F470" s="4" t="n">
        <v>2</v>
      </c>
      <c r="G470" s="4" t="inlineStr">
        <is>
          <t>2</t>
        </is>
      </c>
      <c r="H470" s="11" t="inlineStr">
        <is>
          <t>đang chạy link R5-04 → HNB075</t>
        </is>
      </c>
      <c r="I470" s="4" t="inlineStr">
        <is>
          <t>HNB075</t>
        </is>
      </c>
      <c r="J470" s="4" t="inlineStr">
        <is>
          <t>R5-04</t>
        </is>
      </c>
      <c r="K470" s="4" t="inlineStr">
        <is>
          <t>mô tả</t>
        </is>
      </c>
      <c r="L470" s="4" t="inlineStr">
        <is>
          <t>MX_HTP-03A→MX_HTP-02→MX_HTP-01→MX_LVL-03→MX thẳng đi LVL→MX_LVL-02→MX_LVL-01→MX thẳng LVL-01/075→HNB075</t>
        </is>
      </c>
    </row>
    <row r="471">
      <c r="A471" s="4" t="inlineStr">
        <is>
          <t>NBE22</t>
        </is>
      </c>
      <c r="B471" s="4" t="inlineStr">
        <is>
          <t>C35</t>
        </is>
      </c>
      <c r="C471" s="4" t="inlineStr">
        <is>
          <t>POSTEF</t>
        </is>
      </c>
      <c r="D471" s="4" t="n">
        <v>24</v>
      </c>
      <c r="E471" s="4" t="inlineStr">
        <is>
          <t>MX_HTP-03A</t>
        </is>
      </c>
      <c r="F471" s="4" t="n">
        <v>3</v>
      </c>
      <c r="G471" s="4" t="inlineStr">
        <is>
          <t>3</t>
        </is>
      </c>
      <c r="H471" s="11" t="inlineStr">
        <is>
          <t>đang chạy link R4-05 → HNB073</t>
        </is>
      </c>
      <c r="I471" s="4" t="inlineStr">
        <is>
          <t>HNB073</t>
        </is>
      </c>
      <c r="J471" s="4" t="inlineStr">
        <is>
          <t>R4-05</t>
        </is>
      </c>
      <c r="K471" s="4" t="inlineStr">
        <is>
          <t>mô tả</t>
        </is>
      </c>
      <c r="L471" s="4" t="inlineStr">
        <is>
          <t>MX_HTP-03A→MX_HTP-02→MX_HTP-01→MX_LVL-03→MX thẳng đi LVL→MX_LVL-02→HNB073</t>
        </is>
      </c>
    </row>
    <row r="472">
      <c r="A472" s="4" t="inlineStr">
        <is>
          <t>NBE22</t>
        </is>
      </c>
      <c r="B472" s="4" t="inlineStr">
        <is>
          <t>C35</t>
        </is>
      </c>
      <c r="C472" s="4" t="inlineStr">
        <is>
          <t>POSTEF</t>
        </is>
      </c>
      <c r="D472" s="4" t="n">
        <v>24</v>
      </c>
      <c r="E472" s="4" t="inlineStr">
        <is>
          <t>MX_HTP-03A</t>
        </is>
      </c>
      <c r="F472" s="4" t="n">
        <v>4</v>
      </c>
      <c r="G472" s="4" t="inlineStr">
        <is>
          <t>4</t>
        </is>
      </c>
      <c r="H472" s="11" t="inlineStr">
        <is>
          <t>đang chạy link R4-05 → HNB073</t>
        </is>
      </c>
      <c r="I472" s="4" t="inlineStr">
        <is>
          <t>HNB073</t>
        </is>
      </c>
      <c r="J472" s="4" t="inlineStr">
        <is>
          <t>R4-05</t>
        </is>
      </c>
      <c r="K472" s="4" t="inlineStr">
        <is>
          <t>mô tả</t>
        </is>
      </c>
      <c r="L472" s="4" t="inlineStr">
        <is>
          <t>MX_HTP-03A→MX_HTP-02→MX_HTP-01→MX_LVL-03→MX thẳng đi LVL→MX_LVL-02→HNB073</t>
        </is>
      </c>
    </row>
    <row r="473">
      <c r="A473" s="4" t="inlineStr">
        <is>
          <t>NBE22</t>
        </is>
      </c>
      <c r="B473" s="4" t="inlineStr">
        <is>
          <t>C35</t>
        </is>
      </c>
      <c r="C473" s="4" t="inlineStr">
        <is>
          <t>POSTEF</t>
        </is>
      </c>
      <c r="D473" s="4" t="n">
        <v>24</v>
      </c>
      <c r="E473" s="4" t="inlineStr">
        <is>
          <t>MX_HTP-03A</t>
        </is>
      </c>
      <c r="F473" s="4" t="n">
        <v>5</v>
      </c>
      <c r="G473" s="4" t="inlineStr">
        <is>
          <t>5</t>
        </is>
      </c>
      <c r="H473" s="11" t="inlineStr">
        <is>
          <t>đang chạy link R3-04 → HNB094</t>
        </is>
      </c>
      <c r="I473" s="4" t="inlineStr">
        <is>
          <t>HNB094</t>
        </is>
      </c>
      <c r="J473" s="4" t="inlineStr">
        <is>
          <t>R3-04</t>
        </is>
      </c>
      <c r="K473" s="4" t="inlineStr">
        <is>
          <t>mô tả</t>
        </is>
      </c>
      <c r="L473" s="4" t="inlineStr">
        <is>
          <t>MX_HTP-03A→MX_HTP-02→MX_HTP-01→MX_LVL-03→HNB094</t>
        </is>
      </c>
    </row>
    <row r="474">
      <c r="A474" s="4" t="inlineStr">
        <is>
          <t>NBE22</t>
        </is>
      </c>
      <c r="B474" s="4" t="inlineStr">
        <is>
          <t>C35</t>
        </is>
      </c>
      <c r="C474" s="4" t="inlineStr">
        <is>
          <t>POSTEF</t>
        </is>
      </c>
      <c r="D474" s="4" t="n">
        <v>24</v>
      </c>
      <c r="E474" s="4" t="inlineStr">
        <is>
          <t>MX_HTP-03A</t>
        </is>
      </c>
      <c r="F474" s="4" t="n">
        <v>6</v>
      </c>
      <c r="G474" s="4" t="inlineStr">
        <is>
          <t>6</t>
        </is>
      </c>
      <c r="H474" s="11" t="inlineStr">
        <is>
          <t>đang chạy link R3-04 → HNB094</t>
        </is>
      </c>
      <c r="I474" s="4" t="inlineStr">
        <is>
          <t>HNB094</t>
        </is>
      </c>
      <c r="J474" s="4" t="inlineStr">
        <is>
          <t>R3-04</t>
        </is>
      </c>
      <c r="K474" s="4" t="inlineStr">
        <is>
          <t>mô tả</t>
        </is>
      </c>
      <c r="L474" s="4" t="inlineStr">
        <is>
          <t>MX_HTP-03A→MX_HTP-02→MX_HTP-01→MX_LVL-03→HNB094</t>
        </is>
      </c>
    </row>
    <row r="475">
      <c r="A475" s="4" t="inlineStr">
        <is>
          <t>NBE22</t>
        </is>
      </c>
      <c r="B475" s="4" t="inlineStr">
        <is>
          <t>C35</t>
        </is>
      </c>
      <c r="C475" s="4" t="inlineStr">
        <is>
          <t>POSTEF</t>
        </is>
      </c>
      <c r="D475" s="4" t="n">
        <v>24</v>
      </c>
      <c r="E475" s="4" t="inlineStr">
        <is>
          <t>MX_HTP-03A</t>
        </is>
      </c>
      <c r="F475" s="4" t="n">
        <v>7</v>
      </c>
      <c r="G475" s="4" t="inlineStr">
        <is>
          <t>7</t>
        </is>
      </c>
      <c r="H475" s="12" t="inlineStr">
        <is>
          <t>chưa ghi hàn tại MX_LVL-04 (dự phòng / chưa rõ / không hàn)</t>
        </is>
      </c>
      <c r="I475" s="4" t="inlineStr"/>
      <c r="J475" s="4" t="inlineStr"/>
      <c r="K475" s="4" t="inlineStr">
        <is>
          <t>sơ đồ MX</t>
        </is>
      </c>
      <c r="L475" s="4" t="inlineStr">
        <is>
          <t>MX_LVL-04</t>
        </is>
      </c>
    </row>
    <row r="476">
      <c r="A476" s="4" t="inlineStr">
        <is>
          <t>NBE22</t>
        </is>
      </c>
      <c r="B476" s="4" t="inlineStr">
        <is>
          <t>C35</t>
        </is>
      </c>
      <c r="C476" s="4" t="inlineStr">
        <is>
          <t>POSTEF</t>
        </is>
      </c>
      <c r="D476" s="4" t="n">
        <v>24</v>
      </c>
      <c r="E476" s="4" t="inlineStr">
        <is>
          <t>MX_HTP-03A</t>
        </is>
      </c>
      <c r="F476" s="4" t="n">
        <v>8</v>
      </c>
      <c r="G476" s="4" t="inlineStr">
        <is>
          <t>8</t>
        </is>
      </c>
      <c r="H476" s="12" t="inlineStr">
        <is>
          <t>chưa ghi hàn tại MX_LVL-04 (dự phòng / chưa rõ / không hàn)</t>
        </is>
      </c>
      <c r="I476" s="4" t="inlineStr"/>
      <c r="J476" s="4" t="inlineStr"/>
      <c r="K476" s="4" t="inlineStr">
        <is>
          <t>sơ đồ MX</t>
        </is>
      </c>
      <c r="L476" s="4" t="inlineStr">
        <is>
          <t>MX_LVL-04</t>
        </is>
      </c>
    </row>
    <row r="477">
      <c r="A477" s="4" t="inlineStr">
        <is>
          <t>NBE22</t>
        </is>
      </c>
      <c r="B477" s="4" t="inlineStr">
        <is>
          <t>C35</t>
        </is>
      </c>
      <c r="C477" s="4" t="inlineStr">
        <is>
          <t>POSTEF</t>
        </is>
      </c>
      <c r="D477" s="4" t="n">
        <v>24</v>
      </c>
      <c r="E477" s="4" t="inlineStr">
        <is>
          <t>MX_HTP-03A</t>
        </is>
      </c>
      <c r="F477" s="4" t="n">
        <v>9</v>
      </c>
      <c r="G477" s="4" t="inlineStr">
        <is>
          <t>9</t>
        </is>
      </c>
      <c r="H477" s="11" t="inlineStr">
        <is>
          <t>đang chạy link R8-04 → HNB038</t>
        </is>
      </c>
      <c r="I477" s="4" t="inlineStr">
        <is>
          <t>HNB038</t>
        </is>
      </c>
      <c r="J477" s="4" t="inlineStr">
        <is>
          <t>R8-04</t>
        </is>
      </c>
      <c r="K477" s="4" t="inlineStr">
        <is>
          <t>mô tả</t>
        </is>
      </c>
      <c r="L477" s="4" t="inlineStr">
        <is>
          <t>MX_HTP-03A→MX_HTP-02→HNB038</t>
        </is>
      </c>
    </row>
    <row r="478">
      <c r="A478" s="4" t="inlineStr">
        <is>
          <t>NBE22</t>
        </is>
      </c>
      <c r="B478" s="4" t="inlineStr">
        <is>
          <t>C35</t>
        </is>
      </c>
      <c r="C478" s="4" t="inlineStr">
        <is>
          <t>POSTEF</t>
        </is>
      </c>
      <c r="D478" s="4" t="n">
        <v>24</v>
      </c>
      <c r="E478" s="4" t="inlineStr">
        <is>
          <t>MX_HTP-03A</t>
        </is>
      </c>
      <c r="F478" s="4" t="n">
        <v>10</v>
      </c>
      <c r="G478" s="4" t="inlineStr">
        <is>
          <t>10</t>
        </is>
      </c>
      <c r="H478" s="11" t="inlineStr">
        <is>
          <t>đang chạy link R8-04 → HNB038</t>
        </is>
      </c>
      <c r="I478" s="4" t="inlineStr">
        <is>
          <t>HNB038</t>
        </is>
      </c>
      <c r="J478" s="4" t="inlineStr">
        <is>
          <t>R8-04</t>
        </is>
      </c>
      <c r="K478" s="4" t="inlineStr">
        <is>
          <t>mô tả</t>
        </is>
      </c>
      <c r="L478" s="4" t="inlineStr">
        <is>
          <t>MX_HTP-03A→MX_HTP-02→HNB038</t>
        </is>
      </c>
    </row>
    <row r="479">
      <c r="A479" s="4" t="inlineStr">
        <is>
          <t>NBE22</t>
        </is>
      </c>
      <c r="B479" s="4" t="inlineStr">
        <is>
          <t>C35</t>
        </is>
      </c>
      <c r="C479" s="4" t="inlineStr">
        <is>
          <t>POSTEF</t>
        </is>
      </c>
      <c r="D479" s="4" t="n">
        <v>24</v>
      </c>
      <c r="E479" s="4" t="inlineStr">
        <is>
          <t>MX_HTP-03A</t>
        </is>
      </c>
      <c r="F479" s="4" t="n">
        <v>11</v>
      </c>
      <c r="G479" s="4" t="inlineStr">
        <is>
          <t>11</t>
        </is>
      </c>
      <c r="H479" s="12" t="inlineStr">
        <is>
          <t>chưa ghi hàn tại MX_HTP-02 (dự phòng / chưa rõ / không hàn)</t>
        </is>
      </c>
      <c r="I479" s="4" t="inlineStr"/>
      <c r="J479" s="4" t="inlineStr"/>
      <c r="K479" s="4" t="inlineStr">
        <is>
          <t>sơ đồ MX</t>
        </is>
      </c>
      <c r="L479" s="4" t="inlineStr">
        <is>
          <t>MX_HTP-02</t>
        </is>
      </c>
    </row>
    <row r="480">
      <c r="A480" s="4" t="inlineStr">
        <is>
          <t>NBE22</t>
        </is>
      </c>
      <c r="B480" s="4" t="inlineStr">
        <is>
          <t>C35</t>
        </is>
      </c>
      <c r="C480" s="4" t="inlineStr">
        <is>
          <t>POSTEF</t>
        </is>
      </c>
      <c r="D480" s="4" t="n">
        <v>24</v>
      </c>
      <c r="E480" s="4" t="inlineStr">
        <is>
          <t>MX_HTP-03A</t>
        </is>
      </c>
      <c r="F480" s="4" t="n">
        <v>12</v>
      </c>
      <c r="G480" s="4" t="inlineStr">
        <is>
          <t>12</t>
        </is>
      </c>
      <c r="H480" s="12" t="inlineStr">
        <is>
          <t>chưa ghi hàn tại MX_HTP-02 (dự phòng / chưa rõ / không hàn)</t>
        </is>
      </c>
      <c r="I480" s="4" t="inlineStr"/>
      <c r="J480" s="4" t="inlineStr"/>
      <c r="K480" s="4" t="inlineStr">
        <is>
          <t>sơ đồ MX</t>
        </is>
      </c>
      <c r="L480" s="4" t="inlineStr">
        <is>
          <t>MX_HTP-02</t>
        </is>
      </c>
    </row>
    <row r="481">
      <c r="A481" s="4" t="inlineStr">
        <is>
          <t>NBE22</t>
        </is>
      </c>
      <c r="B481" s="4" t="inlineStr">
        <is>
          <t>C35</t>
        </is>
      </c>
      <c r="C481" s="4" t="inlineStr">
        <is>
          <t>POSTEF</t>
        </is>
      </c>
      <c r="D481" s="4" t="n">
        <v>24</v>
      </c>
      <c r="E481" s="4" t="inlineStr">
        <is>
          <t>MX_HTP-03A</t>
        </is>
      </c>
      <c r="F481" s="4" t="n">
        <v>13</v>
      </c>
      <c r="G481" s="4" t="inlineStr">
        <is>
          <t>13</t>
        </is>
      </c>
      <c r="H481" s="12" t="inlineStr">
        <is>
          <t>chưa ghi hàn tại MX_HTP-03A (dự phòng / chưa rõ / không hàn)</t>
        </is>
      </c>
      <c r="I481" s="4" t="inlineStr"/>
      <c r="J481" s="4" t="inlineStr"/>
      <c r="K481" s="4" t="inlineStr"/>
      <c r="L481" s="4" t="inlineStr">
        <is>
          <t>MX_HTP-03A</t>
        </is>
      </c>
    </row>
    <row r="482">
      <c r="A482" s="4" t="inlineStr">
        <is>
          <t>NBE22</t>
        </is>
      </c>
      <c r="B482" s="4" t="inlineStr">
        <is>
          <t>C35</t>
        </is>
      </c>
      <c r="C482" s="4" t="inlineStr">
        <is>
          <t>POSTEF</t>
        </is>
      </c>
      <c r="D482" s="4" t="n">
        <v>24</v>
      </c>
      <c r="E482" s="4" t="inlineStr">
        <is>
          <t>MX_HTP-03A</t>
        </is>
      </c>
      <c r="F482" s="4" t="n">
        <v>14</v>
      </c>
      <c r="G482" s="4" t="inlineStr">
        <is>
          <t>14</t>
        </is>
      </c>
      <c r="H482" s="12" t="inlineStr">
        <is>
          <t>chưa ghi hàn tại MX_HTP-03A (dự phòng / chưa rõ / không hàn)</t>
        </is>
      </c>
      <c r="I482" s="4" t="inlineStr"/>
      <c r="J482" s="4" t="inlineStr"/>
      <c r="K482" s="4" t="inlineStr"/>
      <c r="L482" s="4" t="inlineStr">
        <is>
          <t>MX_HTP-03A</t>
        </is>
      </c>
    </row>
    <row r="483">
      <c r="A483" s="4" t="inlineStr">
        <is>
          <t>NBE22</t>
        </is>
      </c>
      <c r="B483" s="4" t="inlineStr">
        <is>
          <t>C35</t>
        </is>
      </c>
      <c r="C483" s="4" t="inlineStr">
        <is>
          <t>POSTEF</t>
        </is>
      </c>
      <c r="D483" s="4" t="n">
        <v>24</v>
      </c>
      <c r="E483" s="4" t="inlineStr">
        <is>
          <t>MX_HTP-03A</t>
        </is>
      </c>
      <c r="F483" s="4" t="n">
        <v>15</v>
      </c>
      <c r="G483" s="4" t="inlineStr">
        <is>
          <t>15</t>
        </is>
      </c>
      <c r="H483" s="12" t="inlineStr">
        <is>
          <t>chưa ghi hàn tại MX_HTP-03A (dự phòng / chưa rõ / không hàn)</t>
        </is>
      </c>
      <c r="I483" s="4" t="inlineStr"/>
      <c r="J483" s="4" t="inlineStr"/>
      <c r="K483" s="4" t="inlineStr"/>
      <c r="L483" s="4" t="inlineStr">
        <is>
          <t>MX_HTP-03A</t>
        </is>
      </c>
    </row>
    <row r="484">
      <c r="A484" s="4" t="inlineStr">
        <is>
          <t>NBE22</t>
        </is>
      </c>
      <c r="B484" s="4" t="inlineStr">
        <is>
          <t>C35</t>
        </is>
      </c>
      <c r="C484" s="4" t="inlineStr">
        <is>
          <t>POSTEF</t>
        </is>
      </c>
      <c r="D484" s="4" t="n">
        <v>24</v>
      </c>
      <c r="E484" s="4" t="inlineStr">
        <is>
          <t>MX_HTP-03A</t>
        </is>
      </c>
      <c r="F484" s="4" t="n">
        <v>16</v>
      </c>
      <c r="G484" s="4" t="inlineStr">
        <is>
          <t>16</t>
        </is>
      </c>
      <c r="H484" s="12" t="inlineStr">
        <is>
          <t>chưa ghi hàn tại MX_HTP-03A (dự phòng / chưa rõ / không hàn)</t>
        </is>
      </c>
      <c r="I484" s="4" t="inlineStr"/>
      <c r="J484" s="4" t="inlineStr"/>
      <c r="K484" s="4" t="inlineStr"/>
      <c r="L484" s="4" t="inlineStr">
        <is>
          <t>MX_HTP-03A</t>
        </is>
      </c>
    </row>
    <row r="485">
      <c r="A485" s="4" t="inlineStr">
        <is>
          <t>NBE22</t>
        </is>
      </c>
      <c r="B485" s="4" t="inlineStr">
        <is>
          <t>C35</t>
        </is>
      </c>
      <c r="C485" s="4" t="inlineStr">
        <is>
          <t>POSTEF</t>
        </is>
      </c>
      <c r="D485" s="4" t="n">
        <v>24</v>
      </c>
      <c r="E485" s="4" t="inlineStr">
        <is>
          <t>MX_HTP-03A</t>
        </is>
      </c>
      <c r="F485" s="4" t="n">
        <v>17</v>
      </c>
      <c r="G485" s="4" t="inlineStr">
        <is>
          <t>17</t>
        </is>
      </c>
      <c r="H485" s="12" t="inlineStr">
        <is>
          <t>chưa ghi hàn tại MX_HTP-03A (dự phòng / chưa rõ / không hàn)</t>
        </is>
      </c>
      <c r="I485" s="4" t="inlineStr"/>
      <c r="J485" s="4" t="inlineStr"/>
      <c r="K485" s="4" t="inlineStr"/>
      <c r="L485" s="4" t="inlineStr">
        <is>
          <t>MX_HTP-03A</t>
        </is>
      </c>
    </row>
    <row r="486">
      <c r="A486" s="4" t="inlineStr">
        <is>
          <t>NBE22</t>
        </is>
      </c>
      <c r="B486" s="4" t="inlineStr">
        <is>
          <t>C35</t>
        </is>
      </c>
      <c r="C486" s="4" t="inlineStr">
        <is>
          <t>POSTEF</t>
        </is>
      </c>
      <c r="D486" s="4" t="n">
        <v>24</v>
      </c>
      <c r="E486" s="4" t="inlineStr">
        <is>
          <t>MX_HTP-03A</t>
        </is>
      </c>
      <c r="F486" s="4" t="n">
        <v>18</v>
      </c>
      <c r="G486" s="4" t="inlineStr">
        <is>
          <t>18</t>
        </is>
      </c>
      <c r="H486" s="12" t="inlineStr">
        <is>
          <t>chưa ghi hàn tại MX_HTP-03A (dự phòng / chưa rõ / không hàn)</t>
        </is>
      </c>
      <c r="I486" s="4" t="inlineStr"/>
      <c r="J486" s="4" t="inlineStr"/>
      <c r="K486" s="4" t="inlineStr"/>
      <c r="L486" s="4" t="inlineStr">
        <is>
          <t>MX_HTP-03A</t>
        </is>
      </c>
    </row>
    <row r="487">
      <c r="A487" s="4" t="inlineStr">
        <is>
          <t>NBE22</t>
        </is>
      </c>
      <c r="B487" s="4" t="inlineStr">
        <is>
          <t>C35</t>
        </is>
      </c>
      <c r="C487" s="4" t="inlineStr">
        <is>
          <t>POSTEF</t>
        </is>
      </c>
      <c r="D487" s="4" t="n">
        <v>24</v>
      </c>
      <c r="E487" s="4" t="inlineStr">
        <is>
          <t>MX_HTP-03A</t>
        </is>
      </c>
      <c r="F487" s="4" t="n">
        <v>19</v>
      </c>
      <c r="G487" s="4" t="inlineStr">
        <is>
          <t>19</t>
        </is>
      </c>
      <c r="H487" s="11" t="inlineStr">
        <is>
          <t>đang chạy link R7-05 → HNB013</t>
        </is>
      </c>
      <c r="I487" s="4" t="inlineStr">
        <is>
          <t>HNB013</t>
        </is>
      </c>
      <c r="J487" s="4" t="inlineStr">
        <is>
          <t>R7-05</t>
        </is>
      </c>
      <c r="K487" s="4" t="inlineStr">
        <is>
          <t>mô tả</t>
        </is>
      </c>
      <c r="L487" s="4" t="inlineStr">
        <is>
          <t>MX_HTP-03A→HNB013</t>
        </is>
      </c>
    </row>
    <row r="488">
      <c r="A488" s="4" t="inlineStr">
        <is>
          <t>NBE22</t>
        </is>
      </c>
      <c r="B488" s="4" t="inlineStr">
        <is>
          <t>C35</t>
        </is>
      </c>
      <c r="C488" s="4" t="inlineStr">
        <is>
          <t>POSTEF</t>
        </is>
      </c>
      <c r="D488" s="4" t="n">
        <v>24</v>
      </c>
      <c r="E488" s="4" t="inlineStr">
        <is>
          <t>MX_HTP-03A</t>
        </is>
      </c>
      <c r="F488" s="4" t="n">
        <v>20</v>
      </c>
      <c r="G488" s="4" t="inlineStr">
        <is>
          <t>20</t>
        </is>
      </c>
      <c r="H488" s="11" t="inlineStr">
        <is>
          <t>đang chạy link R7-05 → HNB013</t>
        </is>
      </c>
      <c r="I488" s="4" t="inlineStr">
        <is>
          <t>HNB013</t>
        </is>
      </c>
      <c r="J488" s="4" t="inlineStr">
        <is>
          <t>R7-05</t>
        </is>
      </c>
      <c r="K488" s="4" t="inlineStr">
        <is>
          <t>mô tả</t>
        </is>
      </c>
      <c r="L488" s="4" t="inlineStr">
        <is>
          <t>MX_HTP-03A→HNB013</t>
        </is>
      </c>
    </row>
    <row r="489">
      <c r="A489" s="4" t="inlineStr">
        <is>
          <t>NBE22</t>
        </is>
      </c>
      <c r="B489" s="4" t="inlineStr">
        <is>
          <t>C35</t>
        </is>
      </c>
      <c r="C489" s="4" t="inlineStr">
        <is>
          <t>POSTEF</t>
        </is>
      </c>
      <c r="D489" s="4" t="n">
        <v>24</v>
      </c>
      <c r="E489" s="4" t="inlineStr">
        <is>
          <t>MX_HTP-03A</t>
        </is>
      </c>
      <c r="F489" s="4" t="n">
        <v>21</v>
      </c>
      <c r="G489" s="4" t="inlineStr">
        <is>
          <t>21</t>
        </is>
      </c>
      <c r="H489" s="13" t="inlineStr">
        <is>
          <t>hàn thông theo nhãn sơ đồ → HNB013 (chưa gán link)</t>
        </is>
      </c>
      <c r="I489" s="4" t="inlineStr">
        <is>
          <t>HNB013</t>
        </is>
      </c>
      <c r="J489" s="4" t="inlineStr"/>
      <c r="K489" s="4" t="inlineStr">
        <is>
          <t>sơ đồ MX</t>
        </is>
      </c>
      <c r="L489" s="4" t="inlineStr">
        <is>
          <t>MX_HTP-03A→HNB013</t>
        </is>
      </c>
    </row>
    <row r="490">
      <c r="A490" s="4" t="inlineStr">
        <is>
          <t>NBE22</t>
        </is>
      </c>
      <c r="B490" s="4" t="inlineStr">
        <is>
          <t>C35</t>
        </is>
      </c>
      <c r="C490" s="4" t="inlineStr">
        <is>
          <t>POSTEF</t>
        </is>
      </c>
      <c r="D490" s="4" t="n">
        <v>24</v>
      </c>
      <c r="E490" s="4" t="inlineStr">
        <is>
          <t>MX_HTP-03A</t>
        </is>
      </c>
      <c r="F490" s="4" t="n">
        <v>22</v>
      </c>
      <c r="G490" s="4" t="inlineStr">
        <is>
          <t>22</t>
        </is>
      </c>
      <c r="H490" s="13" t="inlineStr">
        <is>
          <t>hàn thông theo nhãn sơ đồ → HNB013 (chưa gán link)</t>
        </is>
      </c>
      <c r="I490" s="4" t="inlineStr">
        <is>
          <t>HNB013</t>
        </is>
      </c>
      <c r="J490" s="4" t="inlineStr"/>
      <c r="K490" s="4" t="inlineStr">
        <is>
          <t>sơ đồ MX</t>
        </is>
      </c>
      <c r="L490" s="4" t="inlineStr">
        <is>
          <t>MX_HTP-03A→HNB013</t>
        </is>
      </c>
    </row>
    <row r="491">
      <c r="A491" s="4" t="inlineStr">
        <is>
          <t>NBE22</t>
        </is>
      </c>
      <c r="B491" s="4" t="inlineStr">
        <is>
          <t>C35</t>
        </is>
      </c>
      <c r="C491" s="4" t="inlineStr">
        <is>
          <t>POSTEF</t>
        </is>
      </c>
      <c r="D491" s="4" t="n">
        <v>24</v>
      </c>
      <c r="E491" s="4" t="inlineStr">
        <is>
          <t>MX_HTP-03A</t>
        </is>
      </c>
      <c r="F491" s="4" t="n">
        <v>23</v>
      </c>
      <c r="G491" s="4" t="inlineStr">
        <is>
          <t>23</t>
        </is>
      </c>
      <c r="H491" s="13" t="inlineStr">
        <is>
          <t>hàn thông theo nhãn sơ đồ → HNB013 (chưa gán link)</t>
        </is>
      </c>
      <c r="I491" s="4" t="inlineStr">
        <is>
          <t>HNB013</t>
        </is>
      </c>
      <c r="J491" s="4" t="inlineStr"/>
      <c r="K491" s="4" t="inlineStr">
        <is>
          <t>sơ đồ MX</t>
        </is>
      </c>
      <c r="L491" s="4" t="inlineStr">
        <is>
          <t>MX_HTP-03A→HNB013</t>
        </is>
      </c>
    </row>
    <row r="492">
      <c r="A492" s="4" t="inlineStr">
        <is>
          <t>NBE22</t>
        </is>
      </c>
      <c r="B492" s="4" t="inlineStr">
        <is>
          <t>C35</t>
        </is>
      </c>
      <c r="C492" s="4" t="inlineStr">
        <is>
          <t>POSTEF</t>
        </is>
      </c>
      <c r="D492" s="4" t="n">
        <v>24</v>
      </c>
      <c r="E492" s="4" t="inlineStr">
        <is>
          <t>MX_HTP-03A</t>
        </is>
      </c>
      <c r="F492" s="4" t="n">
        <v>24</v>
      </c>
      <c r="G492" s="4" t="inlineStr">
        <is>
          <t>24</t>
        </is>
      </c>
      <c r="H492" s="13" t="inlineStr">
        <is>
          <t>hàn thông theo nhãn sơ đồ → HNB013 (chưa gán link)</t>
        </is>
      </c>
      <c r="I492" s="4" t="inlineStr">
        <is>
          <t>HNB013</t>
        </is>
      </c>
      <c r="J492" s="4" t="inlineStr"/>
      <c r="K492" s="4" t="inlineStr">
        <is>
          <t>sơ đồ MX</t>
        </is>
      </c>
      <c r="L492" s="4" t="inlineStr">
        <is>
          <t>MX_HTP-03A→HNB013</t>
        </is>
      </c>
    </row>
  </sheetData>
  <autoFilter ref="A4:L492"/>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10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7" customWidth="1" min="3" max="3"/>
    <col width="7" customWidth="1" min="4" max="4"/>
    <col width="9" customWidth="1" min="5" max="5"/>
    <col width="26" customWidth="1" min="6" max="6"/>
    <col width="50" customWidth="1" min="7" max="7"/>
    <col width="18" customWidth="1" min="8" max="8"/>
    <col width="12" customWidth="1" min="9" max="9"/>
  </cols>
  <sheetData>
    <row r="1">
      <c r="A1" s="1" t="inlineStr">
        <is>
          <t>4 ODF tại hai AGG (NBE12: ODF-01 hướng NB, ODF-02 hướng NVT; NBE22: ODF-01 cs 1816, ODF-02 cs 1288)</t>
        </is>
      </c>
    </row>
    <row r="2">
      <c r="A2" s="2" t="inlineStr">
        <is>
          <t>Mỗi dòng một cổng. "Đích ghi trên ODF" lấy từ file ODF; "Truy vết" là kết quả đi theo core qua các măng xông theo dữ liệu hiện có. ODF-01 NBE12 có hai hàng số (cổng ↔ core).</t>
        </is>
      </c>
    </row>
    <row r="4" ht="32" customHeight="1">
      <c r="A4" s="3" t="inlineStr">
        <is>
          <t>Trạm</t>
        </is>
      </c>
      <c r="B4" s="3" t="inlineStr">
        <is>
          <t>ODF</t>
        </is>
      </c>
      <c r="C4" s="3" t="inlineStr">
        <is>
          <t>Cáp</t>
        </is>
      </c>
      <c r="D4" s="3" t="inlineStr">
        <is>
          <t>Cổng</t>
        </is>
      </c>
      <c r="E4" s="3" t="inlineStr">
        <is>
          <t>Core cáp</t>
        </is>
      </c>
      <c r="F4" s="3" t="inlineStr">
        <is>
          <t>Đích ghi trên ODF</t>
        </is>
      </c>
      <c r="G4" s="3" t="inlineStr">
        <is>
          <t>Ghi chú ODF</t>
        </is>
      </c>
      <c r="H4" s="3" t="inlineStr">
        <is>
          <t>Truy vết tới</t>
        </is>
      </c>
      <c r="I4" s="3" t="inlineStr">
        <is>
          <t>Link</t>
        </is>
      </c>
    </row>
    <row r="5">
      <c r="A5" s="4" t="inlineStr">
        <is>
          <t>NBE12</t>
        </is>
      </c>
      <c r="B5" s="4" t="inlineStr">
        <is>
          <t>ODF-01 (hướng NB)</t>
        </is>
      </c>
      <c r="C5" s="4" t="inlineStr">
        <is>
          <t>C22</t>
        </is>
      </c>
      <c r="D5" s="4" t="n">
        <v>1</v>
      </c>
      <c r="E5" s="13" t="n">
        <v>7</v>
      </c>
      <c r="F5" s="4" t="inlineStr">
        <is>
          <t>LACG43 TTC</t>
        </is>
      </c>
      <c r="G5" s="4" t="inlineStr">
        <is>
          <t>phối cáp ttc tại mx hem 1534 lvl</t>
        </is>
      </c>
      <c r="H5" s="12" t="inlineStr">
        <is>
          <t>dừng tại MX_LVL-04</t>
        </is>
      </c>
      <c r="I5" s="4" t="inlineStr"/>
    </row>
    <row r="6">
      <c r="A6" s="4" t="inlineStr">
        <is>
          <t>NBE12</t>
        </is>
      </c>
      <c r="B6" s="4" t="inlineStr">
        <is>
          <t>ODF-01 (hướng NB)</t>
        </is>
      </c>
      <c r="C6" s="4" t="inlineStr">
        <is>
          <t>C22</t>
        </is>
      </c>
      <c r="D6" s="4" t="n">
        <v>2</v>
      </c>
      <c r="E6" s="13" t="n">
        <v>8</v>
      </c>
      <c r="F6" s="4" t="inlineStr">
        <is>
          <t>LACG43 TTC</t>
        </is>
      </c>
      <c r="G6" s="4" t="inlineStr"/>
      <c r="H6" s="12" t="inlineStr">
        <is>
          <t>dừng tại MX_LVL-04</t>
        </is>
      </c>
      <c r="I6" s="4" t="inlineStr"/>
    </row>
    <row r="7">
      <c r="A7" s="4" t="inlineStr">
        <is>
          <t>NBE12</t>
        </is>
      </c>
      <c r="B7" s="4" t="inlineStr">
        <is>
          <t>ODF-01 (hướng NB)</t>
        </is>
      </c>
      <c r="C7" s="4" t="inlineStr">
        <is>
          <t>C22</t>
        </is>
      </c>
      <c r="D7" s="4" t="n">
        <v>3</v>
      </c>
      <c r="E7" s="13" t="n">
        <v>9</v>
      </c>
      <c r="F7" s="4" t="inlineStr"/>
      <c r="G7" s="4" t="inlineStr"/>
      <c r="H7" s="12" t="inlineStr">
        <is>
          <t>dừng tại MX_NB-01</t>
        </is>
      </c>
      <c r="I7" s="4" t="inlineStr"/>
    </row>
    <row r="8">
      <c r="A8" s="4" t="inlineStr">
        <is>
          <t>NBE12</t>
        </is>
      </c>
      <c r="B8" s="4" t="inlineStr">
        <is>
          <t>ODF-01 (hướng NB)</t>
        </is>
      </c>
      <c r="C8" s="4" t="inlineStr">
        <is>
          <t>C22</t>
        </is>
      </c>
      <c r="D8" s="4" t="n">
        <v>4</v>
      </c>
      <c r="E8" s="13" t="n">
        <v>10</v>
      </c>
      <c r="F8" s="4" t="inlineStr"/>
      <c r="G8" s="4" t="inlineStr"/>
      <c r="H8" s="12" t="inlineStr">
        <is>
          <t>dừng tại MX_NB-01</t>
        </is>
      </c>
      <c r="I8" s="4" t="inlineStr"/>
    </row>
    <row r="9">
      <c r="A9" s="4" t="inlineStr">
        <is>
          <t>NBE12</t>
        </is>
      </c>
      <c r="B9" s="4" t="inlineStr">
        <is>
          <t>ODF-01 (hướng NB)</t>
        </is>
      </c>
      <c r="C9" s="4" t="inlineStr">
        <is>
          <t>C22</t>
        </is>
      </c>
      <c r="D9" s="4" t="n">
        <v>5</v>
      </c>
      <c r="E9" s="13" t="n">
        <v>11</v>
      </c>
      <c r="F9" s="4" t="inlineStr">
        <is>
          <t>HNB011 ring 4</t>
        </is>
      </c>
      <c r="G9" s="4" t="inlineStr"/>
      <c r="H9" s="11" t="inlineStr">
        <is>
          <t>HNB011</t>
        </is>
      </c>
      <c r="I9" s="4" t="inlineStr">
        <is>
          <t>R4-01</t>
        </is>
      </c>
    </row>
    <row r="10">
      <c r="A10" s="4" t="inlineStr">
        <is>
          <t>NBE12</t>
        </is>
      </c>
      <c r="B10" s="4" t="inlineStr">
        <is>
          <t>ODF-01 (hướng NB)</t>
        </is>
      </c>
      <c r="C10" s="4" t="inlineStr">
        <is>
          <t>C22</t>
        </is>
      </c>
      <c r="D10" s="4" t="n">
        <v>6</v>
      </c>
      <c r="E10" s="13" t="n">
        <v>12</v>
      </c>
      <c r="F10" s="4" t="inlineStr">
        <is>
          <t>HNB011 ring 4</t>
        </is>
      </c>
      <c r="G10" s="4" t="inlineStr"/>
      <c r="H10" s="11" t="inlineStr">
        <is>
          <t>HNB011</t>
        </is>
      </c>
      <c r="I10" s="4" t="inlineStr">
        <is>
          <t>R4-01</t>
        </is>
      </c>
    </row>
    <row r="11">
      <c r="A11" s="4" t="inlineStr">
        <is>
          <t>NBE12</t>
        </is>
      </c>
      <c r="B11" s="4" t="inlineStr">
        <is>
          <t>ODF-01 (hướng NB)</t>
        </is>
      </c>
      <c r="C11" s="4" t="inlineStr">
        <is>
          <t>C22</t>
        </is>
      </c>
      <c r="D11" s="4" t="n">
        <v>7</v>
      </c>
      <c r="E11" s="13" t="n">
        <v>1</v>
      </c>
      <c r="F11" s="4" t="inlineStr">
        <is>
          <t>HNB012 ring 5</t>
        </is>
      </c>
      <c r="G11" s="4" t="inlineStr"/>
      <c r="H11" s="11" t="inlineStr">
        <is>
          <t>HNB012</t>
        </is>
      </c>
      <c r="I11" s="4" t="inlineStr">
        <is>
          <t>R5-01</t>
        </is>
      </c>
    </row>
    <row r="12">
      <c r="A12" s="4" t="inlineStr">
        <is>
          <t>NBE12</t>
        </is>
      </c>
      <c r="B12" s="4" t="inlineStr">
        <is>
          <t>ODF-01 (hướng NB)</t>
        </is>
      </c>
      <c r="C12" s="4" t="inlineStr">
        <is>
          <t>C22</t>
        </is>
      </c>
      <c r="D12" s="4" t="n">
        <v>8</v>
      </c>
      <c r="E12" s="13" t="n">
        <v>2</v>
      </c>
      <c r="F12" s="4" t="inlineStr">
        <is>
          <t>HNB012 ring 5</t>
        </is>
      </c>
      <c r="G12" s="4" t="inlineStr"/>
      <c r="H12" s="11" t="inlineStr">
        <is>
          <t>HNB012</t>
        </is>
      </c>
      <c r="I12" s="4" t="inlineStr">
        <is>
          <t>R5-01</t>
        </is>
      </c>
    </row>
    <row r="13">
      <c r="A13" s="4" t="inlineStr">
        <is>
          <t>NBE12</t>
        </is>
      </c>
      <c r="B13" s="4" t="inlineStr">
        <is>
          <t>ODF-01 (hướng NB)</t>
        </is>
      </c>
      <c r="C13" s="4" t="inlineStr">
        <is>
          <t>C22</t>
        </is>
      </c>
      <c r="D13" s="4" t="n">
        <v>9</v>
      </c>
      <c r="E13" s="13" t="n">
        <v>3</v>
      </c>
      <c r="F13" s="4" t="inlineStr">
        <is>
          <t>Hư</t>
        </is>
      </c>
      <c r="G13" s="4" t="inlineStr"/>
      <c r="H13" s="12" t="inlineStr">
        <is>
          <t>dừng tại MX_NB-01</t>
        </is>
      </c>
      <c r="I13" s="4" t="inlineStr"/>
    </row>
    <row r="14">
      <c r="A14" s="4" t="inlineStr">
        <is>
          <t>NBE12</t>
        </is>
      </c>
      <c r="B14" s="4" t="inlineStr">
        <is>
          <t>ODF-01 (hướng NB)</t>
        </is>
      </c>
      <c r="C14" s="4" t="inlineStr">
        <is>
          <t>C22</t>
        </is>
      </c>
      <c r="D14" s="4" t="n">
        <v>10</v>
      </c>
      <c r="E14" s="13" t="n">
        <v>4</v>
      </c>
      <c r="F14" s="4" t="inlineStr">
        <is>
          <t>Hư</t>
        </is>
      </c>
      <c r="G14" s="4" t="inlineStr"/>
      <c r="H14" s="12" t="inlineStr">
        <is>
          <t>dừng tại MX_NB-01</t>
        </is>
      </c>
      <c r="I14" s="4" t="inlineStr"/>
    </row>
    <row r="15">
      <c r="A15" s="4" t="inlineStr">
        <is>
          <t>NBE12</t>
        </is>
      </c>
      <c r="B15" s="4" t="inlineStr">
        <is>
          <t>ODF-01 (hướng NB)</t>
        </is>
      </c>
      <c r="C15" s="4" t="inlineStr">
        <is>
          <t>C22</t>
        </is>
      </c>
      <c r="D15" s="4" t="n">
        <v>11</v>
      </c>
      <c r="E15" s="13" t="n">
        <v>5</v>
      </c>
      <c r="F15" s="4" t="inlineStr">
        <is>
          <t>HNB055 ring 3</t>
        </is>
      </c>
      <c r="G15" s="4" t="inlineStr"/>
      <c r="H15" s="11" t="inlineStr">
        <is>
          <t>HNB055</t>
        </is>
      </c>
      <c r="I15" s="4" t="inlineStr">
        <is>
          <t>R3-01</t>
        </is>
      </c>
    </row>
    <row r="16">
      <c r="A16" s="4" t="inlineStr">
        <is>
          <t>NBE12</t>
        </is>
      </c>
      <c r="B16" s="4" t="inlineStr">
        <is>
          <t>ODF-01 (hướng NB)</t>
        </is>
      </c>
      <c r="C16" s="4" t="inlineStr">
        <is>
          <t>C22</t>
        </is>
      </c>
      <c r="D16" s="4" t="n">
        <v>12</v>
      </c>
      <c r="E16" s="13" t="n">
        <v>6</v>
      </c>
      <c r="F16" s="4" t="inlineStr">
        <is>
          <t>HNB055 ring 3</t>
        </is>
      </c>
      <c r="G16" s="4" t="inlineStr"/>
      <c r="H16" s="11" t="inlineStr">
        <is>
          <t>HNB055</t>
        </is>
      </c>
      <c r="I16" s="4" t="inlineStr">
        <is>
          <t>R3-01</t>
        </is>
      </c>
    </row>
    <row r="17">
      <c r="A17" s="4" t="inlineStr">
        <is>
          <t>NBE12</t>
        </is>
      </c>
      <c r="B17" s="4" t="inlineStr">
        <is>
          <t>ODF-01 (hướng NB)</t>
        </is>
      </c>
      <c r="C17" s="4" t="inlineStr">
        <is>
          <t>C22</t>
        </is>
      </c>
      <c r="D17" s="4" t="n">
        <v>13</v>
      </c>
      <c r="E17" s="4" t="n">
        <v>13</v>
      </c>
      <c r="F17" s="4" t="inlineStr"/>
      <c r="G17" s="4" t="inlineStr"/>
      <c r="H17" s="12" t="inlineStr">
        <is>
          <t>dừng tại MX_NB-01</t>
        </is>
      </c>
      <c r="I17" s="4" t="inlineStr"/>
    </row>
    <row r="18">
      <c r="A18" s="4" t="inlineStr">
        <is>
          <t>NBE12</t>
        </is>
      </c>
      <c r="B18" s="4" t="inlineStr">
        <is>
          <t>ODF-01 (hướng NB)</t>
        </is>
      </c>
      <c r="C18" s="4" t="inlineStr">
        <is>
          <t>C22</t>
        </is>
      </c>
      <c r="D18" s="4" t="n">
        <v>14</v>
      </c>
      <c r="E18" s="4" t="n">
        <v>14</v>
      </c>
      <c r="F18" s="4" t="inlineStr"/>
      <c r="G18" s="4" t="inlineStr"/>
      <c r="H18" s="12" t="inlineStr">
        <is>
          <t>dừng tại MX_NB-01</t>
        </is>
      </c>
      <c r="I18" s="4" t="inlineStr"/>
    </row>
    <row r="19">
      <c r="A19" s="4" t="inlineStr">
        <is>
          <t>NBE12</t>
        </is>
      </c>
      <c r="B19" s="4" t="inlineStr">
        <is>
          <t>ODF-01 (hướng NB)</t>
        </is>
      </c>
      <c r="C19" s="4" t="inlineStr">
        <is>
          <t>C22</t>
        </is>
      </c>
      <c r="D19" s="4" t="n">
        <v>15</v>
      </c>
      <c r="E19" s="4" t="n">
        <v>15</v>
      </c>
      <c r="F19" s="4" t="inlineStr"/>
      <c r="G19" s="4" t="inlineStr"/>
      <c r="H19" s="12" t="inlineStr">
        <is>
          <t>dừng tại MX_NB-01</t>
        </is>
      </c>
      <c r="I19" s="4" t="inlineStr"/>
    </row>
    <row r="20">
      <c r="A20" s="4" t="inlineStr">
        <is>
          <t>NBE12</t>
        </is>
      </c>
      <c r="B20" s="4" t="inlineStr">
        <is>
          <t>ODF-01 (hướng NB)</t>
        </is>
      </c>
      <c r="C20" s="4" t="inlineStr">
        <is>
          <t>C22</t>
        </is>
      </c>
      <c r="D20" s="4" t="n">
        <v>16</v>
      </c>
      <c r="E20" s="4" t="n">
        <v>16</v>
      </c>
      <c r="F20" s="4" t="inlineStr"/>
      <c r="G20" s="4" t="inlineStr"/>
      <c r="H20" s="12" t="inlineStr">
        <is>
          <t>dừng tại MX_NB-01</t>
        </is>
      </c>
      <c r="I20" s="4" t="inlineStr"/>
    </row>
    <row r="21">
      <c r="A21" s="4" t="inlineStr">
        <is>
          <t>NBE12</t>
        </is>
      </c>
      <c r="B21" s="4" t="inlineStr">
        <is>
          <t>ODF-01 (hướng NB)</t>
        </is>
      </c>
      <c r="C21" s="4" t="inlineStr">
        <is>
          <t>C22</t>
        </is>
      </c>
      <c r="D21" s="4" t="n">
        <v>17</v>
      </c>
      <c r="E21" s="4" t="n">
        <v>17</v>
      </c>
      <c r="F21" s="4" t="inlineStr">
        <is>
          <t>MTC Vinanet</t>
        </is>
      </c>
      <c r="G21" s="4" t="inlineStr">
        <is>
          <t>phối cáp ngoài mx nb-nvt</t>
        </is>
      </c>
      <c r="H21" s="12" t="inlineStr">
        <is>
          <t>dừng tại MX_NB-01</t>
        </is>
      </c>
      <c r="I21" s="4" t="inlineStr"/>
    </row>
    <row r="22">
      <c r="A22" s="4" t="inlineStr">
        <is>
          <t>NBE12</t>
        </is>
      </c>
      <c r="B22" s="4" t="inlineStr">
        <is>
          <t>ODF-01 (hướng NB)</t>
        </is>
      </c>
      <c r="C22" s="4" t="inlineStr">
        <is>
          <t>C22</t>
        </is>
      </c>
      <c r="D22" s="4" t="n">
        <v>18</v>
      </c>
      <c r="E22" s="4" t="n">
        <v>18</v>
      </c>
      <c r="F22" s="4" t="inlineStr">
        <is>
          <t>MTC Vinanet</t>
        </is>
      </c>
      <c r="G22" s="4" t="inlineStr">
        <is>
          <t>phối cáp ngoài mx nb-nvt</t>
        </is>
      </c>
      <c r="H22" s="12" t="inlineStr">
        <is>
          <t>dừng tại MX_NB-01</t>
        </is>
      </c>
      <c r="I22" s="4" t="inlineStr"/>
    </row>
    <row r="23">
      <c r="A23" s="4" t="inlineStr">
        <is>
          <t>NBE12</t>
        </is>
      </c>
      <c r="B23" s="4" t="inlineStr">
        <is>
          <t>ODF-01 (hướng NB)</t>
        </is>
      </c>
      <c r="C23" s="4" t="inlineStr">
        <is>
          <t>C22</t>
        </is>
      </c>
      <c r="D23" s="4" t="n">
        <v>19</v>
      </c>
      <c r="E23" s="4" t="n">
        <v>19</v>
      </c>
      <c r="F23" s="4" t="inlineStr">
        <is>
          <t>HNB086 ring 6</t>
        </is>
      </c>
      <c r="G23" s="4" t="inlineStr"/>
      <c r="H23" s="11" t="inlineStr">
        <is>
          <t>HNB086</t>
        </is>
      </c>
      <c r="I23" s="4" t="inlineStr">
        <is>
          <t>R6-01</t>
        </is>
      </c>
    </row>
    <row r="24">
      <c r="A24" s="4" t="inlineStr">
        <is>
          <t>NBE12</t>
        </is>
      </c>
      <c r="B24" s="4" t="inlineStr">
        <is>
          <t>ODF-01 (hướng NB)</t>
        </is>
      </c>
      <c r="C24" s="4" t="inlineStr">
        <is>
          <t>C22</t>
        </is>
      </c>
      <c r="D24" s="4" t="n">
        <v>20</v>
      </c>
      <c r="E24" s="4" t="n">
        <v>20</v>
      </c>
      <c r="F24" s="4" t="inlineStr">
        <is>
          <t>HNB086 ring 6</t>
        </is>
      </c>
      <c r="G24" s="4" t="inlineStr"/>
      <c r="H24" s="11" t="inlineStr">
        <is>
          <t>HNB086</t>
        </is>
      </c>
      <c r="I24" s="4" t="inlineStr">
        <is>
          <t>R6-01</t>
        </is>
      </c>
    </row>
    <row r="25">
      <c r="A25" s="4" t="inlineStr">
        <is>
          <t>NBE12</t>
        </is>
      </c>
      <c r="B25" s="4" t="inlineStr">
        <is>
          <t>ODF-01 (hướng NB)</t>
        </is>
      </c>
      <c r="C25" s="4" t="inlineStr">
        <is>
          <t>C22</t>
        </is>
      </c>
      <c r="D25" s="4" t="n">
        <v>21</v>
      </c>
      <c r="E25" s="4" t="n">
        <v>21</v>
      </c>
      <c r="F25" s="4" t="inlineStr">
        <is>
          <t>NBE22-02(9,10)</t>
        </is>
      </c>
      <c r="G25" s="4" t="inlineStr"/>
      <c r="H25" s="12" t="inlineStr">
        <is>
          <t>dừng tại MX_NB-01</t>
        </is>
      </c>
      <c r="I25" s="4" t="inlineStr"/>
    </row>
    <row r="26">
      <c r="A26" s="4" t="inlineStr">
        <is>
          <t>NBE12</t>
        </is>
      </c>
      <c r="B26" s="4" t="inlineStr">
        <is>
          <t>ODF-01 (hướng NB)</t>
        </is>
      </c>
      <c r="C26" s="4" t="inlineStr">
        <is>
          <t>C22</t>
        </is>
      </c>
      <c r="D26" s="4" t="n">
        <v>22</v>
      </c>
      <c r="E26" s="4" t="n">
        <v>22</v>
      </c>
      <c r="F26" s="4" t="inlineStr">
        <is>
          <t>NBE22-02(9,10)</t>
        </is>
      </c>
      <c r="G26" s="4" t="inlineStr"/>
      <c r="H26" s="12" t="inlineStr">
        <is>
          <t>dừng tại MX_NB-01</t>
        </is>
      </c>
      <c r="I26" s="4" t="inlineStr"/>
    </row>
    <row r="27">
      <c r="A27" s="4" t="inlineStr">
        <is>
          <t>NBE12</t>
        </is>
      </c>
      <c r="B27" s="4" t="inlineStr">
        <is>
          <t>ODF-01 (hướng NB)</t>
        </is>
      </c>
      <c r="C27" s="4" t="inlineStr">
        <is>
          <t>C22</t>
        </is>
      </c>
      <c r="D27" s="4" t="n">
        <v>23</v>
      </c>
      <c r="E27" s="4" t="n">
        <v>23</v>
      </c>
      <c r="F27" s="4" t="inlineStr">
        <is>
          <t>NBE22-02(11,12)</t>
        </is>
      </c>
      <c r="G27" s="4" t="inlineStr"/>
      <c r="H27" s="12" t="inlineStr">
        <is>
          <t>dừng tại MX_NB-01</t>
        </is>
      </c>
      <c r="I27" s="4" t="inlineStr"/>
    </row>
    <row r="28">
      <c r="A28" s="4" t="inlineStr">
        <is>
          <t>NBE12</t>
        </is>
      </c>
      <c r="B28" s="4" t="inlineStr">
        <is>
          <t>ODF-01 (hướng NB)</t>
        </is>
      </c>
      <c r="C28" s="4" t="inlineStr">
        <is>
          <t>C22</t>
        </is>
      </c>
      <c r="D28" s="4" t="n">
        <v>24</v>
      </c>
      <c r="E28" s="4" t="n">
        <v>24</v>
      </c>
      <c r="F28" s="4" t="inlineStr">
        <is>
          <t>NBE22-02(11,12)</t>
        </is>
      </c>
      <c r="G28" s="4" t="inlineStr"/>
      <c r="H28" s="12" t="inlineStr">
        <is>
          <t>dừng tại MX_NB-01</t>
        </is>
      </c>
      <c r="I28" s="4" t="inlineStr"/>
    </row>
    <row r="29">
      <c r="A29" s="4" t="inlineStr">
        <is>
          <t>NBE12</t>
        </is>
      </c>
      <c r="B29" s="4" t="inlineStr">
        <is>
          <t>ODF-02 (hướng NVT)</t>
        </is>
      </c>
      <c r="C29" s="4" t="inlineStr">
        <is>
          <t>C01</t>
        </is>
      </c>
      <c r="D29" s="4" t="n">
        <v>1</v>
      </c>
      <c r="E29" s="4" t="n">
        <v>1</v>
      </c>
      <c r="F29" s="4" t="inlineStr">
        <is>
          <t>HNB054 ring 2</t>
        </is>
      </c>
      <c r="G29" s="4" t="inlineStr"/>
      <c r="H29" s="11" t="inlineStr">
        <is>
          <t>HNB054</t>
        </is>
      </c>
      <c r="I29" s="4" t="inlineStr">
        <is>
          <t>R2-01</t>
        </is>
      </c>
    </row>
    <row r="30">
      <c r="A30" s="4" t="inlineStr">
        <is>
          <t>NBE12</t>
        </is>
      </c>
      <c r="B30" s="4" t="inlineStr">
        <is>
          <t>ODF-02 (hướng NVT)</t>
        </is>
      </c>
      <c r="C30" s="4" t="inlineStr">
        <is>
          <t>C01</t>
        </is>
      </c>
      <c r="D30" s="4" t="n">
        <v>2</v>
      </c>
      <c r="E30" s="4" t="n">
        <v>2</v>
      </c>
      <c r="F30" s="4" t="inlineStr">
        <is>
          <t>HNB054 ring 2</t>
        </is>
      </c>
      <c r="G30" s="4" t="inlineStr"/>
      <c r="H30" s="11" t="inlineStr">
        <is>
          <t>HNB054</t>
        </is>
      </c>
      <c r="I30" s="4" t="inlineStr">
        <is>
          <t>R2-01</t>
        </is>
      </c>
    </row>
    <row r="31">
      <c r="A31" s="4" t="inlineStr">
        <is>
          <t>NBE12</t>
        </is>
      </c>
      <c r="B31" s="4" t="inlineStr">
        <is>
          <t>ODF-02 (hướng NVT)</t>
        </is>
      </c>
      <c r="C31" s="4" t="inlineStr">
        <is>
          <t>C01</t>
        </is>
      </c>
      <c r="D31" s="4" t="n">
        <v>3</v>
      </c>
      <c r="E31" s="4" t="n">
        <v>3</v>
      </c>
      <c r="F31" s="4" t="inlineStr">
        <is>
          <t>HNB059 ring 1</t>
        </is>
      </c>
      <c r="G31" s="4" t="inlineStr"/>
      <c r="H31" s="11" t="inlineStr">
        <is>
          <t>HNB059</t>
        </is>
      </c>
      <c r="I31" s="4" t="inlineStr">
        <is>
          <t>R1-01</t>
        </is>
      </c>
    </row>
    <row r="32">
      <c r="A32" s="4" t="inlineStr">
        <is>
          <t>NBE12</t>
        </is>
      </c>
      <c r="B32" s="4" t="inlineStr">
        <is>
          <t>ODF-02 (hướng NVT)</t>
        </is>
      </c>
      <c r="C32" s="4" t="inlineStr">
        <is>
          <t>C01</t>
        </is>
      </c>
      <c r="D32" s="4" t="n">
        <v>4</v>
      </c>
      <c r="E32" s="4" t="n">
        <v>4</v>
      </c>
      <c r="F32" s="4" t="inlineStr">
        <is>
          <t>HNB059 ring 1</t>
        </is>
      </c>
      <c r="G32" s="4" t="inlineStr"/>
      <c r="H32" s="11" t="inlineStr">
        <is>
          <t>HNB059</t>
        </is>
      </c>
      <c r="I32" s="4" t="inlineStr">
        <is>
          <t>R1-01</t>
        </is>
      </c>
    </row>
    <row r="33">
      <c r="A33" s="4" t="inlineStr">
        <is>
          <t>NBE12</t>
        </is>
      </c>
      <c r="B33" s="4" t="inlineStr">
        <is>
          <t>ODF-02 (hướng NVT)</t>
        </is>
      </c>
      <c r="C33" s="4" t="inlineStr">
        <is>
          <t>C01</t>
        </is>
      </c>
      <c r="D33" s="4" t="n">
        <v>5</v>
      </c>
      <c r="E33" s="4" t="n">
        <v>5</v>
      </c>
      <c r="F33" s="4" t="inlineStr">
        <is>
          <t>MX_NVT-03A</t>
        </is>
      </c>
      <c r="G33" s="4" t="inlineStr">
        <is>
          <t>TTC gói Long An-hủy</t>
        </is>
      </c>
      <c r="H33" s="12" t="inlineStr">
        <is>
          <t>dừng tại MX_NVT_01</t>
        </is>
      </c>
      <c r="I33" s="4" t="inlineStr"/>
    </row>
    <row r="34">
      <c r="A34" s="4" t="inlineStr">
        <is>
          <t>NBE12</t>
        </is>
      </c>
      <c r="B34" s="4" t="inlineStr">
        <is>
          <t>ODF-02 (hướng NVT)</t>
        </is>
      </c>
      <c r="C34" s="4" t="inlineStr">
        <is>
          <t>C01</t>
        </is>
      </c>
      <c r="D34" s="4" t="n">
        <v>6</v>
      </c>
      <c r="E34" s="4" t="n">
        <v>6</v>
      </c>
      <c r="F34" s="4" t="inlineStr">
        <is>
          <t>MX_NVT-03A</t>
        </is>
      </c>
      <c r="G34" s="4" t="inlineStr">
        <is>
          <t>TTC gói Long An-hủy</t>
        </is>
      </c>
      <c r="H34" s="12" t="inlineStr">
        <is>
          <t>dừng tại MX_NVT_01</t>
        </is>
      </c>
      <c r="I34" s="4" t="inlineStr"/>
    </row>
    <row r="35">
      <c r="A35" s="4" t="inlineStr">
        <is>
          <t>NBE12</t>
        </is>
      </c>
      <c r="B35" s="4" t="inlineStr">
        <is>
          <t>ODF-02 (hướng NVT)</t>
        </is>
      </c>
      <c r="C35" s="4" t="inlineStr">
        <is>
          <t>C01</t>
        </is>
      </c>
      <c r="D35" s="4" t="n">
        <v>7</v>
      </c>
      <c r="E35" s="4" t="n">
        <v>7</v>
      </c>
      <c r="F35" s="4" t="inlineStr">
        <is>
          <t>NBE22-01(7,8)</t>
        </is>
      </c>
      <c r="G35" s="4" t="inlineStr"/>
      <c r="H35" s="12" t="inlineStr">
        <is>
          <t>dừng tại MX_NVT_01</t>
        </is>
      </c>
      <c r="I35" s="4" t="inlineStr"/>
    </row>
    <row r="36">
      <c r="A36" s="4" t="inlineStr">
        <is>
          <t>NBE12</t>
        </is>
      </c>
      <c r="B36" s="4" t="inlineStr">
        <is>
          <t>ODF-02 (hướng NVT)</t>
        </is>
      </c>
      <c r="C36" s="4" t="inlineStr">
        <is>
          <t>C01</t>
        </is>
      </c>
      <c r="D36" s="4" t="n">
        <v>8</v>
      </c>
      <c r="E36" s="4" t="n">
        <v>8</v>
      </c>
      <c r="F36" s="4" t="inlineStr">
        <is>
          <t>NBE22-01(7,8)</t>
        </is>
      </c>
      <c r="G36" s="4" t="inlineStr"/>
      <c r="H36" s="12" t="inlineStr">
        <is>
          <t>dừng tại MX_NVT_01</t>
        </is>
      </c>
      <c r="I36" s="4" t="inlineStr"/>
    </row>
    <row r="37">
      <c r="A37" s="4" t="inlineStr">
        <is>
          <t>NBE12</t>
        </is>
      </c>
      <c r="B37" s="4" t="inlineStr">
        <is>
          <t>ODF-02 (hướng NVT)</t>
        </is>
      </c>
      <c r="C37" s="4" t="inlineStr">
        <is>
          <t>C01</t>
        </is>
      </c>
      <c r="D37" s="4" t="n">
        <v>9</v>
      </c>
      <c r="E37" s="4" t="n">
        <v>9</v>
      </c>
      <c r="F37" s="4" t="inlineStr">
        <is>
          <t>HNB066 ring 8</t>
        </is>
      </c>
      <c r="G37" s="4" t="inlineStr"/>
      <c r="H37" s="11" t="inlineStr">
        <is>
          <t>HNB066</t>
        </is>
      </c>
      <c r="I37" s="4" t="inlineStr">
        <is>
          <t>R8-01</t>
        </is>
      </c>
    </row>
    <row r="38">
      <c r="A38" s="4" t="inlineStr">
        <is>
          <t>NBE12</t>
        </is>
      </c>
      <c r="B38" s="4" t="inlineStr">
        <is>
          <t>ODF-02 (hướng NVT)</t>
        </is>
      </c>
      <c r="C38" s="4" t="inlineStr">
        <is>
          <t>C01</t>
        </is>
      </c>
      <c r="D38" s="4" t="n">
        <v>10</v>
      </c>
      <c r="E38" s="4" t="n">
        <v>10</v>
      </c>
      <c r="F38" s="4" t="inlineStr">
        <is>
          <t>HNB066 ring 8</t>
        </is>
      </c>
      <c r="G38" s="4" t="inlineStr"/>
      <c r="H38" s="11" t="inlineStr">
        <is>
          <t>HNB066</t>
        </is>
      </c>
      <c r="I38" s="4" t="inlineStr">
        <is>
          <t>R8-01</t>
        </is>
      </c>
    </row>
    <row r="39">
      <c r="A39" s="4" t="inlineStr">
        <is>
          <t>NBE12</t>
        </is>
      </c>
      <c r="B39" s="4" t="inlineStr">
        <is>
          <t>ODF-02 (hướng NVT)</t>
        </is>
      </c>
      <c r="C39" s="4" t="inlineStr">
        <is>
          <t>C01</t>
        </is>
      </c>
      <c r="D39" s="4" t="n">
        <v>11</v>
      </c>
      <c r="E39" s="4" t="n">
        <v>11</v>
      </c>
      <c r="F39" s="4" t="inlineStr">
        <is>
          <t>HNB005 ring7</t>
        </is>
      </c>
      <c r="G39" s="4" t="inlineStr"/>
      <c r="H39" s="11" t="inlineStr">
        <is>
          <t>HNB005</t>
        </is>
      </c>
      <c r="I39" s="4" t="inlineStr">
        <is>
          <t>R7-01</t>
        </is>
      </c>
    </row>
    <row r="40">
      <c r="A40" s="4" t="inlineStr">
        <is>
          <t>NBE12</t>
        </is>
      </c>
      <c r="B40" s="4" t="inlineStr">
        <is>
          <t>ODF-02 (hướng NVT)</t>
        </is>
      </c>
      <c r="C40" s="4" t="inlineStr">
        <is>
          <t>C01</t>
        </is>
      </c>
      <c r="D40" s="4" t="n">
        <v>12</v>
      </c>
      <c r="E40" s="4" t="n">
        <v>12</v>
      </c>
      <c r="F40" s="4" t="inlineStr">
        <is>
          <t>HNB005 ring7</t>
        </is>
      </c>
      <c r="G40" s="4" t="inlineStr"/>
      <c r="H40" s="11" t="inlineStr">
        <is>
          <t>HNB005</t>
        </is>
      </c>
      <c r="I40" s="4" t="inlineStr">
        <is>
          <t>R7-01</t>
        </is>
      </c>
    </row>
    <row r="41">
      <c r="A41" s="4" t="inlineStr">
        <is>
          <t>NBE12</t>
        </is>
      </c>
      <c r="B41" s="4" t="inlineStr">
        <is>
          <t>ODF-02 (hướng NVT)</t>
        </is>
      </c>
      <c r="C41" s="4" t="inlineStr">
        <is>
          <t>C01</t>
        </is>
      </c>
      <c r="D41" s="4" t="n">
        <v>13</v>
      </c>
      <c r="E41" s="4" t="n">
        <v>13</v>
      </c>
      <c r="F41" s="4" t="inlineStr">
        <is>
          <t>CRAN HNB072</t>
        </is>
      </c>
      <c r="G41" s="4" t="inlineStr"/>
      <c r="H41" s="12" t="inlineStr">
        <is>
          <t>dừng tại MX nhập đài Long Thới–NVT</t>
        </is>
      </c>
      <c r="I41" s="4" t="inlineStr"/>
    </row>
    <row r="42">
      <c r="A42" s="4" t="inlineStr">
        <is>
          <t>NBE12</t>
        </is>
      </c>
      <c r="B42" s="4" t="inlineStr">
        <is>
          <t>ODF-02 (hướng NVT)</t>
        </is>
      </c>
      <c r="C42" s="4" t="inlineStr">
        <is>
          <t>C01</t>
        </is>
      </c>
      <c r="D42" s="4" t="n">
        <v>14</v>
      </c>
      <c r="E42" s="4" t="n">
        <v>14</v>
      </c>
      <c r="F42" s="4" t="inlineStr">
        <is>
          <t>CRAN HNB072</t>
        </is>
      </c>
      <c r="G42" s="4" t="inlineStr"/>
      <c r="H42" s="12" t="inlineStr">
        <is>
          <t>dừng tại MX nhập đài Long Thới–NVT</t>
        </is>
      </c>
      <c r="I42" s="4" t="inlineStr"/>
    </row>
    <row r="43">
      <c r="A43" s="4" t="inlineStr">
        <is>
          <t>NBE12</t>
        </is>
      </c>
      <c r="B43" s="4" t="inlineStr">
        <is>
          <t>ODF-02 (hướng NVT)</t>
        </is>
      </c>
      <c r="C43" s="4" t="inlineStr">
        <is>
          <t>C01</t>
        </is>
      </c>
      <c r="D43" s="4" t="n">
        <v>15</v>
      </c>
      <c r="E43" s="4" t="n">
        <v>15</v>
      </c>
      <c r="F43" s="4" t="inlineStr">
        <is>
          <t>CRAN HNB072</t>
        </is>
      </c>
      <c r="G43" s="4" t="inlineStr"/>
      <c r="H43" s="12" t="inlineStr">
        <is>
          <t>dừng tại MX nhập đài Long Thới–NVT</t>
        </is>
      </c>
      <c r="I43" s="4" t="inlineStr"/>
    </row>
    <row r="44">
      <c r="A44" s="4" t="inlineStr">
        <is>
          <t>NBE12</t>
        </is>
      </c>
      <c r="B44" s="4" t="inlineStr">
        <is>
          <t>ODF-02 (hướng NVT)</t>
        </is>
      </c>
      <c r="C44" s="4" t="inlineStr">
        <is>
          <t>C01</t>
        </is>
      </c>
      <c r="D44" s="4" t="n">
        <v>16</v>
      </c>
      <c r="E44" s="4" t="n">
        <v>16</v>
      </c>
      <c r="F44" s="4" t="inlineStr">
        <is>
          <t>CRAN HNB072</t>
        </is>
      </c>
      <c r="G44" s="4" t="inlineStr"/>
      <c r="H44" s="12" t="inlineStr">
        <is>
          <t>dừng tại MX nhập đài Long Thới–NVT</t>
        </is>
      </c>
      <c r="I44" s="4" t="inlineStr"/>
    </row>
    <row r="45">
      <c r="A45" s="4" t="inlineStr">
        <is>
          <t>NBE12</t>
        </is>
      </c>
      <c r="B45" s="4" t="inlineStr">
        <is>
          <t>ODF-02 (hướng NVT)</t>
        </is>
      </c>
      <c r="C45" s="4" t="inlineStr">
        <is>
          <t>C01</t>
        </is>
      </c>
      <c r="D45" s="4" t="n">
        <v>17</v>
      </c>
      <c r="E45" s="4" t="n">
        <v>17</v>
      </c>
      <c r="F45" s="4" t="inlineStr">
        <is>
          <t>CRAN HNB072</t>
        </is>
      </c>
      <c r="G45" s="4" t="inlineStr"/>
      <c r="H45" s="12" t="inlineStr">
        <is>
          <t>dừng tại MX nhập đài Long Thới–NVT</t>
        </is>
      </c>
      <c r="I45" s="4" t="inlineStr"/>
    </row>
    <row r="46">
      <c r="A46" s="4" t="inlineStr">
        <is>
          <t>NBE12</t>
        </is>
      </c>
      <c r="B46" s="4" t="inlineStr">
        <is>
          <t>ODF-02 (hướng NVT)</t>
        </is>
      </c>
      <c r="C46" s="4" t="inlineStr">
        <is>
          <t>C01</t>
        </is>
      </c>
      <c r="D46" s="4" t="n">
        <v>18</v>
      </c>
      <c r="E46" s="4" t="n">
        <v>18</v>
      </c>
      <c r="F46" s="4" t="inlineStr">
        <is>
          <t>CRAN HNB072</t>
        </is>
      </c>
      <c r="G46" s="4" t="inlineStr"/>
      <c r="H46" s="12" t="inlineStr">
        <is>
          <t>dừng tại MX nhập đài Long Thới–NVT</t>
        </is>
      </c>
      <c r="I46" s="4" t="inlineStr"/>
    </row>
    <row r="47">
      <c r="A47" s="4" t="inlineStr">
        <is>
          <t>NBE12</t>
        </is>
      </c>
      <c r="B47" s="4" t="inlineStr">
        <is>
          <t>ODF-02 (hướng NVT)</t>
        </is>
      </c>
      <c r="C47" s="4" t="inlineStr">
        <is>
          <t>C01</t>
        </is>
      </c>
      <c r="D47" s="4" t="n">
        <v>19</v>
      </c>
      <c r="E47" s="4" t="n">
        <v>19</v>
      </c>
      <c r="F47" s="4" t="inlineStr">
        <is>
          <t>AGG12</t>
        </is>
      </c>
      <c r="G47" s="4" t="inlineStr"/>
      <c r="H47" s="12" t="inlineStr">
        <is>
          <t>dừng tại MX nhập đài Long Thới–NVT</t>
        </is>
      </c>
      <c r="I47" s="4" t="inlineStr"/>
    </row>
    <row r="48">
      <c r="A48" s="4" t="inlineStr">
        <is>
          <t>NBE12</t>
        </is>
      </c>
      <c r="B48" s="4" t="inlineStr">
        <is>
          <t>ODF-02 (hướng NVT)</t>
        </is>
      </c>
      <c r="C48" s="4" t="inlineStr">
        <is>
          <t>C01</t>
        </is>
      </c>
      <c r="D48" s="4" t="n">
        <v>20</v>
      </c>
      <c r="E48" s="4" t="n">
        <v>20</v>
      </c>
      <c r="F48" s="4" t="inlineStr">
        <is>
          <t>AGG12</t>
        </is>
      </c>
      <c r="G48" s="4" t="inlineStr"/>
      <c r="H48" s="12" t="inlineStr">
        <is>
          <t>dừng tại MX nhập đài Long Thới–NVT</t>
        </is>
      </c>
      <c r="I48" s="4" t="inlineStr"/>
    </row>
    <row r="49">
      <c r="A49" s="4" t="inlineStr">
        <is>
          <t>NBE12</t>
        </is>
      </c>
      <c r="B49" s="4" t="inlineStr">
        <is>
          <t>ODF-02 (hướng NVT)</t>
        </is>
      </c>
      <c r="C49" s="4" t="inlineStr">
        <is>
          <t>C01</t>
        </is>
      </c>
      <c r="D49" s="4" t="n">
        <v>21</v>
      </c>
      <c r="E49" s="4" t="n">
        <v>21</v>
      </c>
      <c r="F49" s="4" t="inlineStr">
        <is>
          <t>AGG12</t>
        </is>
      </c>
      <c r="G49" s="4" t="inlineStr"/>
      <c r="H49" s="12" t="inlineStr">
        <is>
          <t>dừng tại MX nhập đài Long Thới–NVT</t>
        </is>
      </c>
      <c r="I49" s="4" t="inlineStr"/>
    </row>
    <row r="50">
      <c r="A50" s="4" t="inlineStr">
        <is>
          <t>NBE12</t>
        </is>
      </c>
      <c r="B50" s="4" t="inlineStr">
        <is>
          <t>ODF-02 (hướng NVT)</t>
        </is>
      </c>
      <c r="C50" s="4" t="inlineStr">
        <is>
          <t>C01</t>
        </is>
      </c>
      <c r="D50" s="4" t="n">
        <v>22</v>
      </c>
      <c r="E50" s="4" t="n">
        <v>22</v>
      </c>
      <c r="F50" s="4" t="inlineStr">
        <is>
          <t>AGG12</t>
        </is>
      </c>
      <c r="G50" s="4" t="inlineStr"/>
      <c r="H50" s="12" t="inlineStr">
        <is>
          <t>dừng tại MX nhập đài Long Thới–NVT</t>
        </is>
      </c>
      <c r="I50" s="4" t="inlineStr"/>
    </row>
    <row r="51">
      <c r="A51" s="4" t="inlineStr">
        <is>
          <t>NBE12</t>
        </is>
      </c>
      <c r="B51" s="4" t="inlineStr">
        <is>
          <t>ODF-02 (hướng NVT)</t>
        </is>
      </c>
      <c r="C51" s="4" t="inlineStr">
        <is>
          <t>C01</t>
        </is>
      </c>
      <c r="D51" s="4" t="n">
        <v>23</v>
      </c>
      <c r="E51" s="4" t="n">
        <v>23</v>
      </c>
      <c r="F51" s="4" t="inlineStr">
        <is>
          <t>AGG12</t>
        </is>
      </c>
      <c r="G51" s="4" t="inlineStr"/>
      <c r="H51" s="12" t="inlineStr">
        <is>
          <t>dừng tại MX nhập đài Long Thới–NVT</t>
        </is>
      </c>
      <c r="I51" s="4" t="inlineStr"/>
    </row>
    <row r="52">
      <c r="A52" s="4" t="inlineStr">
        <is>
          <t>NBE12</t>
        </is>
      </c>
      <c r="B52" s="4" t="inlineStr">
        <is>
          <t>ODF-02 (hướng NVT)</t>
        </is>
      </c>
      <c r="C52" s="4" t="inlineStr">
        <is>
          <t>C01</t>
        </is>
      </c>
      <c r="D52" s="4" t="n">
        <v>24</v>
      </c>
      <c r="E52" s="4" t="n">
        <v>24</v>
      </c>
      <c r="F52" s="4" t="inlineStr">
        <is>
          <t>AGG12</t>
        </is>
      </c>
      <c r="G52" s="4" t="inlineStr"/>
      <c r="H52" s="12" t="inlineStr">
        <is>
          <t>dừng tại MX nhập đài Long Thới–NVT</t>
        </is>
      </c>
      <c r="I52" s="4" t="inlineStr"/>
    </row>
    <row r="53">
      <c r="A53" s="4" t="inlineStr">
        <is>
          <t>NBE22</t>
        </is>
      </c>
      <c r="B53" s="4" t="inlineStr">
        <is>
          <t>ODF-01 (cs 1816)</t>
        </is>
      </c>
      <c r="C53" s="4" t="inlineStr">
        <is>
          <t>C35</t>
        </is>
      </c>
      <c r="D53" s="4" t="n">
        <v>1</v>
      </c>
      <c r="E53" s="4" t="n">
        <v>1</v>
      </c>
      <c r="F53" s="4" t="inlineStr">
        <is>
          <t>HNB075 ring 5</t>
        </is>
      </c>
      <c r="G53" s="4" t="inlineStr"/>
      <c r="H53" s="11" t="inlineStr">
        <is>
          <t>HNB075</t>
        </is>
      </c>
      <c r="I53" s="4" t="inlineStr">
        <is>
          <t>R5-04</t>
        </is>
      </c>
    </row>
    <row r="54">
      <c r="A54" s="4" t="inlineStr">
        <is>
          <t>NBE22</t>
        </is>
      </c>
      <c r="B54" s="4" t="inlineStr">
        <is>
          <t>ODF-01 (cs 1816)</t>
        </is>
      </c>
      <c r="C54" s="4" t="inlineStr">
        <is>
          <t>C35</t>
        </is>
      </c>
      <c r="D54" s="4" t="n">
        <v>2</v>
      </c>
      <c r="E54" s="4" t="n">
        <v>2</v>
      </c>
      <c r="F54" s="4" t="inlineStr">
        <is>
          <t>HNB075 ring 5</t>
        </is>
      </c>
      <c r="G54" s="4" t="inlineStr"/>
      <c r="H54" s="11" t="inlineStr">
        <is>
          <t>HNB075</t>
        </is>
      </c>
      <c r="I54" s="4" t="inlineStr">
        <is>
          <t>R5-04</t>
        </is>
      </c>
    </row>
    <row r="55">
      <c r="A55" s="4" t="inlineStr">
        <is>
          <t>NBE22</t>
        </is>
      </c>
      <c r="B55" s="4" t="inlineStr">
        <is>
          <t>ODF-01 (cs 1816)</t>
        </is>
      </c>
      <c r="C55" s="4" t="inlineStr">
        <is>
          <t>C35</t>
        </is>
      </c>
      <c r="D55" s="4" t="n">
        <v>3</v>
      </c>
      <c r="E55" s="4" t="n">
        <v>3</v>
      </c>
      <c r="F55" s="4" t="inlineStr">
        <is>
          <t>HNB073 ring4</t>
        </is>
      </c>
      <c r="G55" s="4" t="inlineStr"/>
      <c r="H55" s="11" t="inlineStr">
        <is>
          <t>HNB073</t>
        </is>
      </c>
      <c r="I55" s="4" t="inlineStr">
        <is>
          <t>R4-05</t>
        </is>
      </c>
    </row>
    <row r="56">
      <c r="A56" s="4" t="inlineStr">
        <is>
          <t>NBE22</t>
        </is>
      </c>
      <c r="B56" s="4" t="inlineStr">
        <is>
          <t>ODF-01 (cs 1816)</t>
        </is>
      </c>
      <c r="C56" s="4" t="inlineStr">
        <is>
          <t>C35</t>
        </is>
      </c>
      <c r="D56" s="4" t="n">
        <v>4</v>
      </c>
      <c r="E56" s="4" t="n">
        <v>4</v>
      </c>
      <c r="F56" s="4" t="inlineStr">
        <is>
          <t>HNB073 ring4</t>
        </is>
      </c>
      <c r="G56" s="4" t="inlineStr"/>
      <c r="H56" s="11" t="inlineStr">
        <is>
          <t>HNB073</t>
        </is>
      </c>
      <c r="I56" s="4" t="inlineStr">
        <is>
          <t>R4-05</t>
        </is>
      </c>
    </row>
    <row r="57">
      <c r="A57" s="4" t="inlineStr">
        <is>
          <t>NBE22</t>
        </is>
      </c>
      <c r="B57" s="4" t="inlineStr">
        <is>
          <t>ODF-01 (cs 1816)</t>
        </is>
      </c>
      <c r="C57" s="4" t="inlineStr">
        <is>
          <t>C35</t>
        </is>
      </c>
      <c r="D57" s="4" t="n">
        <v>5</v>
      </c>
      <c r="E57" s="4" t="n">
        <v>5</v>
      </c>
      <c r="F57" s="4" t="inlineStr">
        <is>
          <t>HNB094 ring 3</t>
        </is>
      </c>
      <c r="G57" s="4" t="inlineStr"/>
      <c r="H57" s="11" t="inlineStr">
        <is>
          <t>HNB094</t>
        </is>
      </c>
      <c r="I57" s="4" t="inlineStr">
        <is>
          <t>R3-04</t>
        </is>
      </c>
    </row>
    <row r="58">
      <c r="A58" s="4" t="inlineStr">
        <is>
          <t>NBE22</t>
        </is>
      </c>
      <c r="B58" s="4" t="inlineStr">
        <is>
          <t>ODF-01 (cs 1816)</t>
        </is>
      </c>
      <c r="C58" s="4" t="inlineStr">
        <is>
          <t>C35</t>
        </is>
      </c>
      <c r="D58" s="4" t="n">
        <v>6</v>
      </c>
      <c r="E58" s="4" t="n">
        <v>6</v>
      </c>
      <c r="F58" s="4" t="inlineStr">
        <is>
          <t>HNB094 ring 3</t>
        </is>
      </c>
      <c r="G58" s="4" t="inlineStr"/>
      <c r="H58" s="11" t="inlineStr">
        <is>
          <t>HNB094</t>
        </is>
      </c>
      <c r="I58" s="4" t="inlineStr">
        <is>
          <t>R3-04</t>
        </is>
      </c>
    </row>
    <row r="59">
      <c r="A59" s="4" t="inlineStr">
        <is>
          <t>NBE22</t>
        </is>
      </c>
      <c r="B59" s="4" t="inlineStr">
        <is>
          <t>ODF-01 (cs 1816)</t>
        </is>
      </c>
      <c r="C59" s="4" t="inlineStr">
        <is>
          <t>C35</t>
        </is>
      </c>
      <c r="D59" s="4" t="n">
        <v>7</v>
      </c>
      <c r="E59" s="4" t="n">
        <v>7</v>
      </c>
      <c r="F59" s="4" t="inlineStr">
        <is>
          <t>NBE12-02(7,8) / Hướng PHL</t>
        </is>
      </c>
      <c r="G59" s="4" t="inlineStr"/>
      <c r="H59" s="12" t="inlineStr">
        <is>
          <t>dừng tại MX_LVL-04</t>
        </is>
      </c>
      <c r="I59" s="4" t="inlineStr"/>
    </row>
    <row r="60">
      <c r="A60" s="4" t="inlineStr">
        <is>
          <t>NBE22</t>
        </is>
      </c>
      <c r="B60" s="4" t="inlineStr">
        <is>
          <t>ODF-01 (cs 1816)</t>
        </is>
      </c>
      <c r="C60" s="4" t="inlineStr">
        <is>
          <t>C35</t>
        </is>
      </c>
      <c r="D60" s="4" t="n">
        <v>8</v>
      </c>
      <c r="E60" s="4" t="n">
        <v>8</v>
      </c>
      <c r="F60" s="4" t="inlineStr">
        <is>
          <t>NBE12-02(7,8) / Hướng PHL</t>
        </is>
      </c>
      <c r="G60" s="4" t="inlineStr"/>
      <c r="H60" s="12" t="inlineStr">
        <is>
          <t>dừng tại MX_LVL-04</t>
        </is>
      </c>
      <c r="I60" s="4" t="inlineStr"/>
    </row>
    <row r="61">
      <c r="A61" s="4" t="inlineStr">
        <is>
          <t>NBE22</t>
        </is>
      </c>
      <c r="B61" s="4" t="inlineStr">
        <is>
          <t>ODF-01 (cs 1816)</t>
        </is>
      </c>
      <c r="C61" s="4" t="inlineStr">
        <is>
          <t>C35</t>
        </is>
      </c>
      <c r="D61" s="4" t="n">
        <v>9</v>
      </c>
      <c r="E61" s="4" t="n">
        <v>9</v>
      </c>
      <c r="F61" s="4" t="inlineStr">
        <is>
          <t>HNB038 ring 8</t>
        </is>
      </c>
      <c r="G61" s="4" t="inlineStr"/>
      <c r="H61" s="11" t="inlineStr">
        <is>
          <t>HNB038</t>
        </is>
      </c>
      <c r="I61" s="4" t="inlineStr">
        <is>
          <t>R8-04</t>
        </is>
      </c>
    </row>
    <row r="62">
      <c r="A62" s="4" t="inlineStr">
        <is>
          <t>NBE22</t>
        </is>
      </c>
      <c r="B62" s="4" t="inlineStr">
        <is>
          <t>ODF-01 (cs 1816)</t>
        </is>
      </c>
      <c r="C62" s="4" t="inlineStr">
        <is>
          <t>C35</t>
        </is>
      </c>
      <c r="D62" s="4" t="n">
        <v>10</v>
      </c>
      <c r="E62" s="4" t="n">
        <v>10</v>
      </c>
      <c r="F62" s="4" t="inlineStr">
        <is>
          <t>HNB038 ring 8</t>
        </is>
      </c>
      <c r="G62" s="4" t="inlineStr"/>
      <c r="H62" s="11" t="inlineStr">
        <is>
          <t>HNB038</t>
        </is>
      </c>
      <c r="I62" s="4" t="inlineStr">
        <is>
          <t>R8-04</t>
        </is>
      </c>
    </row>
    <row r="63">
      <c r="A63" s="4" t="inlineStr">
        <is>
          <t>NBE22</t>
        </is>
      </c>
      <c r="B63" s="4" t="inlineStr">
        <is>
          <t>ODF-01 (cs 1816)</t>
        </is>
      </c>
      <c r="C63" s="4" t="inlineStr">
        <is>
          <t>C35</t>
        </is>
      </c>
      <c r="D63" s="4" t="n">
        <v>11</v>
      </c>
      <c r="E63" s="4" t="n">
        <v>11</v>
      </c>
      <c r="F63" s="4" t="inlineStr">
        <is>
          <t>MX đầu hẽm 1806</t>
        </is>
      </c>
      <c r="G63" s="4" t="inlineStr"/>
      <c r="H63" s="12" t="inlineStr">
        <is>
          <t>dừng tại MX_HTP-02</t>
        </is>
      </c>
      <c r="I63" s="4" t="inlineStr"/>
    </row>
    <row r="64">
      <c r="A64" s="4" t="inlineStr">
        <is>
          <t>NBE22</t>
        </is>
      </c>
      <c r="B64" s="4" t="inlineStr">
        <is>
          <t>ODF-01 (cs 1816)</t>
        </is>
      </c>
      <c r="C64" s="4" t="inlineStr">
        <is>
          <t>C35</t>
        </is>
      </c>
      <c r="D64" s="4" t="n">
        <v>12</v>
      </c>
      <c r="E64" s="4" t="n">
        <v>12</v>
      </c>
      <c r="F64" s="4" t="inlineStr">
        <is>
          <t>MX đầu hẽm 1806</t>
        </is>
      </c>
      <c r="G64" s="4" t="inlineStr"/>
      <c r="H64" s="12" t="inlineStr">
        <is>
          <t>dừng tại MX_HTP-02</t>
        </is>
      </c>
      <c r="I64" s="4" t="inlineStr"/>
    </row>
    <row r="65">
      <c r="A65" s="4" t="inlineStr">
        <is>
          <t>NBE22</t>
        </is>
      </c>
      <c r="B65" s="4" t="inlineStr">
        <is>
          <t>ODF-01 (cs 1816)</t>
        </is>
      </c>
      <c r="C65" s="4" t="inlineStr">
        <is>
          <t>C35</t>
        </is>
      </c>
      <c r="D65" s="4" t="n">
        <v>13</v>
      </c>
      <c r="E65" s="4" t="n">
        <v>13</v>
      </c>
      <c r="F65" s="4" t="inlineStr">
        <is>
          <t>MX_HTP-03A</t>
        </is>
      </c>
      <c r="G65" s="4" t="inlineStr">
        <is>
          <t>Dùng cho DWDM Vinanet  / ngưng từ 16/05/2025</t>
        </is>
      </c>
      <c r="H65" s="12" t="inlineStr">
        <is>
          <t>dừng tại MX_HTP-03A</t>
        </is>
      </c>
      <c r="I65" s="4" t="inlineStr"/>
    </row>
    <row r="66">
      <c r="A66" s="4" t="inlineStr">
        <is>
          <t>NBE22</t>
        </is>
      </c>
      <c r="B66" s="4" t="inlineStr">
        <is>
          <t>ODF-01 (cs 1816)</t>
        </is>
      </c>
      <c r="C66" s="4" t="inlineStr">
        <is>
          <t>C35</t>
        </is>
      </c>
      <c r="D66" s="4" t="n">
        <v>14</v>
      </c>
      <c r="E66" s="4" t="n">
        <v>14</v>
      </c>
      <c r="F66" s="4" t="inlineStr">
        <is>
          <t>MX_HTP-03A</t>
        </is>
      </c>
      <c r="G66" s="4" t="inlineStr">
        <is>
          <t>Dùng cho DWDM Vinanet  / ngưng từ 16/05/2025</t>
        </is>
      </c>
      <c r="H66" s="12" t="inlineStr">
        <is>
          <t>dừng tại MX_HTP-03A</t>
        </is>
      </c>
      <c r="I66" s="4" t="inlineStr"/>
    </row>
    <row r="67">
      <c r="A67" s="4" t="inlineStr">
        <is>
          <t>NBE22</t>
        </is>
      </c>
      <c r="B67" s="4" t="inlineStr">
        <is>
          <t>ODF-01 (cs 1816)</t>
        </is>
      </c>
      <c r="C67" s="4" t="inlineStr">
        <is>
          <t>C35</t>
        </is>
      </c>
      <c r="D67" s="4" t="n">
        <v>15</v>
      </c>
      <c r="E67" s="4" t="n">
        <v>15</v>
      </c>
      <c r="F67" s="4" t="inlineStr">
        <is>
          <t>MX_HTP-03A</t>
        </is>
      </c>
      <c r="G67" s="4" t="inlineStr">
        <is>
          <t>Dùng cho DWDM Vinanet  / ngưng từ 16/05/2025</t>
        </is>
      </c>
      <c r="H67" s="12" t="inlineStr">
        <is>
          <t>dừng tại MX_HTP-03A</t>
        </is>
      </c>
      <c r="I67" s="4" t="inlineStr"/>
    </row>
    <row r="68">
      <c r="A68" s="4" t="inlineStr">
        <is>
          <t>NBE22</t>
        </is>
      </c>
      <c r="B68" s="4" t="inlineStr">
        <is>
          <t>ODF-01 (cs 1816)</t>
        </is>
      </c>
      <c r="C68" s="4" t="inlineStr">
        <is>
          <t>C35</t>
        </is>
      </c>
      <c r="D68" s="4" t="n">
        <v>16</v>
      </c>
      <c r="E68" s="4" t="n">
        <v>16</v>
      </c>
      <c r="F68" s="4" t="inlineStr">
        <is>
          <t>MX_HTP-03A</t>
        </is>
      </c>
      <c r="G68" s="4" t="inlineStr">
        <is>
          <t>Dùng cho DWDM Vinanet  / ngưng từ 16/05/2025</t>
        </is>
      </c>
      <c r="H68" s="12" t="inlineStr">
        <is>
          <t>dừng tại MX_HTP-03A</t>
        </is>
      </c>
      <c r="I68" s="4" t="inlineStr"/>
    </row>
    <row r="69">
      <c r="A69" s="4" t="inlineStr">
        <is>
          <t>NBE22</t>
        </is>
      </c>
      <c r="B69" s="4" t="inlineStr">
        <is>
          <t>ODF-01 (cs 1816)</t>
        </is>
      </c>
      <c r="C69" s="4" t="inlineStr">
        <is>
          <t>C35</t>
        </is>
      </c>
      <c r="D69" s="4" t="n">
        <v>17</v>
      </c>
      <c r="E69" s="4" t="n">
        <v>17</v>
      </c>
      <c r="F69" s="4" t="inlineStr">
        <is>
          <t>MX_HTP-03A</t>
        </is>
      </c>
      <c r="G69" s="4" t="inlineStr">
        <is>
          <t>Dùng cho DWDM Vinanet  / ngưng từ 16/05/2025</t>
        </is>
      </c>
      <c r="H69" s="12" t="inlineStr">
        <is>
          <t>dừng tại MX_HTP-03A</t>
        </is>
      </c>
      <c r="I69" s="4" t="inlineStr"/>
    </row>
    <row r="70">
      <c r="A70" s="4" t="inlineStr">
        <is>
          <t>NBE22</t>
        </is>
      </c>
      <c r="B70" s="4" t="inlineStr">
        <is>
          <t>ODF-01 (cs 1816)</t>
        </is>
      </c>
      <c r="C70" s="4" t="inlineStr">
        <is>
          <t>C35</t>
        </is>
      </c>
      <c r="D70" s="4" t="n">
        <v>18</v>
      </c>
      <c r="E70" s="4" t="n">
        <v>18</v>
      </c>
      <c r="F70" s="4" t="inlineStr">
        <is>
          <t>MX_HTP-03A</t>
        </is>
      </c>
      <c r="G70" s="4" t="inlineStr">
        <is>
          <t>Dùng cho DWDM Vinanet  / ngưng từ 16/05/2025</t>
        </is>
      </c>
      <c r="H70" s="12" t="inlineStr">
        <is>
          <t>dừng tại MX_HTP-03A</t>
        </is>
      </c>
      <c r="I70" s="4" t="inlineStr"/>
    </row>
    <row r="71">
      <c r="A71" s="4" t="inlineStr">
        <is>
          <t>NBE22</t>
        </is>
      </c>
      <c r="B71" s="4" t="inlineStr">
        <is>
          <t>ODF-01 (cs 1816)</t>
        </is>
      </c>
      <c r="C71" s="4" t="inlineStr">
        <is>
          <t>C35</t>
        </is>
      </c>
      <c r="D71" s="4" t="n">
        <v>19</v>
      </c>
      <c r="E71" s="4" t="n">
        <v>19</v>
      </c>
      <c r="F71" s="4" t="inlineStr">
        <is>
          <t>HNB013 ring 7</t>
        </is>
      </c>
      <c r="G71" s="4" t="inlineStr"/>
      <c r="H71" s="11" t="inlineStr">
        <is>
          <t>HNB013</t>
        </is>
      </c>
      <c r="I71" s="4" t="inlineStr">
        <is>
          <t>R7-05</t>
        </is>
      </c>
    </row>
    <row r="72">
      <c r="A72" s="4" t="inlineStr">
        <is>
          <t>NBE22</t>
        </is>
      </c>
      <c r="B72" s="4" t="inlineStr">
        <is>
          <t>ODF-01 (cs 1816)</t>
        </is>
      </c>
      <c r="C72" s="4" t="inlineStr">
        <is>
          <t>C35</t>
        </is>
      </c>
      <c r="D72" s="4" t="n">
        <v>20</v>
      </c>
      <c r="E72" s="4" t="n">
        <v>20</v>
      </c>
      <c r="F72" s="4" t="inlineStr">
        <is>
          <t>HNB013 ring 7</t>
        </is>
      </c>
      <c r="G72" s="4" t="inlineStr"/>
      <c r="H72" s="11" t="inlineStr">
        <is>
          <t>HNB013</t>
        </is>
      </c>
      <c r="I72" s="4" t="inlineStr">
        <is>
          <t>R7-05</t>
        </is>
      </c>
    </row>
    <row r="73">
      <c r="A73" s="4" t="inlineStr">
        <is>
          <t>NBE22</t>
        </is>
      </c>
      <c r="B73" s="4" t="inlineStr">
        <is>
          <t>ODF-01 (cs 1816)</t>
        </is>
      </c>
      <c r="C73" s="4" t="inlineStr">
        <is>
          <t>C35</t>
        </is>
      </c>
      <c r="D73" s="4" t="n">
        <v>21</v>
      </c>
      <c r="E73" s="4" t="n">
        <v>21</v>
      </c>
      <c r="F73" s="4" t="inlineStr">
        <is>
          <t>HNB013</t>
        </is>
      </c>
      <c r="G73" s="4" t="inlineStr"/>
      <c r="H73" s="13" t="inlineStr">
        <is>
          <t>HNB013</t>
        </is>
      </c>
      <c r="I73" s="4" t="inlineStr"/>
    </row>
    <row r="74">
      <c r="A74" s="4" t="inlineStr">
        <is>
          <t>NBE22</t>
        </is>
      </c>
      <c r="B74" s="4" t="inlineStr">
        <is>
          <t>ODF-01 (cs 1816)</t>
        </is>
      </c>
      <c r="C74" s="4" t="inlineStr">
        <is>
          <t>C35</t>
        </is>
      </c>
      <c r="D74" s="4" t="n">
        <v>22</v>
      </c>
      <c r="E74" s="4" t="n">
        <v>22</v>
      </c>
      <c r="F74" s="4" t="inlineStr">
        <is>
          <t>HNB013</t>
        </is>
      </c>
      <c r="G74" s="4" t="inlineStr"/>
      <c r="H74" s="13" t="inlineStr">
        <is>
          <t>HNB013</t>
        </is>
      </c>
      <c r="I74" s="4" t="inlineStr"/>
    </row>
    <row r="75">
      <c r="A75" s="4" t="inlineStr">
        <is>
          <t>NBE22</t>
        </is>
      </c>
      <c r="B75" s="4" t="inlineStr">
        <is>
          <t>ODF-01 (cs 1816)</t>
        </is>
      </c>
      <c r="C75" s="4" t="inlineStr">
        <is>
          <t>C35</t>
        </is>
      </c>
      <c r="D75" s="4" t="n">
        <v>23</v>
      </c>
      <c r="E75" s="4" t="n">
        <v>23</v>
      </c>
      <c r="F75" s="4" t="inlineStr">
        <is>
          <t>HNB013</t>
        </is>
      </c>
      <c r="G75" s="4" t="inlineStr"/>
      <c r="H75" s="13" t="inlineStr">
        <is>
          <t>HNB013</t>
        </is>
      </c>
      <c r="I75" s="4" t="inlineStr"/>
    </row>
    <row r="76">
      <c r="A76" s="4" t="inlineStr">
        <is>
          <t>NBE22</t>
        </is>
      </c>
      <c r="B76" s="4" t="inlineStr">
        <is>
          <t>ODF-01 (cs 1816)</t>
        </is>
      </c>
      <c r="C76" s="4" t="inlineStr">
        <is>
          <t>C35</t>
        </is>
      </c>
      <c r="D76" s="4" t="n">
        <v>24</v>
      </c>
      <c r="E76" s="4" t="n">
        <v>24</v>
      </c>
      <c r="F76" s="4" t="inlineStr">
        <is>
          <t>HNB013</t>
        </is>
      </c>
      <c r="G76" s="4" t="inlineStr"/>
      <c r="H76" s="13" t="inlineStr">
        <is>
          <t>HNB013</t>
        </is>
      </c>
      <c r="I76" s="4" t="inlineStr"/>
    </row>
    <row r="77">
      <c r="A77" s="4" t="inlineStr">
        <is>
          <t>NBE22</t>
        </is>
      </c>
      <c r="B77" s="4" t="inlineStr">
        <is>
          <t>ODF-02 (cs 1288)</t>
        </is>
      </c>
      <c r="C77" s="4" t="inlineStr">
        <is>
          <t>C17</t>
        </is>
      </c>
      <c r="D77" s="4" t="n">
        <v>1</v>
      </c>
      <c r="E77" s="4" t="n">
        <v>1</v>
      </c>
      <c r="F77" s="4" t="inlineStr">
        <is>
          <t>HNB091 ring 2</t>
        </is>
      </c>
      <c r="G77" s="4" t="inlineStr"/>
      <c r="H77" s="11" t="inlineStr">
        <is>
          <t>HNB091</t>
        </is>
      </c>
      <c r="I77" s="4" t="inlineStr">
        <is>
          <t>R2-04</t>
        </is>
      </c>
    </row>
    <row r="78">
      <c r="A78" s="4" t="inlineStr">
        <is>
          <t>NBE22</t>
        </is>
      </c>
      <c r="B78" s="4" t="inlineStr">
        <is>
          <t>ODF-02 (cs 1288)</t>
        </is>
      </c>
      <c r="C78" s="4" t="inlineStr">
        <is>
          <t>C17</t>
        </is>
      </c>
      <c r="D78" s="4" t="n">
        <v>2</v>
      </c>
      <c r="E78" s="4" t="n">
        <v>2</v>
      </c>
      <c r="F78" s="4" t="inlineStr">
        <is>
          <t>HNB091 ring 2</t>
        </is>
      </c>
      <c r="G78" s="4" t="inlineStr"/>
      <c r="H78" s="11" t="inlineStr">
        <is>
          <t>HNB091</t>
        </is>
      </c>
      <c r="I78" s="4" t="inlineStr">
        <is>
          <t>R2-04</t>
        </is>
      </c>
    </row>
    <row r="79">
      <c r="A79" s="4" t="inlineStr">
        <is>
          <t>NBE22</t>
        </is>
      </c>
      <c r="B79" s="4" t="inlineStr">
        <is>
          <t>ODF-02 (cs 1288)</t>
        </is>
      </c>
      <c r="C79" s="4" t="inlineStr">
        <is>
          <t>C17</t>
        </is>
      </c>
      <c r="D79" s="4" t="n">
        <v>3</v>
      </c>
      <c r="E79" s="4" t="n">
        <v>3</v>
      </c>
      <c r="F79" s="4" t="inlineStr">
        <is>
          <t>HNB048 ring 1</t>
        </is>
      </c>
      <c r="G79" s="4" t="inlineStr"/>
      <c r="H79" s="11" t="inlineStr">
        <is>
          <t>HNB048</t>
        </is>
      </c>
      <c r="I79" s="4" t="inlineStr">
        <is>
          <t>R1-04</t>
        </is>
      </c>
    </row>
    <row r="80">
      <c r="A80" s="4" t="inlineStr">
        <is>
          <t>NBE22</t>
        </is>
      </c>
      <c r="B80" s="4" t="inlineStr">
        <is>
          <t>ODF-02 (cs 1288)</t>
        </is>
      </c>
      <c r="C80" s="4" t="inlineStr">
        <is>
          <t>C17</t>
        </is>
      </c>
      <c r="D80" s="4" t="n">
        <v>4</v>
      </c>
      <c r="E80" s="4" t="n">
        <v>4</v>
      </c>
      <c r="F80" s="4" t="inlineStr">
        <is>
          <t>HNB048 ring 1</t>
        </is>
      </c>
      <c r="G80" s="4" t="inlineStr"/>
      <c r="H80" s="11" t="inlineStr">
        <is>
          <t>HNB048</t>
        </is>
      </c>
      <c r="I80" s="4" t="inlineStr">
        <is>
          <t>R1-04</t>
        </is>
      </c>
    </row>
    <row r="81">
      <c r="A81" s="4" t="inlineStr">
        <is>
          <t>NBE22</t>
        </is>
      </c>
      <c r="B81" s="4" t="inlineStr">
        <is>
          <t>ODF-02 (cs 1288)</t>
        </is>
      </c>
      <c r="C81" s="4" t="inlineStr">
        <is>
          <t>C17</t>
        </is>
      </c>
      <c r="D81" s="4" t="n">
        <v>5</v>
      </c>
      <c r="E81" s="4" t="n">
        <v>5</v>
      </c>
      <c r="F81" s="4" t="inlineStr">
        <is>
          <t>MX_NVT-03B</t>
        </is>
      </c>
      <c r="G81" s="4" t="inlineStr"/>
      <c r="H81" s="12" t="inlineStr">
        <is>
          <t>dừng tại MX_HTP-03B</t>
        </is>
      </c>
      <c r="I81" s="4" t="inlineStr"/>
    </row>
    <row r="82">
      <c r="A82" s="4" t="inlineStr">
        <is>
          <t>NBE22</t>
        </is>
      </c>
      <c r="B82" s="4" t="inlineStr">
        <is>
          <t>ODF-02 (cs 1288)</t>
        </is>
      </c>
      <c r="C82" s="4" t="inlineStr">
        <is>
          <t>C17</t>
        </is>
      </c>
      <c r="D82" s="4" t="n">
        <v>6</v>
      </c>
      <c r="E82" s="4" t="n">
        <v>6</v>
      </c>
      <c r="F82" s="4" t="inlineStr">
        <is>
          <t>MX_NVT-03B</t>
        </is>
      </c>
      <c r="G82" s="4" t="inlineStr"/>
      <c r="H82" s="12" t="inlineStr">
        <is>
          <t>dừng tại MX_HTP-03B</t>
        </is>
      </c>
      <c r="I82" s="4" t="inlineStr"/>
    </row>
    <row r="83">
      <c r="A83" s="4" t="inlineStr">
        <is>
          <t>NBE22</t>
        </is>
      </c>
      <c r="B83" s="4" t="inlineStr">
        <is>
          <t>ODF-02 (cs 1288)</t>
        </is>
      </c>
      <c r="C83" s="4" t="inlineStr">
        <is>
          <t>C17</t>
        </is>
      </c>
      <c r="D83" s="4" t="n">
        <v>7</v>
      </c>
      <c r="E83" s="4" t="n">
        <v>7</v>
      </c>
      <c r="F83" s="4" t="inlineStr">
        <is>
          <t>HNB020 ring 6</t>
        </is>
      </c>
      <c r="G83" s="4" t="inlineStr"/>
      <c r="H83" s="11" t="inlineStr">
        <is>
          <t>HNB020</t>
        </is>
      </c>
      <c r="I83" s="4" t="inlineStr">
        <is>
          <t>R6-06</t>
        </is>
      </c>
    </row>
    <row r="84">
      <c r="A84" s="4" t="inlineStr">
        <is>
          <t>NBE22</t>
        </is>
      </c>
      <c r="B84" s="4" t="inlineStr">
        <is>
          <t>ODF-02 (cs 1288)</t>
        </is>
      </c>
      <c r="C84" s="4" t="inlineStr">
        <is>
          <t>C17</t>
        </is>
      </c>
      <c r="D84" s="4" t="n">
        <v>8</v>
      </c>
      <c r="E84" s="4" t="n">
        <v>8</v>
      </c>
      <c r="F84" s="4" t="inlineStr">
        <is>
          <t>HNB020 ring 6</t>
        </is>
      </c>
      <c r="G84" s="4" t="inlineStr"/>
      <c r="H84" s="11" t="inlineStr">
        <is>
          <t>HNB020</t>
        </is>
      </c>
      <c r="I84" s="4" t="inlineStr">
        <is>
          <t>R6-06</t>
        </is>
      </c>
    </row>
    <row r="85">
      <c r="A85" s="4" t="inlineStr">
        <is>
          <t>NBE22</t>
        </is>
      </c>
      <c r="B85" s="4" t="inlineStr">
        <is>
          <t>ODF-02 (cs 1288)</t>
        </is>
      </c>
      <c r="C85" s="4" t="inlineStr">
        <is>
          <t>C17</t>
        </is>
      </c>
      <c r="D85" s="4" t="n">
        <v>9</v>
      </c>
      <c r="E85" s="4" t="n">
        <v>9</v>
      </c>
      <c r="F85" s="4" t="inlineStr">
        <is>
          <t>NBE12-01 (21,22) / Hướng NB</t>
        </is>
      </c>
      <c r="G85" s="4" t="inlineStr">
        <is>
          <t>TTC gói Long An, CG23, dùng từ đây đến mx NB-NVT</t>
        </is>
      </c>
      <c r="H85" s="12" t="inlineStr">
        <is>
          <t>dừng tại MX_HTP-03B</t>
        </is>
      </c>
      <c r="I85" s="4" t="inlineStr"/>
    </row>
    <row r="86">
      <c r="A86" s="4" t="inlineStr">
        <is>
          <t>NBE22</t>
        </is>
      </c>
      <c r="B86" s="4" t="inlineStr">
        <is>
          <t>ODF-02 (cs 1288)</t>
        </is>
      </c>
      <c r="C86" s="4" t="inlineStr">
        <is>
          <t>C17</t>
        </is>
      </c>
      <c r="D86" s="4" t="n">
        <v>10</v>
      </c>
      <c r="E86" s="4" t="n">
        <v>10</v>
      </c>
      <c r="F86" s="4" t="inlineStr">
        <is>
          <t>NBE12-01 (21,22) / Hướng NB</t>
        </is>
      </c>
      <c r="G86" s="4" t="inlineStr">
        <is>
          <t>TTC gói Long An, CG23, dùng từ đây đến mx NB-NVT</t>
        </is>
      </c>
      <c r="H86" s="12" t="inlineStr">
        <is>
          <t>dừng tại MX_HTP-03B</t>
        </is>
      </c>
      <c r="I86" s="4" t="inlineStr"/>
    </row>
    <row r="87">
      <c r="A87" s="4" t="inlineStr">
        <is>
          <t>NBE22</t>
        </is>
      </c>
      <c r="B87" s="4" t="inlineStr">
        <is>
          <t>ODF-02 (cs 1288)</t>
        </is>
      </c>
      <c r="C87" s="4" t="inlineStr">
        <is>
          <t>C17</t>
        </is>
      </c>
      <c r="D87" s="4" t="n">
        <v>11</v>
      </c>
      <c r="E87" s="4" t="n">
        <v>11</v>
      </c>
      <c r="F87" s="4" t="inlineStr">
        <is>
          <t>NBE12-01 (23,24) / Hướng NB</t>
        </is>
      </c>
      <c r="G87" s="4" t="inlineStr"/>
      <c r="H87" s="12" t="inlineStr">
        <is>
          <t>dừng tại MX_HTP-03B</t>
        </is>
      </c>
      <c r="I87" s="4" t="inlineStr"/>
    </row>
    <row r="88">
      <c r="A88" s="4" t="inlineStr">
        <is>
          <t>NBE22</t>
        </is>
      </c>
      <c r="B88" s="4" t="inlineStr">
        <is>
          <t>ODF-02 (cs 1288)</t>
        </is>
      </c>
      <c r="C88" s="4" t="inlineStr">
        <is>
          <t>C17</t>
        </is>
      </c>
      <c r="D88" s="4" t="n">
        <v>12</v>
      </c>
      <c r="E88" s="4" t="n">
        <v>12</v>
      </c>
      <c r="F88" s="4" t="inlineStr">
        <is>
          <t>NBE12-01 (23,24) / Hướng NB</t>
        </is>
      </c>
      <c r="G88" s="4" t="inlineStr"/>
      <c r="H88" s="12" t="inlineStr">
        <is>
          <t>dừng tại MX_HTP-03B</t>
        </is>
      </c>
      <c r="I88" s="4" t="inlineStr"/>
    </row>
    <row r="89">
      <c r="A89" s="4" t="inlineStr">
        <is>
          <t>NBE22</t>
        </is>
      </c>
      <c r="B89" s="4" t="inlineStr">
        <is>
          <t>ODF-02 (cs 1288)</t>
        </is>
      </c>
      <c r="C89" s="4" t="inlineStr">
        <is>
          <t>C17</t>
        </is>
      </c>
      <c r="D89" s="4" t="n">
        <v>13</v>
      </c>
      <c r="E89" s="4" t="n">
        <v>13</v>
      </c>
      <c r="F89" s="4" t="inlineStr">
        <is>
          <t>MX_HTP-03B</t>
        </is>
      </c>
      <c r="G89" s="4" t="inlineStr">
        <is>
          <t>Dùng cho DWDM Vinanet</t>
        </is>
      </c>
      <c r="H89" s="12" t="inlineStr">
        <is>
          <t>dừng tại MX_HTP-03B</t>
        </is>
      </c>
      <c r="I89" s="4" t="inlineStr"/>
    </row>
    <row r="90">
      <c r="A90" s="4" t="inlineStr">
        <is>
          <t>NBE22</t>
        </is>
      </c>
      <c r="B90" s="4" t="inlineStr">
        <is>
          <t>ODF-02 (cs 1288)</t>
        </is>
      </c>
      <c r="C90" s="4" t="inlineStr">
        <is>
          <t>C17</t>
        </is>
      </c>
      <c r="D90" s="4" t="n">
        <v>14</v>
      </c>
      <c r="E90" s="4" t="n">
        <v>14</v>
      </c>
      <c r="F90" s="4" t="inlineStr">
        <is>
          <t>MX_HTP-03B</t>
        </is>
      </c>
      <c r="G90" s="4" t="inlineStr">
        <is>
          <t>Dùng cho DWDM Vinanet</t>
        </is>
      </c>
      <c r="H90" s="12" t="inlineStr">
        <is>
          <t>dừng tại MX_HTP-03B</t>
        </is>
      </c>
      <c r="I90" s="4" t="inlineStr"/>
    </row>
    <row r="91">
      <c r="A91" s="4" t="inlineStr">
        <is>
          <t>NBE22</t>
        </is>
      </c>
      <c r="B91" s="4" t="inlineStr">
        <is>
          <t>ODF-02 (cs 1288)</t>
        </is>
      </c>
      <c r="C91" s="4" t="inlineStr">
        <is>
          <t>C17</t>
        </is>
      </c>
      <c r="D91" s="4" t="n">
        <v>15</v>
      </c>
      <c r="E91" s="4" t="n">
        <v>15</v>
      </c>
      <c r="F91" s="4" t="inlineStr">
        <is>
          <t>MX_HTP-03B</t>
        </is>
      </c>
      <c r="G91" s="4" t="inlineStr">
        <is>
          <t>Dùng cho DWDM Vinanet</t>
        </is>
      </c>
      <c r="H91" s="12" t="inlineStr">
        <is>
          <t>dừng tại MX_HTP-03B</t>
        </is>
      </c>
      <c r="I91" s="4" t="inlineStr"/>
    </row>
    <row r="92">
      <c r="A92" s="4" t="inlineStr">
        <is>
          <t>NBE22</t>
        </is>
      </c>
      <c r="B92" s="4" t="inlineStr">
        <is>
          <t>ODF-02 (cs 1288)</t>
        </is>
      </c>
      <c r="C92" s="4" t="inlineStr">
        <is>
          <t>C17</t>
        </is>
      </c>
      <c r="D92" s="4" t="n">
        <v>16</v>
      </c>
      <c r="E92" s="4" t="n">
        <v>16</v>
      </c>
      <c r="F92" s="4" t="inlineStr">
        <is>
          <t>MX_HTP-03B</t>
        </is>
      </c>
      <c r="G92" s="4" t="inlineStr">
        <is>
          <t>Dùng cho DWDM Vinanet</t>
        </is>
      </c>
      <c r="H92" s="12" t="inlineStr">
        <is>
          <t>dừng tại MX_HTP-03B</t>
        </is>
      </c>
      <c r="I92" s="4" t="inlineStr"/>
    </row>
    <row r="93">
      <c r="A93" s="4" t="inlineStr">
        <is>
          <t>NBE22</t>
        </is>
      </c>
      <c r="B93" s="4" t="inlineStr">
        <is>
          <t>ODF-02 (cs 1288)</t>
        </is>
      </c>
      <c r="C93" s="4" t="inlineStr">
        <is>
          <t>C17</t>
        </is>
      </c>
      <c r="D93" s="4" t="n">
        <v>17</v>
      </c>
      <c r="E93" s="4" t="n">
        <v>17</v>
      </c>
      <c r="F93" s="4" t="inlineStr">
        <is>
          <t>MX_HTP-03B</t>
        </is>
      </c>
      <c r="G93" s="4" t="inlineStr">
        <is>
          <t>Dùng cho DWDM Vinanet</t>
        </is>
      </c>
      <c r="H93" s="12" t="inlineStr">
        <is>
          <t>dừng tại MX_HTP-03B</t>
        </is>
      </c>
      <c r="I93" s="4" t="inlineStr"/>
    </row>
    <row r="94">
      <c r="A94" s="4" t="inlineStr">
        <is>
          <t>NBE22</t>
        </is>
      </c>
      <c r="B94" s="4" t="inlineStr">
        <is>
          <t>ODF-02 (cs 1288)</t>
        </is>
      </c>
      <c r="C94" s="4" t="inlineStr">
        <is>
          <t>C17</t>
        </is>
      </c>
      <c r="D94" s="4" t="n">
        <v>18</v>
      </c>
      <c r="E94" s="4" t="n">
        <v>18</v>
      </c>
      <c r="F94" s="4" t="inlineStr">
        <is>
          <t>MX_HTP-03B</t>
        </is>
      </c>
      <c r="G94" s="4" t="inlineStr">
        <is>
          <t>Dùng cho DWDM Vinanet</t>
        </is>
      </c>
      <c r="H94" s="12" t="inlineStr">
        <is>
          <t>dừng tại MX_HTP-03B</t>
        </is>
      </c>
      <c r="I94" s="4" t="inlineStr"/>
    </row>
    <row r="95">
      <c r="A95" s="4" t="inlineStr">
        <is>
          <t>NBE22</t>
        </is>
      </c>
      <c r="B95" s="4" t="inlineStr">
        <is>
          <t>ODF-02 (cs 1288)</t>
        </is>
      </c>
      <c r="C95" s="4" t="inlineStr">
        <is>
          <t>C17</t>
        </is>
      </c>
      <c r="D95" s="4" t="n">
        <v>19</v>
      </c>
      <c r="E95" s="4" t="n">
        <v>19</v>
      </c>
      <c r="F95" s="4" t="inlineStr">
        <is>
          <t>MX_HTP-03B</t>
        </is>
      </c>
      <c r="G95" s="4" t="inlineStr"/>
      <c r="H95" s="12" t="inlineStr">
        <is>
          <t>dừng tại MX_HTP-03B</t>
        </is>
      </c>
      <c r="I95" s="4" t="inlineStr"/>
    </row>
    <row r="96">
      <c r="A96" s="4" t="inlineStr">
        <is>
          <t>NBE22</t>
        </is>
      </c>
      <c r="B96" s="4" t="inlineStr">
        <is>
          <t>ODF-02 (cs 1288)</t>
        </is>
      </c>
      <c r="C96" s="4" t="inlineStr">
        <is>
          <t>C17</t>
        </is>
      </c>
      <c r="D96" s="4" t="n">
        <v>20</v>
      </c>
      <c r="E96" s="4" t="n">
        <v>20</v>
      </c>
      <c r="F96" s="4" t="inlineStr">
        <is>
          <t>MX_HTP-03B</t>
        </is>
      </c>
      <c r="G96" s="4" t="inlineStr"/>
      <c r="H96" s="12" t="inlineStr">
        <is>
          <t>dừng tại MX_HTP-03B</t>
        </is>
      </c>
      <c r="I96" s="4" t="inlineStr"/>
    </row>
    <row r="97">
      <c r="A97" s="4" t="inlineStr">
        <is>
          <t>NBE22</t>
        </is>
      </c>
      <c r="B97" s="4" t="inlineStr">
        <is>
          <t>ODF-02 (cs 1288)</t>
        </is>
      </c>
      <c r="C97" s="4" t="inlineStr">
        <is>
          <t>C17</t>
        </is>
      </c>
      <c r="D97" s="4" t="n">
        <v>21</v>
      </c>
      <c r="E97" s="4" t="n">
        <v>21</v>
      </c>
      <c r="F97" s="4" t="inlineStr">
        <is>
          <t>MX_HTP-03B</t>
        </is>
      </c>
      <c r="G97" s="4" t="inlineStr"/>
      <c r="H97" s="12" t="inlineStr">
        <is>
          <t>dừng tại MX_HTP-03B</t>
        </is>
      </c>
      <c r="I97" s="4" t="inlineStr"/>
    </row>
    <row r="98">
      <c r="A98" s="4" t="inlineStr">
        <is>
          <t>NBE22</t>
        </is>
      </c>
      <c r="B98" s="4" t="inlineStr">
        <is>
          <t>ODF-02 (cs 1288)</t>
        </is>
      </c>
      <c r="C98" s="4" t="inlineStr">
        <is>
          <t>C17</t>
        </is>
      </c>
      <c r="D98" s="4" t="n">
        <v>22</v>
      </c>
      <c r="E98" s="4" t="n">
        <v>22</v>
      </c>
      <c r="F98" s="4" t="inlineStr">
        <is>
          <t>MX_HTP-03B</t>
        </is>
      </c>
      <c r="G98" s="4" t="inlineStr"/>
      <c r="H98" s="12" t="inlineStr">
        <is>
          <t>dừng tại MX_HTP-03B</t>
        </is>
      </c>
      <c r="I98" s="4" t="inlineStr"/>
    </row>
    <row r="99">
      <c r="A99" s="4" t="inlineStr">
        <is>
          <t>NBE22</t>
        </is>
      </c>
      <c r="B99" s="4" t="inlineStr">
        <is>
          <t>ODF-02 (cs 1288)</t>
        </is>
      </c>
      <c r="C99" s="4" t="inlineStr">
        <is>
          <t>C17</t>
        </is>
      </c>
      <c r="D99" s="4" t="n">
        <v>23</v>
      </c>
      <c r="E99" s="4" t="n">
        <v>23</v>
      </c>
      <c r="F99" s="4" t="inlineStr">
        <is>
          <t>MX_HTP-03B</t>
        </is>
      </c>
      <c r="G99" s="4" t="inlineStr">
        <is>
          <t>TTC gói Long An, dùng nhập trạm</t>
        </is>
      </c>
      <c r="H99" s="12" t="inlineStr">
        <is>
          <t>dừng tại MX_HTP-03B</t>
        </is>
      </c>
      <c r="I99" s="4" t="inlineStr"/>
    </row>
    <row r="100">
      <c r="A100" s="4" t="inlineStr">
        <is>
          <t>NBE22</t>
        </is>
      </c>
      <c r="B100" s="4" t="inlineStr">
        <is>
          <t>ODF-02 (cs 1288)</t>
        </is>
      </c>
      <c r="C100" s="4" t="inlineStr">
        <is>
          <t>C17</t>
        </is>
      </c>
      <c r="D100" s="4" t="n">
        <v>24</v>
      </c>
      <c r="E100" s="4" t="n">
        <v>24</v>
      </c>
      <c r="F100" s="4" t="inlineStr">
        <is>
          <t>MX_HTP-03B</t>
        </is>
      </c>
      <c r="G100" s="4" t="inlineStr">
        <is>
          <t>TTC gói Long An, dùng nhập trạm</t>
        </is>
      </c>
      <c r="H100" s="12" t="inlineStr">
        <is>
          <t>dừng tại MX_HTP-03B</t>
        </is>
      </c>
      <c r="I100" s="4" t="inlineStr"/>
    </row>
  </sheetData>
  <autoFilter ref="A4:I10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5"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6"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7"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6" t="inlineStr">
        <is>
          <t>MẤT KẾT NỐI: HNB006</t>
        </is>
      </c>
      <c r="P9" s="8" t="inlineStr">
        <is>
          <t>—</t>
        </is>
      </c>
    </row>
    <row r="10">
      <c r="A10" s="8" t="inlineStr">
        <is>
          <t>C06</t>
        </is>
      </c>
      <c r="B10" s="17"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5"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7"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7"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7"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7"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7"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7"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5"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7"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6"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7"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7"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7"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6"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6"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7"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8" t="inlineStr">
        <is>
          <t>Mã nội bộ</t>
        </is>
      </c>
      <c r="B4" s="19" t="inlineStr">
        <is>
          <t>C04</t>
        </is>
      </c>
    </row>
    <row r="6">
      <c r="A6" s="20" t="inlineStr">
        <is>
          <t>Dùng khác (ODF AGG)</t>
        </is>
      </c>
      <c r="B6" s="8">
        <f>INDEX('Hồ sơ cáp'!P$5:P$80,MATCH($B$4,'Hồ sơ cáp'!$A$5:$A$80,0))&amp;""</f>
        <v/>
      </c>
    </row>
    <row r="7">
      <c r="A7" s="20" t="inlineStr">
        <is>
          <t>Mã cáp (sổ)</t>
        </is>
      </c>
      <c r="B7" s="8">
        <f>INDEX('Hồ sơ cáp'!B$5:B$80,MATCH($B$4,'Hồ sơ cáp'!$A$5:$A$80,0))&amp;""</f>
        <v/>
      </c>
    </row>
    <row r="8">
      <c r="A8" s="20" t="inlineStr">
        <is>
          <t>Số FO</t>
        </is>
      </c>
      <c r="B8" s="8">
        <f>INDEX('Hồ sơ cáp'!C$5:C$80,MATCH($B$4,'Hồ sơ cáp'!$A$5:$A$80,0))&amp;""</f>
        <v/>
      </c>
    </row>
    <row r="9">
      <c r="A9" s="20" t="inlineStr">
        <is>
          <t>Từ</t>
        </is>
      </c>
      <c r="B9" s="8">
        <f>INDEX('Hồ sơ cáp'!D$5:D$80,MATCH($B$4,'Hồ sơ cáp'!$A$5:$A$80,0))&amp;""</f>
        <v/>
      </c>
    </row>
    <row r="10">
      <c r="A10" s="20" t="inlineStr">
        <is>
          <t>Đến</t>
        </is>
      </c>
      <c r="B10" s="8">
        <f>INDEX('Hồ sơ cáp'!E$5:E$80,MATCH($B$4,'Hồ sơ cáp'!$A$5:$A$80,0))&amp;""</f>
        <v/>
      </c>
    </row>
    <row r="11">
      <c r="A11" s="20" t="inlineStr">
        <is>
          <t>Dài (m)</t>
        </is>
      </c>
      <c r="B11" s="8">
        <f>INDEX('Hồ sơ cáp'!F$5:F$80,MATCH($B$4,'Hồ sơ cáp'!$A$5:$A$80,0))&amp;""</f>
        <v/>
      </c>
    </row>
    <row r="12">
      <c r="A12" s="20" t="inlineStr">
        <is>
          <t>Chỉ số mét đầu</t>
        </is>
      </c>
      <c r="B12" s="8">
        <f>INDEX('Hồ sơ cáp'!G$5:G$80,MATCH($B$4,'Hồ sơ cáp'!$A$5:$A$80,0))&amp;""</f>
        <v/>
      </c>
    </row>
    <row r="13">
      <c r="A13" s="20" t="inlineStr">
        <is>
          <t>Chỉ số mét cuối</t>
        </is>
      </c>
      <c r="B13" s="8">
        <f>INDEX('Hồ sơ cáp'!H$5:H$80,MATCH($B$4,'Hồ sơ cáp'!$A$5:$A$80,0))&amp;""</f>
        <v/>
      </c>
    </row>
    <row r="14">
      <c r="A14" s="20" t="inlineStr">
        <is>
          <t>Dòng sổ cáp</t>
        </is>
      </c>
      <c r="B14" s="8">
        <f>INDEX('Hồ sơ cáp'!I$5:I$80,MATCH($B$4,'Hồ sơ cáp'!$A$5:$A$80,0))&amp;""</f>
        <v/>
      </c>
    </row>
    <row r="15">
      <c r="A15" s="20" t="inlineStr">
        <is>
          <t>Core đang chạy (link)</t>
        </is>
      </c>
      <c r="B15" s="8">
        <f>INDEX('Hồ sơ cáp'!J$5:J$80,MATCH($B$4,'Hồ sơ cáp'!$A$5:$A$80,0))&amp;""</f>
        <v/>
      </c>
    </row>
    <row r="16">
      <c r="A16" s="20" t="inlineStr">
        <is>
          <t>Core hư</t>
        </is>
      </c>
      <c r="B16" s="8">
        <f>INDEX('Hồ sơ cáp'!K$5:K$80,MATCH($B$4,'Hồ sơ cáp'!$A$5:$A$80,0))&amp;""</f>
        <v/>
      </c>
    </row>
    <row r="17">
      <c r="A17" s="20" t="inlineStr">
        <is>
          <t>Core có nhãn, chưa gán</t>
        </is>
      </c>
      <c r="B17" s="8">
        <f>INDEX('Hồ sơ cáp'!L$5:L$80,MATCH($B$4,'Hồ sơ cáp'!$A$5:$A$80,0))&amp;""</f>
        <v/>
      </c>
    </row>
    <row r="18">
      <c r="A18" s="20" t="inlineStr">
        <is>
          <t>Trạm ghi trong nhãn</t>
        </is>
      </c>
      <c r="B18" s="8">
        <f>INDEX('Hồ sơ cáp'!M$5:M$80,MATCH($B$4,'Hồ sơ cáp'!$A$5:$A$80,0))&amp;""</f>
        <v/>
      </c>
    </row>
    <row r="19">
      <c r="A19" s="20" t="inlineStr">
        <is>
          <t>Core trống</t>
        </is>
      </c>
      <c r="B19" s="8">
        <f>INDEX('Hồ sơ cáp'!N$5:N$80,MATCH($B$4,'Hồ sơ cáp'!$A$5:$A$80,0))&amp;""</f>
        <v/>
      </c>
    </row>
    <row r="20">
      <c r="A20" s="20"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3" t="n">
        <v>5</v>
      </c>
      <c r="G5" s="4" t="inlineStr">
        <is>
          <t>R1+R2+R3+R4+R5</t>
        </is>
      </c>
      <c r="H5" s="4" t="n">
        <v>10</v>
      </c>
      <c r="I5" s="21">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3" t="n">
        <v>5</v>
      </c>
      <c r="G6" s="4" t="inlineStr">
        <is>
          <t>R3+R4+R5+R7+R8</t>
        </is>
      </c>
      <c r="H6" s="4" t="n">
        <v>10</v>
      </c>
      <c r="I6" s="21">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3" t="n">
        <v>5</v>
      </c>
      <c r="G7" s="4" t="inlineStr">
        <is>
          <t>R3+R4+R5+R7+R8</t>
        </is>
      </c>
      <c r="H7" s="4" t="n">
        <v>10</v>
      </c>
      <c r="I7" s="21">
        <f>H7/C7</f>
        <v/>
      </c>
      <c r="J7" s="11"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3" t="n">
        <v>4</v>
      </c>
      <c r="G8" s="4" t="inlineStr">
        <is>
          <t>R1+R2+R7+R8</t>
        </is>
      </c>
      <c r="H8" s="4" t="n">
        <v>8</v>
      </c>
      <c r="I8" s="21">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3" t="n">
        <v>4</v>
      </c>
      <c r="G9" s="4" t="inlineStr">
        <is>
          <t>R1+R2+R7+R8</t>
        </is>
      </c>
      <c r="H9" s="4" t="n">
        <v>8</v>
      </c>
      <c r="I9" s="21">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3" t="n">
        <v>4</v>
      </c>
      <c r="G10" s="4" t="inlineStr">
        <is>
          <t>R1+R2+R7+R8</t>
        </is>
      </c>
      <c r="H10" s="4" t="n">
        <v>8</v>
      </c>
      <c r="I10" s="21">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3" t="n">
        <v>4</v>
      </c>
      <c r="G11" s="4" t="inlineStr">
        <is>
          <t>R1+R2+R7+R8</t>
        </is>
      </c>
      <c r="H11" s="4" t="n">
        <v>8</v>
      </c>
      <c r="I11" s="21">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3" t="n">
        <v>4</v>
      </c>
      <c r="G12" s="4" t="inlineStr">
        <is>
          <t>R3+R4+R5+R6</t>
        </is>
      </c>
      <c r="H12" s="4" t="n">
        <v>8</v>
      </c>
      <c r="I12" s="21">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3" t="n">
        <v>4</v>
      </c>
      <c r="G13" s="4" t="inlineStr">
        <is>
          <t>R3+R4+R5+R7</t>
        </is>
      </c>
      <c r="H13" s="4" t="n">
        <v>8</v>
      </c>
      <c r="I13" s="21">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3" t="n">
        <v>4</v>
      </c>
      <c r="G14" s="4" t="inlineStr">
        <is>
          <t>R3+R4+R5+R8</t>
        </is>
      </c>
      <c r="H14" s="4" t="n">
        <v>8</v>
      </c>
      <c r="I14" s="21">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3" t="n">
        <v>3</v>
      </c>
      <c r="G15" s="4" t="inlineStr">
        <is>
          <t>R1+R2+R6</t>
        </is>
      </c>
      <c r="H15" s="4" t="n">
        <v>6</v>
      </c>
      <c r="I15" s="21">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3" t="n">
        <v>3</v>
      </c>
      <c r="G16" s="4" t="inlineStr">
        <is>
          <t>R1+R2+R6</t>
        </is>
      </c>
      <c r="H16" s="4" t="n">
        <v>6</v>
      </c>
      <c r="I16" s="21">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3" t="n">
        <v>3</v>
      </c>
      <c r="G17" s="4" t="inlineStr">
        <is>
          <t>R1+R2+R6</t>
        </is>
      </c>
      <c r="H17" s="4" t="n">
        <v>6</v>
      </c>
      <c r="I17" s="21">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3" t="n">
        <v>3</v>
      </c>
      <c r="G18" s="4" t="inlineStr">
        <is>
          <t>R1+R2+R6</t>
        </is>
      </c>
      <c r="H18" s="4" t="n">
        <v>6</v>
      </c>
      <c r="I18" s="21">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3" t="n">
        <v>3</v>
      </c>
      <c r="G19" s="4" t="inlineStr">
        <is>
          <t>R1+R2+R6</t>
        </is>
      </c>
      <c r="H19" s="4" t="n">
        <v>6</v>
      </c>
      <c r="I19" s="21">
        <f>H19/C19</f>
        <v/>
      </c>
      <c r="J19" s="11"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3" t="n">
        <v>3</v>
      </c>
      <c r="G20" s="4" t="inlineStr">
        <is>
          <t>R3+R7+R8</t>
        </is>
      </c>
      <c r="H20" s="4" t="n">
        <v>6</v>
      </c>
      <c r="I20" s="21">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3" t="n">
        <v>3</v>
      </c>
      <c r="G21" s="4" t="inlineStr">
        <is>
          <t>R3+R4+R5</t>
        </is>
      </c>
      <c r="H21" s="4" t="n">
        <v>6</v>
      </c>
      <c r="I21" s="21">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3" t="n">
        <v>3</v>
      </c>
      <c r="G22" s="4" t="inlineStr">
        <is>
          <t>R3+R4+R5</t>
        </is>
      </c>
      <c r="H22" s="4" t="n">
        <v>6</v>
      </c>
      <c r="I22" s="21">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3" t="n">
        <v>3</v>
      </c>
      <c r="G23" s="4" t="inlineStr">
        <is>
          <t>R3+R4+R5</t>
        </is>
      </c>
      <c r="H23" s="4" t="n">
        <v>6</v>
      </c>
      <c r="I23" s="21">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3" t="n">
        <v>3</v>
      </c>
      <c r="G24" s="4" t="inlineStr">
        <is>
          <t>R3+R4+R5</t>
        </is>
      </c>
      <c r="H24" s="4" t="n">
        <v>6</v>
      </c>
      <c r="I24" s="21">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3" t="n">
        <v>3</v>
      </c>
      <c r="G25" s="4" t="inlineStr">
        <is>
          <t>R3</t>
        </is>
      </c>
      <c r="H25" s="4" t="n">
        <v>6</v>
      </c>
      <c r="I25" s="21">
        <f>H25/C25</f>
        <v/>
      </c>
      <c r="J25" s="11"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21">
        <f>H26/C26</f>
        <v/>
      </c>
      <c r="J26" s="11"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21">
        <f>H27/C27</f>
        <v/>
      </c>
      <c r="J27" s="11"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21">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21">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21">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21">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21">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21">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21">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21">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21">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21">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21">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21">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21">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21">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21">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21">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21">
        <f>H44/C44</f>
        <v/>
      </c>
      <c r="J44" s="14"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21">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21">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21">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21">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21">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21">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21">
        <f>H51/C51</f>
        <v/>
      </c>
      <c r="J51" s="14"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21">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21">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21">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21">
        <f>H55/C55</f>
        <v/>
      </c>
      <c r="J55" s="14"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21">
        <f>H56/C56</f>
        <v/>
      </c>
      <c r="J56" s="14"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21">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21">
        <f>H58/C58</f>
        <v/>
      </c>
      <c r="J58" s="14"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21">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21">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21">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21">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21">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21">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21">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21">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21">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21">
        <f>H68/C68</f>
        <v/>
      </c>
      <c r="J68" s="14"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21">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21">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21">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21">
        <f>H72/C72</f>
        <v/>
      </c>
      <c r="J72" s="14"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21">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21">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21">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21">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21">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21">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21">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21">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2">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2">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2">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2">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2">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2">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2">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2">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10387</v>
      </c>
      <c r="F13" s="4">
        <f>D13-E13</f>
        <v/>
      </c>
      <c r="G13" s="22">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2">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2218</v>
      </c>
      <c r="F15" s="4">
        <f>D15-E15</f>
        <v/>
      </c>
      <c r="G15" s="22">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7650</v>
      </c>
      <c r="F16" s="4">
        <f>D16-E16</f>
        <v/>
      </c>
      <c r="G16" s="22">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1427</v>
      </c>
      <c r="F17" s="4">
        <f>D17-E17</f>
        <v/>
      </c>
      <c r="G17" s="22">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9630</v>
      </c>
      <c r="F18" s="4">
        <f>D18-E18</f>
        <v/>
      </c>
      <c r="G18" s="22">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860</v>
      </c>
      <c r="F19" s="4">
        <f>D19-E19</f>
        <v/>
      </c>
      <c r="G19" s="22">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2">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2">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9559</v>
      </c>
      <c r="F22" s="4">
        <f>D22-E22</f>
        <v/>
      </c>
      <c r="G22" s="22">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8454</v>
      </c>
      <c r="F23" s="4">
        <f>D23-E23</f>
        <v/>
      </c>
      <c r="G23" s="22">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5553</v>
      </c>
      <c r="F24" s="4">
        <f>D24-E24</f>
        <v/>
      </c>
      <c r="G24" s="22">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2">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11423</v>
      </c>
      <c r="F26" s="4">
        <f>D26-E26</f>
        <v/>
      </c>
      <c r="G26" s="22">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2">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2">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2">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2">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2">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2">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11101</v>
      </c>
      <c r="F33" s="4">
        <f>D33-E33</f>
        <v/>
      </c>
      <c r="G33" s="22">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2">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1035</v>
      </c>
      <c r="F35" s="4">
        <f>D35-E35</f>
        <v/>
      </c>
      <c r="G35" s="22">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977</v>
      </c>
      <c r="F36" s="4">
        <f>D36-E36</f>
        <v/>
      </c>
      <c r="G36" s="22">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2">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2">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501</v>
      </c>
      <c r="F39" s="4">
        <f>D39-E39</f>
        <v/>
      </c>
      <c r="G39" s="22">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618</v>
      </c>
      <c r="F40" s="4">
        <f>D40-E40</f>
        <v/>
      </c>
      <c r="G40" s="22">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2645</v>
      </c>
      <c r="F41" s="4">
        <f>D41-E41</f>
        <v/>
      </c>
      <c r="G41" s="22">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20"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20" t="inlineStr">
        <is>
          <t>cáp</t>
        </is>
      </c>
      <c r="D47" s="4" t="inlineStr">
        <is>
          <t>ADSS 9/2009</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3" t="inlineStr">
        <is>
          <t>măng xông</t>
        </is>
      </c>
      <c r="D48" s="4" t="inlineStr">
        <is>
          <t>MX nhập đài Long Thới–NVT</t>
        </is>
      </c>
      <c r="E48" s="4" t="inlineStr"/>
      <c r="F48" s="4" t="inlineStr">
        <is>
          <t>3+4 ↔ 3+4</t>
        </is>
      </c>
      <c r="G48" s="4" t="n"/>
      <c r="H48" s="4" t="n"/>
      <c r="I48" s="13" t="inlineStr">
        <is>
          <t>chưa có nhãn — sơ đồ MX chưa ghi nhãn cho các core này</t>
        </is>
      </c>
      <c r="J48" s="4" t="inlineStr"/>
    </row>
    <row r="49">
      <c r="A49" s="4" t="inlineStr">
        <is>
          <t>R1-01</t>
        </is>
      </c>
      <c r="B49" s="4" t="n">
        <v>4</v>
      </c>
      <c r="C49" s="20" t="inlineStr">
        <is>
          <t>cáp</t>
        </is>
      </c>
      <c r="D49" s="4" t="inlineStr">
        <is>
          <t>SACOM 8/2014</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3" t="inlineStr">
        <is>
          <t>măng xông</t>
        </is>
      </c>
      <c r="D50" s="4" t="inlineStr">
        <is>
          <t>MX_NVT_01</t>
        </is>
      </c>
      <c r="E50" s="4" t="inlineStr"/>
      <c r="F50" s="4" t="inlineStr">
        <is>
          <t>3+4 ↔ 3+4</t>
        </is>
      </c>
      <c r="G50" s="4" t="n"/>
      <c r="H50" s="4" t="n"/>
      <c r="I50" s="13" t="inlineStr">
        <is>
          <t>chưa có nhãn — sơ đồ MX chưa ghi nhãn cho các core này</t>
        </is>
      </c>
      <c r="J50" s="4" t="inlineStr">
        <is>
          <t>đi thẳng trục, không rẽ vào HNB054</t>
        </is>
      </c>
    </row>
    <row r="51">
      <c r="A51" s="4" t="inlineStr">
        <is>
          <t>R1-01</t>
        </is>
      </c>
      <c r="B51" s="4" t="n">
        <v>6</v>
      </c>
      <c r="C51" s="20" t="inlineStr">
        <is>
          <t>cáp</t>
        </is>
      </c>
      <c r="D51" s="4" t="inlineStr">
        <is>
          <t>FOCAL 9/2020 trục (gồm 175 m ngầm)</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3" t="inlineStr">
        <is>
          <t>măng xông</t>
        </is>
      </c>
      <c r="D52" s="4" t="inlineStr">
        <is>
          <t>MX_NVT_02A</t>
        </is>
      </c>
      <c r="E52" s="4" t="inlineStr"/>
      <c r="F52" s="4" t="inlineStr">
        <is>
          <t>3+4 ↔ 3+4</t>
        </is>
      </c>
      <c r="G52" s="4" t="n"/>
      <c r="H52" s="4" t="n"/>
      <c r="I52" s="11" t="inlineStr">
        <is>
          <t>khớp sơ đồ — nhãn B</t>
        </is>
      </c>
      <c r="J52" s="4" t="inlineStr">
        <is>
          <t>nhãn B (sơ đồ) đi thẳng về NVT_03A</t>
        </is>
      </c>
    </row>
    <row r="53">
      <c r="A53" s="4" t="inlineStr">
        <is>
          <t>R1-01</t>
        </is>
      </c>
      <c r="B53" s="4" t="n">
        <v>8</v>
      </c>
      <c r="C53" s="20" t="inlineStr">
        <is>
          <t>cáp</t>
        </is>
      </c>
      <c r="D53" s="4" t="inlineStr">
        <is>
          <t>12FO NVT_02A → NVT_03A</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3" t="inlineStr">
        <is>
          <t>măng xông</t>
        </is>
      </c>
      <c r="D54" s="4" t="inlineStr">
        <is>
          <t>MX_NVT_03A</t>
        </is>
      </c>
      <c r="E54" s="4" t="inlineStr"/>
      <c r="F54" s="4" t="inlineStr">
        <is>
          <t>3+4 ↔ 1+2</t>
        </is>
      </c>
      <c r="G54" s="4" t="n"/>
      <c r="H54" s="4" t="n"/>
      <c r="I54" s="13" t="inlineStr">
        <is>
          <t>chưa có nhãn — sơ đồ MX chưa ghi nhãn cho các core này</t>
        </is>
      </c>
      <c r="J54" s="4" t="inlineStr">
        <is>
          <t>rẽ vào 6FO đi HNB059 (quy ước 6FO riêng dùng 1,2)</t>
        </is>
      </c>
    </row>
    <row r="55">
      <c r="A55" s="4" t="inlineStr">
        <is>
          <t>R1-01</t>
        </is>
      </c>
      <c r="B55" s="4" t="n">
        <v>10</v>
      </c>
      <c r="C55" s="20" t="inlineStr">
        <is>
          <t>cáp</t>
        </is>
      </c>
      <c r="D55" s="4" t="inlineStr">
        <is>
          <t>FOCAL 2020 vào HNB059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20"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20"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20" t="inlineStr">
        <is>
          <t>cáp</t>
        </is>
      </c>
      <c r="D58" s="4" t="inlineStr">
        <is>
          <t>FOCAL 2020 HNB059 → HNB060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20"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20"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20" t="inlineStr">
        <is>
          <t>cáp</t>
        </is>
      </c>
      <c r="D61" s="4" t="inlineStr">
        <is>
          <t>FOCAL 2020 HNB060 → HNB048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20"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20"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20" t="inlineStr">
        <is>
          <t>cáp</t>
        </is>
      </c>
      <c r="D64" s="4" t="inlineStr">
        <is>
          <t>FOCAL 2020 HNB048 → MX_NVT_03B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3" t="inlineStr">
        <is>
          <t>măng xông</t>
        </is>
      </c>
      <c r="D65" s="4" t="inlineStr">
        <is>
          <t>MX_NVT_03B</t>
        </is>
      </c>
      <c r="E65" s="4" t="inlineStr"/>
      <c r="F65" s="4" t="inlineStr">
        <is>
          <t>1+2 ↔ 3+4</t>
        </is>
      </c>
      <c r="G65" s="4" t="n"/>
      <c r="H65" s="4" t="n"/>
      <c r="I65" s="13" t="inlineStr">
        <is>
          <t>chưa có nhãn — sơ đồ MX chưa ghi nhãn cho các core này</t>
        </is>
      </c>
      <c r="J65" s="4" t="inlineStr">
        <is>
          <t>6FO 1,2 hàn vào trục 12FO core 3,4 (đoạn dùng chung)</t>
        </is>
      </c>
    </row>
    <row r="66">
      <c r="A66" s="4" t="inlineStr">
        <is>
          <t>R1-04</t>
        </is>
      </c>
      <c r="B66" s="4" t="n">
        <v>4</v>
      </c>
      <c r="C66" s="20" t="inlineStr">
        <is>
          <t>cáp</t>
        </is>
      </c>
      <c r="D66" s="4" t="inlineStr">
        <is>
          <t>12FO NVT_03B → NVT_02B</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3" t="inlineStr">
        <is>
          <t>măng xông</t>
        </is>
      </c>
      <c r="D67" s="4" t="inlineStr">
        <is>
          <t>MX_NVT_02B</t>
        </is>
      </c>
      <c r="E67" s="4" t="inlineStr"/>
      <c r="F67" s="4" t="inlineStr">
        <is>
          <t>3+4 ↔ 3+4</t>
        </is>
      </c>
      <c r="G67" s="4" t="n"/>
      <c r="H67" s="4" t="n"/>
      <c r="I67" s="11" t="inlineStr">
        <is>
          <t>khớp sơ đồ — nhãn B</t>
        </is>
      </c>
      <c r="J67" s="4" t="inlineStr">
        <is>
          <t>nhãn B (sơ đồ)</t>
        </is>
      </c>
    </row>
    <row r="68">
      <c r="A68" s="4" t="inlineStr">
        <is>
          <t>R1-04</t>
        </is>
      </c>
      <c r="B68" s="4" t="n">
        <v>6</v>
      </c>
      <c r="C68" s="20" t="inlineStr">
        <is>
          <t>cáp</t>
        </is>
      </c>
      <c r="D68" s="4" t="inlineStr">
        <is>
          <t>TPKL 12FO trục NVT_02B → LVL-05 (qua MX thẳng nối dài)</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3" t="inlineStr">
        <is>
          <t>măng xông</t>
        </is>
      </c>
      <c r="D69" s="4" t="inlineStr">
        <is>
          <t>MX_LVL-05</t>
        </is>
      </c>
      <c r="E69" s="4" t="inlineStr"/>
      <c r="F69" s="4" t="inlineStr">
        <is>
          <t>3+4 ↔ 21+22</t>
        </is>
      </c>
      <c r="G69" s="4" t="n"/>
      <c r="H69" s="4" t="n"/>
      <c r="I69" s="11" t="inlineStr">
        <is>
          <t>khớp sơ đồ — nhãn D</t>
        </is>
      </c>
      <c r="J69" s="4" t="inlineStr">
        <is>
          <t>nhãn D, trạm HNB048 (sơ đồ)</t>
        </is>
      </c>
    </row>
    <row r="70">
      <c r="A70" s="4" t="inlineStr">
        <is>
          <t>R1-04</t>
        </is>
      </c>
      <c r="B70" s="4" t="n">
        <v>8</v>
      </c>
      <c r="C70" s="20" t="inlineStr">
        <is>
          <t>cáp</t>
        </is>
      </c>
      <c r="D70" s="4" t="inlineStr">
        <is>
          <t>TPKL POSTEF 11/2016</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3" t="inlineStr">
        <is>
          <t>măng xông</t>
        </is>
      </c>
      <c r="D71" s="4" t="inlineStr">
        <is>
          <t>MX_NB-01</t>
        </is>
      </c>
      <c r="E71" s="4" t="inlineStr"/>
      <c r="F71" s="4" t="inlineStr">
        <is>
          <t>21+22 ↔ 3+4</t>
        </is>
      </c>
      <c r="G71" s="4" t="n"/>
      <c r="H71" s="4" t="n"/>
      <c r="I71" s="11" t="inlineStr">
        <is>
          <t>khớp sơ đồ — nhãn B</t>
        </is>
      </c>
      <c r="J71" s="4" t="inlineStr"/>
    </row>
    <row r="72">
      <c r="A72" s="4" t="inlineStr">
        <is>
          <t>R1-04</t>
        </is>
      </c>
      <c r="B72" s="4" t="n">
        <v>10</v>
      </c>
      <c r="C72" s="20" t="inlineStr">
        <is>
          <t>cáp</t>
        </is>
      </c>
      <c r="D72" s="4" t="inlineStr">
        <is>
          <t>12FO NB-01 → NB-02</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3" t="inlineStr">
        <is>
          <t>măng xông</t>
        </is>
      </c>
      <c r="D73" s="4" t="inlineStr">
        <is>
          <t>MX_NB-02</t>
        </is>
      </c>
      <c r="E73" s="4" t="inlineStr"/>
      <c r="F73" s="4" t="inlineStr">
        <is>
          <t>3+4 ↔ 3+4</t>
        </is>
      </c>
      <c r="G73" s="4" t="n"/>
      <c r="H73" s="4" t="n"/>
      <c r="I73" s="13" t="inlineStr">
        <is>
          <t>chưa có nhãn — sơ đồ MX chưa ghi nhãn cho các core này</t>
        </is>
      </c>
      <c r="J73" s="4" t="inlineStr"/>
    </row>
    <row r="74">
      <c r="A74" s="4" t="inlineStr">
        <is>
          <t>R1-04</t>
        </is>
      </c>
      <c r="B74" s="4" t="n">
        <v>12</v>
      </c>
      <c r="C74" s="20" t="inlineStr">
        <is>
          <t>cáp</t>
        </is>
      </c>
      <c r="D74" s="4" t="inlineStr">
        <is>
          <t>12FO NB-02 → NB-03</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3" t="inlineStr">
        <is>
          <t>măng xông</t>
        </is>
      </c>
      <c r="D75" s="4" t="inlineStr">
        <is>
          <t>MX_NB-03</t>
        </is>
      </c>
      <c r="E75" s="4" t="inlineStr"/>
      <c r="F75" s="4" t="inlineStr">
        <is>
          <t>3+4 ↔ 3+4</t>
        </is>
      </c>
      <c r="G75" s="4" t="n"/>
      <c r="H75" s="4" t="n"/>
      <c r="I75" s="13" t="inlineStr">
        <is>
          <t>chưa có nhãn — sơ đồ MX chưa ghi nhãn cho các core này</t>
        </is>
      </c>
      <c r="J75" s="4" t="inlineStr"/>
    </row>
    <row r="76">
      <c r="A76" s="4" t="inlineStr">
        <is>
          <t>R1-04</t>
        </is>
      </c>
      <c r="B76" s="4" t="n">
        <v>14</v>
      </c>
      <c r="C76" s="20" t="inlineStr">
        <is>
          <t>cáp</t>
        </is>
      </c>
      <c r="D76" s="4" t="inlineStr">
        <is>
          <t>12FO NB-03 → NB-04</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3" t="inlineStr">
        <is>
          <t>măng xông</t>
        </is>
      </c>
      <c r="D77" s="4" t="inlineStr">
        <is>
          <t>MX_NB-04</t>
        </is>
      </c>
      <c r="E77" s="4" t="inlineStr"/>
      <c r="F77" s="4" t="inlineStr">
        <is>
          <t>3+4 ↔ 3+4</t>
        </is>
      </c>
      <c r="G77" s="4" t="n"/>
      <c r="H77" s="4" t="n"/>
      <c r="I77" s="13" t="inlineStr">
        <is>
          <t>chưa có nhãn — sơ đồ MX chưa ghi nhãn cho các core này</t>
        </is>
      </c>
      <c r="J77" s="4" t="inlineStr"/>
    </row>
    <row r="78">
      <c r="A78" s="4" t="inlineStr">
        <is>
          <t>R1-04</t>
        </is>
      </c>
      <c r="B78" s="4" t="n">
        <v>16</v>
      </c>
      <c r="C78" s="20" t="inlineStr">
        <is>
          <t>cáp</t>
        </is>
      </c>
      <c r="D78" s="4" t="inlineStr">
        <is>
          <t>12FO NB-04 → MX thẳng HTP</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3" t="inlineStr">
        <is>
          <t>măng xông</t>
        </is>
      </c>
      <c r="D79" s="4" t="inlineStr">
        <is>
          <t>MX thẳng HTP</t>
        </is>
      </c>
      <c r="E79" s="4" t="inlineStr"/>
      <c r="F79" s="4" t="inlineStr">
        <is>
          <t>3+4 ↔ 3+4</t>
        </is>
      </c>
      <c r="G79" s="4" t="n"/>
      <c r="H79" s="4" t="n"/>
      <c r="I79" s="13" t="inlineStr">
        <is>
          <t>chưa có nhãn — sơ đồ MX chưa ghi nhãn cho các core này</t>
        </is>
      </c>
      <c r="J79" s="4" t="inlineStr">
        <is>
          <t>MX thẳng nối dài</t>
        </is>
      </c>
    </row>
    <row r="80">
      <c r="A80" s="4" t="inlineStr">
        <is>
          <t>R1-04</t>
        </is>
      </c>
      <c r="B80" s="4" t="n">
        <v>18</v>
      </c>
      <c r="C80" s="20" t="inlineStr">
        <is>
          <t>cáp</t>
        </is>
      </c>
      <c r="D80" s="4" t="inlineStr">
        <is>
          <t>12FO MX thẳng HTP → HTP-03B</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3" t="inlineStr">
        <is>
          <t>măng xông</t>
        </is>
      </c>
      <c r="D81" s="4" t="inlineStr">
        <is>
          <t>MX_HTP-03B</t>
        </is>
      </c>
      <c r="E81" s="4" t="inlineStr"/>
      <c r="F81" s="4" t="inlineStr">
        <is>
          <t>3+4 ↔ 3+4</t>
        </is>
      </c>
      <c r="G81" s="4" t="n"/>
      <c r="H81" s="4" t="n"/>
      <c r="I81" s="13" t="inlineStr">
        <is>
          <t>chưa có nhãn — sơ đồ MX chưa ghi nhãn cho các core này</t>
        </is>
      </c>
      <c r="J81" s="4" t="inlineStr"/>
    </row>
    <row r="82">
      <c r="A82" s="4" t="inlineStr">
        <is>
          <t>R1-04</t>
        </is>
      </c>
      <c r="B82" s="4" t="n">
        <v>20</v>
      </c>
      <c r="C82" s="20" t="inlineStr">
        <is>
          <t>cáp</t>
        </is>
      </c>
      <c r="D82" s="4" t="inlineStr">
        <is>
          <t>POSTEF 24FO nhập đài (cs 1550→1288)</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20"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20"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20" t="inlineStr">
        <is>
          <t>cáp</t>
        </is>
      </c>
      <c r="D85" s="4" t="inlineStr">
        <is>
          <t>ADSS 9/2009</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3" t="inlineStr">
        <is>
          <t>măng xông</t>
        </is>
      </c>
      <c r="D86" s="4" t="inlineStr">
        <is>
          <t>MX nhập đài Long Thới–NVT</t>
        </is>
      </c>
      <c r="E86" s="4" t="inlineStr"/>
      <c r="F86" s="4" t="inlineStr">
        <is>
          <t>1+2 ↔ 1+2</t>
        </is>
      </c>
      <c r="G86" s="4" t="n"/>
      <c r="H86" s="4" t="n"/>
      <c r="I86" s="13" t="inlineStr">
        <is>
          <t>chưa có nhãn — sơ đồ MX chưa ghi nhãn cho các core này</t>
        </is>
      </c>
      <c r="J86" s="4" t="inlineStr">
        <is>
          <t>MX thẳng, chưa có sơ đồ nhãn</t>
        </is>
      </c>
    </row>
    <row r="87">
      <c r="A87" s="4" t="inlineStr">
        <is>
          <t>R2-01</t>
        </is>
      </c>
      <c r="B87" s="4" t="n">
        <v>4</v>
      </c>
      <c r="C87" s="20" t="inlineStr">
        <is>
          <t>cáp</t>
        </is>
      </c>
      <c r="D87" s="4" t="inlineStr">
        <is>
          <t>SACOM 8/2014</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3" t="inlineStr">
        <is>
          <t>măng xông</t>
        </is>
      </c>
      <c r="D88" s="4" t="inlineStr">
        <is>
          <t>MX_NVT_01</t>
        </is>
      </c>
      <c r="E88" s="4" t="inlineStr"/>
      <c r="F88" s="4" t="inlineStr">
        <is>
          <t>1+2 ↔ 1+2</t>
        </is>
      </c>
      <c r="G88" s="4" t="n"/>
      <c r="H88" s="4" t="n"/>
      <c r="I88" s="13" t="inlineStr">
        <is>
          <t>chưa có nhãn — sơ đồ MX chưa ghi nhãn cho các core này</t>
        </is>
      </c>
      <c r="J88" s="4" t="inlineStr"/>
    </row>
    <row r="89">
      <c r="A89" s="4" t="inlineStr">
        <is>
          <t>R2-01</t>
        </is>
      </c>
      <c r="B89" s="4" t="n">
        <v>6</v>
      </c>
      <c r="C89" s="20" t="inlineStr">
        <is>
          <t>cáp</t>
        </is>
      </c>
      <c r="D89" s="4" t="inlineStr">
        <is>
          <t>FOCAL 9/2020 (vào HNB054)</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20"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20"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20" t="inlineStr">
        <is>
          <t>cáp</t>
        </is>
      </c>
      <c r="D92" s="4" t="inlineStr">
        <is>
          <t>FOCAL 9/2020 (vào HNB054)</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3" t="inlineStr">
        <is>
          <t>măng xông</t>
        </is>
      </c>
      <c r="D93" s="4" t="inlineStr">
        <is>
          <t>MX_NVT_01</t>
        </is>
      </c>
      <c r="E93" s="4" t="inlineStr"/>
      <c r="F93" s="4" t="inlineStr">
        <is>
          <t>3+4 ↔ 1+2</t>
        </is>
      </c>
      <c r="G93" s="4" t="n"/>
      <c r="H93" s="4" t="n"/>
      <c r="I93" s="13" t="inlineStr">
        <is>
          <t>chưa có nhãn — sơ đồ MX chưa ghi nhãn cho các core này</t>
        </is>
      </c>
      <c r="J93" s="4" t="inlineStr"/>
    </row>
    <row r="94">
      <c r="A94" s="4" t="inlineStr">
        <is>
          <t>R2-02</t>
        </is>
      </c>
      <c r="B94" s="4" t="n">
        <v>4</v>
      </c>
      <c r="C94" s="20" t="inlineStr">
        <is>
          <t>cáp</t>
        </is>
      </c>
      <c r="D94" s="4" t="inlineStr">
        <is>
          <t>FOCAL 9/2020 trục (gồm 175 m ngầm)</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3" t="inlineStr">
        <is>
          <t>măng xông</t>
        </is>
      </c>
      <c r="D95" s="4" t="inlineStr">
        <is>
          <t>MX_NVT_02A</t>
        </is>
      </c>
      <c r="E95" s="4" t="inlineStr"/>
      <c r="F95" s="4" t="inlineStr">
        <is>
          <t>1+2 ↔ 1+2</t>
        </is>
      </c>
      <c r="G95" s="4" t="n"/>
      <c r="H95" s="4" t="n"/>
      <c r="I95" s="11" t="inlineStr">
        <is>
          <t>khớp sơ đồ — nhãn A</t>
        </is>
      </c>
      <c r="J95" s="4" t="inlineStr">
        <is>
          <t>hàn 1,2 vào 1,2 đi vào HNB006</t>
        </is>
      </c>
    </row>
    <row r="96">
      <c r="A96" s="4" t="inlineStr">
        <is>
          <t>R2-02</t>
        </is>
      </c>
      <c r="B96" s="4" t="n">
        <v>6</v>
      </c>
      <c r="C96" s="20" t="inlineStr">
        <is>
          <t>cáp</t>
        </is>
      </c>
      <c r="D96" s="4" t="inlineStr">
        <is>
          <t>12FO vào HNB006</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20"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20"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20" t="inlineStr">
        <is>
          <t>cáp</t>
        </is>
      </c>
      <c r="D99" s="4" t="inlineStr">
        <is>
          <t>12FO vào HNB006</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3" t="inlineStr">
        <is>
          <t>măng xông</t>
        </is>
      </c>
      <c r="D100" s="4" t="inlineStr">
        <is>
          <t>MX_NVT_02A</t>
        </is>
      </c>
      <c r="E100" s="4" t="inlineStr"/>
      <c r="F100" s="4" t="inlineStr">
        <is>
          <t>3+4 ↔ 5+2</t>
        </is>
      </c>
      <c r="G100" s="4" t="n"/>
      <c r="H100" s="4" t="n"/>
      <c r="I100" s="11"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20" t="inlineStr">
        <is>
          <t>cáp</t>
        </is>
      </c>
      <c r="D101" s="4" t="inlineStr">
        <is>
          <t>12FO NVT_02A → NVT_03A</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3" t="inlineStr">
        <is>
          <t>măng xông</t>
        </is>
      </c>
      <c r="D102" s="4" t="inlineStr">
        <is>
          <t>MX_NVT_03A</t>
        </is>
      </c>
      <c r="E102" s="4" t="inlineStr"/>
      <c r="F102" s="4" t="inlineStr">
        <is>
          <t>5+2 ↔ 1+2</t>
        </is>
      </c>
      <c r="G102" s="4" t="n"/>
      <c r="H102" s="4" t="n"/>
      <c r="I102" s="13" t="inlineStr">
        <is>
          <t>chưa có nhãn — sơ đồ MX chưa ghi nhãn cho các core này</t>
        </is>
      </c>
      <c r="J102" s="4" t="inlineStr">
        <is>
          <t>hàn 5,2 vào 1,2 sợi 6FO vào HNB091</t>
        </is>
      </c>
    </row>
    <row r="103">
      <c r="A103" s="4" t="inlineStr">
        <is>
          <t>R2-03</t>
        </is>
      </c>
      <c r="B103" s="4" t="n">
        <v>6</v>
      </c>
      <c r="C103" s="20" t="inlineStr">
        <is>
          <t>cáp</t>
        </is>
      </c>
      <c r="D103" s="4" t="inlineStr">
        <is>
          <t>FOCAL 2020 vào HNB091 (6FO #1)</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20"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20"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20" t="inlineStr">
        <is>
          <t>cáp</t>
        </is>
      </c>
      <c r="D106" s="4" t="inlineStr">
        <is>
          <t>FOCAL 2020 ra HNB091 (6FO #2)</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3" t="inlineStr">
        <is>
          <t>măng xông</t>
        </is>
      </c>
      <c r="D107" s="4" t="inlineStr">
        <is>
          <t>MX_NVT_03B</t>
        </is>
      </c>
      <c r="E107" s="4" t="inlineStr"/>
      <c r="F107" s="4" t="inlineStr">
        <is>
          <t>1+2 ↔ 1+2</t>
        </is>
      </c>
      <c r="G107" s="4" t="n"/>
      <c r="H107" s="4" t="n"/>
      <c r="I107" s="13" t="inlineStr">
        <is>
          <t>chưa có nhãn — sơ đồ MX chưa ghi nhãn cho các core này</t>
        </is>
      </c>
      <c r="J107" s="4" t="inlineStr">
        <is>
          <t>hàn 1,2 vào 1,2 sợi 12FO về NVT_02B</t>
        </is>
      </c>
    </row>
    <row r="108">
      <c r="A108" s="4" t="inlineStr">
        <is>
          <t>R2-04</t>
        </is>
      </c>
      <c r="B108" s="4" t="n">
        <v>4</v>
      </c>
      <c r="C108" s="20" t="inlineStr">
        <is>
          <t>cáp</t>
        </is>
      </c>
      <c r="D108" s="4" t="inlineStr">
        <is>
          <t>12FO NVT_03B → NVT_02B</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3" t="inlineStr">
        <is>
          <t>măng xông</t>
        </is>
      </c>
      <c r="D109" s="4" t="inlineStr">
        <is>
          <t>MX_NVT_02B</t>
        </is>
      </c>
      <c r="E109" s="4" t="inlineStr"/>
      <c r="F109" s="4" t="inlineStr">
        <is>
          <t>1+2 ↔ 1+2</t>
        </is>
      </c>
      <c r="G109" s="4" t="n"/>
      <c r="H109" s="4" t="n"/>
      <c r="I109" s="11" t="inlineStr">
        <is>
          <t>khớp sơ đồ — nhãn A</t>
        </is>
      </c>
      <c r="J109" s="4" t="inlineStr"/>
    </row>
    <row r="110">
      <c r="A110" s="4" t="inlineStr">
        <is>
          <t>R2-04</t>
        </is>
      </c>
      <c r="B110" s="4" t="n">
        <v>6</v>
      </c>
      <c r="C110" s="20" t="inlineStr">
        <is>
          <t>cáp</t>
        </is>
      </c>
      <c r="D110" s="4" t="inlineStr">
        <is>
          <t>TPKL 12FO trục NVT_02B → LVL-05 (qua MX thẳng nối dài)</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3" t="inlineStr">
        <is>
          <t>măng xông</t>
        </is>
      </c>
      <c r="D111" s="4" t="inlineStr">
        <is>
          <t>MX_LVL-05</t>
        </is>
      </c>
      <c r="E111" s="4" t="inlineStr"/>
      <c r="F111" s="4" t="inlineStr">
        <is>
          <t>1+2 ↔ 19+20</t>
        </is>
      </c>
      <c r="G111" s="4" t="n"/>
      <c r="H111" s="4" t="n"/>
      <c r="I111" s="11" t="inlineStr">
        <is>
          <t>khớp sơ đồ — nhãn D</t>
        </is>
      </c>
      <c r="J111" s="4" t="inlineStr">
        <is>
          <t>hàn 1,2 vào 19,20 sợi 24FO TPKL POSTEF 11/2016</t>
        </is>
      </c>
    </row>
    <row r="112">
      <c r="A112" s="4" t="inlineStr">
        <is>
          <t>R2-04</t>
        </is>
      </c>
      <c r="B112" s="4" t="n">
        <v>8</v>
      </c>
      <c r="C112" s="20" t="inlineStr">
        <is>
          <t>cáp</t>
        </is>
      </c>
      <c r="D112" s="4" t="inlineStr">
        <is>
          <t>TPKL POSTEF 11/2016</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3" t="inlineStr">
        <is>
          <t>măng xông</t>
        </is>
      </c>
      <c r="D113" s="4" t="inlineStr">
        <is>
          <t>MX_NB-01</t>
        </is>
      </c>
      <c r="E113" s="4" t="inlineStr"/>
      <c r="F113" s="4" t="inlineStr">
        <is>
          <t>19+20 ↔ 1+2</t>
        </is>
      </c>
      <c r="G113" s="4" t="n"/>
      <c r="H113" s="4" t="n"/>
      <c r="I113" s="11" t="inlineStr">
        <is>
          <t>khớp sơ đồ — nhãn B</t>
        </is>
      </c>
      <c r="J113" s="4" t="inlineStr"/>
    </row>
    <row r="114">
      <c r="A114" s="4" t="inlineStr">
        <is>
          <t>R2-04</t>
        </is>
      </c>
      <c r="B114" s="4" t="n">
        <v>10</v>
      </c>
      <c r="C114" s="20" t="inlineStr">
        <is>
          <t>cáp</t>
        </is>
      </c>
      <c r="D114" s="4" t="inlineStr">
        <is>
          <t>12FO NB-01 → NB-02</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3" t="inlineStr">
        <is>
          <t>măng xông</t>
        </is>
      </c>
      <c r="D115" s="4" t="inlineStr">
        <is>
          <t>MX_NB-02</t>
        </is>
      </c>
      <c r="E115" s="4" t="inlineStr"/>
      <c r="F115" s="4" t="inlineStr">
        <is>
          <t>1+2 ↔ 1+2</t>
        </is>
      </c>
      <c r="G115" s="4" t="n"/>
      <c r="H115" s="4" t="n"/>
      <c r="I115" s="13" t="inlineStr">
        <is>
          <t>chưa có nhãn — sơ đồ MX chưa ghi nhãn cho các core này</t>
        </is>
      </c>
      <c r="J115" s="4" t="inlineStr"/>
    </row>
    <row r="116">
      <c r="A116" s="4" t="inlineStr">
        <is>
          <t>R2-04</t>
        </is>
      </c>
      <c r="B116" s="4" t="n">
        <v>12</v>
      </c>
      <c r="C116" s="20" t="inlineStr">
        <is>
          <t>cáp</t>
        </is>
      </c>
      <c r="D116" s="4" t="inlineStr">
        <is>
          <t>12FO NB-02 → NB-03</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3" t="inlineStr">
        <is>
          <t>măng xông</t>
        </is>
      </c>
      <c r="D117" s="4" t="inlineStr">
        <is>
          <t>MX_NB-03</t>
        </is>
      </c>
      <c r="E117" s="4" t="inlineStr"/>
      <c r="F117" s="4" t="inlineStr">
        <is>
          <t>1+2 ↔ 1+2</t>
        </is>
      </c>
      <c r="G117" s="4" t="n"/>
      <c r="H117" s="4" t="n"/>
      <c r="I117" s="13" t="inlineStr">
        <is>
          <t>chưa có nhãn — sơ đồ MX chưa ghi nhãn cho các core này</t>
        </is>
      </c>
      <c r="J117" s="4" t="inlineStr"/>
    </row>
    <row r="118">
      <c r="A118" s="4" t="inlineStr">
        <is>
          <t>R2-04</t>
        </is>
      </c>
      <c r="B118" s="4" t="n">
        <v>14</v>
      </c>
      <c r="C118" s="20" t="inlineStr">
        <is>
          <t>cáp</t>
        </is>
      </c>
      <c r="D118" s="4" t="inlineStr">
        <is>
          <t>12FO NB-03 → NB-04</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3" t="inlineStr">
        <is>
          <t>măng xông</t>
        </is>
      </c>
      <c r="D119" s="4" t="inlineStr">
        <is>
          <t>MX_NB-04</t>
        </is>
      </c>
      <c r="E119" s="4" t="inlineStr"/>
      <c r="F119" s="4" t="inlineStr">
        <is>
          <t>1+2 ↔ 1+2</t>
        </is>
      </c>
      <c r="G119" s="4" t="n"/>
      <c r="H119" s="4" t="n"/>
      <c r="I119" s="13" t="inlineStr">
        <is>
          <t>chưa có nhãn — sơ đồ MX chưa ghi nhãn cho các core này</t>
        </is>
      </c>
      <c r="J119" s="4" t="inlineStr"/>
    </row>
    <row r="120">
      <c r="A120" s="4" t="inlineStr">
        <is>
          <t>R2-04</t>
        </is>
      </c>
      <c r="B120" s="4" t="n">
        <v>16</v>
      </c>
      <c r="C120" s="20" t="inlineStr">
        <is>
          <t>cáp</t>
        </is>
      </c>
      <c r="D120" s="4" t="inlineStr">
        <is>
          <t>12FO NB-04 → MX thẳng HTP</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3" t="inlineStr">
        <is>
          <t>măng xông</t>
        </is>
      </c>
      <c r="D121" s="4" t="inlineStr">
        <is>
          <t>MX thẳng HTP</t>
        </is>
      </c>
      <c r="E121" s="4" t="inlineStr"/>
      <c r="F121" s="4" t="inlineStr">
        <is>
          <t>1+2 ↔ 1+2</t>
        </is>
      </c>
      <c r="G121" s="4" t="n"/>
      <c r="H121" s="4" t="n"/>
      <c r="I121" s="13" t="inlineStr">
        <is>
          <t>chưa có nhãn — sơ đồ MX chưa ghi nhãn cho các core này</t>
        </is>
      </c>
      <c r="J121" s="4" t="inlineStr">
        <is>
          <t>MX thẳng nối dài (xác nhận: hết đoạn 600 m từ SG mới trên đường HTP, 10.680424, 106.748376)</t>
        </is>
      </c>
    </row>
    <row r="122">
      <c r="A122" s="4" t="inlineStr">
        <is>
          <t>R2-04</t>
        </is>
      </c>
      <c r="B122" s="4" t="n">
        <v>18</v>
      </c>
      <c r="C122" s="20" t="inlineStr">
        <is>
          <t>cáp</t>
        </is>
      </c>
      <c r="D122" s="4" t="inlineStr">
        <is>
          <t>12FO MX thẳng HTP → HTP-03B</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3" t="inlineStr">
        <is>
          <t>măng xông</t>
        </is>
      </c>
      <c r="D123" s="4" t="inlineStr">
        <is>
          <t>MX_HTP-03B</t>
        </is>
      </c>
      <c r="E123" s="4" t="inlineStr"/>
      <c r="F123" s="4" t="inlineStr">
        <is>
          <t>1+2 ↔ 1+2</t>
        </is>
      </c>
      <c r="G123" s="4" t="n"/>
      <c r="H123" s="4" t="n"/>
      <c r="I123" s="13" t="inlineStr">
        <is>
          <t>chưa có nhãn — sơ đồ MX chưa ghi nhãn cho các core này</t>
        </is>
      </c>
      <c r="J123" s="4" t="inlineStr">
        <is>
          <t>hàn 1,2 vào sợi nhập đài POSTEF 24FO (chỉ số 1550→1288)</t>
        </is>
      </c>
    </row>
    <row r="124">
      <c r="A124" s="4" t="inlineStr">
        <is>
          <t>R2-04</t>
        </is>
      </c>
      <c r="B124" s="4" t="n">
        <v>20</v>
      </c>
      <c r="C124" s="20" t="inlineStr">
        <is>
          <t>cáp</t>
        </is>
      </c>
      <c r="D124" s="4" t="inlineStr">
        <is>
          <t>POSTEF 24FO nhập đài (cs 1550→1288)</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20"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20"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20" t="inlineStr">
        <is>
          <t>cáp</t>
        </is>
      </c>
      <c r="D127" s="4" t="inlineStr">
        <is>
          <t>POSTEF 11/2016 (ODF-01 hướng NB)</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3" t="inlineStr">
        <is>
          <t>măng xông</t>
        </is>
      </c>
      <c r="D128" s="4" t="inlineStr">
        <is>
          <t>MX_NB-01</t>
        </is>
      </c>
      <c r="E128" s="4" t="inlineStr"/>
      <c r="F128" s="4" t="inlineStr">
        <is>
          <t>5+6 ↔ 5+6</t>
        </is>
      </c>
      <c r="G128" s="4" t="n"/>
      <c r="H128" s="4" t="n"/>
      <c r="I128" s="11" t="inlineStr">
        <is>
          <t>khớp sơ đồ — nhãn A</t>
        </is>
      </c>
      <c r="J128" s="4" t="inlineStr">
        <is>
          <t>nhãn A</t>
        </is>
      </c>
    </row>
    <row r="129">
      <c r="A129" s="4" t="inlineStr">
        <is>
          <t>R3-01</t>
        </is>
      </c>
      <c r="B129" s="4" t="n">
        <v>4</v>
      </c>
      <c r="C129" s="20" t="inlineStr">
        <is>
          <t>cáp</t>
        </is>
      </c>
      <c r="D129" s="4" t="inlineStr">
        <is>
          <t>TPKL POSTEF 11/2016</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3" t="inlineStr">
        <is>
          <t>măng xông</t>
        </is>
      </c>
      <c r="D130" s="4" t="inlineStr">
        <is>
          <t>MX_LVL-05</t>
        </is>
      </c>
      <c r="E130" s="4" t="inlineStr"/>
      <c r="F130" s="4" t="inlineStr">
        <is>
          <t>5+6 ↔ 5+6</t>
        </is>
      </c>
      <c r="G130" s="4" t="n"/>
      <c r="H130" s="4" t="n"/>
      <c r="I130" s="11" t="inlineStr">
        <is>
          <t>khớp sơ đồ — nhãn A</t>
        </is>
      </c>
      <c r="J130" s="4" t="inlineStr">
        <is>
          <t>nhãn A</t>
        </is>
      </c>
    </row>
    <row r="131">
      <c r="A131" s="4" t="inlineStr">
        <is>
          <t>R3-01</t>
        </is>
      </c>
      <c r="B131" s="4" t="n">
        <v>6</v>
      </c>
      <c r="C131" s="20" t="inlineStr">
        <is>
          <t>cáp</t>
        </is>
      </c>
      <c r="D131" s="4" t="inlineStr">
        <is>
          <t>TPKL 9/2019 LVL-05 → MX thẳng (giữa MX_DST và LVL-05)</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3" t="inlineStr">
        <is>
          <t>măng xông</t>
        </is>
      </c>
      <c r="D132" s="4" t="inlineStr">
        <is>
          <t>MX thẳng LVL-05/DST</t>
        </is>
      </c>
      <c r="E132" s="4" t="inlineStr"/>
      <c r="F132" s="4" t="inlineStr">
        <is>
          <t>5+6 ↔ 5+6</t>
        </is>
      </c>
      <c r="G132" s="4" t="n"/>
      <c r="H132" s="4" t="n"/>
      <c r="I132" s="13" t="inlineStr">
        <is>
          <t>chưa có nhãn — sơ đồ MX chưa ghi nhãn cho các core này</t>
        </is>
      </c>
      <c r="J132" s="4" t="inlineStr"/>
    </row>
    <row r="133">
      <c r="A133" s="4" t="inlineStr">
        <is>
          <t>R3-01</t>
        </is>
      </c>
      <c r="B133" s="4" t="n">
        <v>8</v>
      </c>
      <c r="C133" s="20" t="inlineStr">
        <is>
          <t>cáp</t>
        </is>
      </c>
      <c r="D133" s="4" t="inlineStr">
        <is>
          <t>ADSS 9/2009 MX thẳng LVL-05/DST → MX_DST</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3" t="inlineStr">
        <is>
          <t>măng xông</t>
        </is>
      </c>
      <c r="D134" s="4" t="inlineStr">
        <is>
          <t>MX_DST</t>
        </is>
      </c>
      <c r="E134" s="4" t="inlineStr"/>
      <c r="F134" s="4" t="inlineStr">
        <is>
          <t>5+6 ↔ 5+6</t>
        </is>
      </c>
      <c r="G134" s="4" t="n"/>
      <c r="H134" s="4" t="n"/>
      <c r="I134" s="13" t="inlineStr">
        <is>
          <t>chưa có nhãn — sơ đồ MX chưa ghi nhãn cho các core này</t>
        </is>
      </c>
      <c r="J134" s="4" t="inlineStr">
        <is>
          <t>chưa có nhãn</t>
        </is>
      </c>
    </row>
    <row r="135">
      <c r="A135" s="4" t="inlineStr">
        <is>
          <t>R3-01</t>
        </is>
      </c>
      <c r="B135" s="4" t="n">
        <v>10</v>
      </c>
      <c r="C135" s="20" t="inlineStr">
        <is>
          <t>cáp</t>
        </is>
      </c>
      <c r="D135" s="4" t="inlineStr">
        <is>
          <t>FOCAL 8/2020 MX_DST → LVL-01</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3" t="inlineStr">
        <is>
          <t>măng xông</t>
        </is>
      </c>
      <c r="D136" s="4" t="inlineStr">
        <is>
          <t>MX_LVL-01</t>
        </is>
      </c>
      <c r="E136" s="4" t="inlineStr"/>
      <c r="F136" s="4" t="inlineStr">
        <is>
          <t>5+6 ↔ 5+6</t>
        </is>
      </c>
      <c r="G136" s="4" t="n"/>
      <c r="H136" s="4" t="n"/>
      <c r="I136" s="11" t="inlineStr">
        <is>
          <t>khớp sơ đồ — nhãn B</t>
        </is>
      </c>
      <c r="J136" s="4" t="inlineStr">
        <is>
          <t>nhãn B</t>
        </is>
      </c>
    </row>
    <row r="137">
      <c r="A137" s="4" t="inlineStr">
        <is>
          <t>R3-01</t>
        </is>
      </c>
      <c r="B137" s="4" t="n">
        <v>12</v>
      </c>
      <c r="C137" s="20" t="inlineStr">
        <is>
          <t>cáp</t>
        </is>
      </c>
      <c r="D137" s="4" t="inlineStr">
        <is>
          <t>FOCAL 2013 LVL-02 → LVL-01</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3" t="inlineStr">
        <is>
          <t>măng xông</t>
        </is>
      </c>
      <c r="D138" s="4" t="inlineStr">
        <is>
          <t>MX_LVL-02</t>
        </is>
      </c>
      <c r="E138" s="4" t="inlineStr"/>
      <c r="F138" s="4" t="inlineStr">
        <is>
          <t>5+6 ↔ 1+2</t>
        </is>
      </c>
      <c r="G138" s="4" t="n"/>
      <c r="H138" s="4" t="n"/>
      <c r="I138" s="11" t="inlineStr">
        <is>
          <t>khớp sơ đồ — nhãn B</t>
        </is>
      </c>
      <c r="J138" s="4" t="inlineStr">
        <is>
          <t>nhãn B</t>
        </is>
      </c>
    </row>
    <row r="139">
      <c r="A139" s="4" t="inlineStr">
        <is>
          <t>R3-01</t>
        </is>
      </c>
      <c r="B139" s="4" t="n">
        <v>14</v>
      </c>
      <c r="C139" s="20" t="inlineStr">
        <is>
          <t>cáp</t>
        </is>
      </c>
      <c r="D139" s="4" t="inlineStr">
        <is>
          <t>POSTEF 6/2019 LVL-02 → HNB055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20"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20"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20" t="inlineStr">
        <is>
          <t>cáp</t>
        </is>
      </c>
      <c r="D142" s="4" t="inlineStr">
        <is>
          <t>POSTEF 6/2019 HNB055 ↔ HNB065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20"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20"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20" t="inlineStr">
        <is>
          <t>cáp</t>
        </is>
      </c>
      <c r="D145" s="4" t="inlineStr">
        <is>
          <t>SACOM 3/2016 LVL-02 → HNB065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3" t="inlineStr">
        <is>
          <t>măng xông</t>
        </is>
      </c>
      <c r="D146" s="4" t="inlineStr">
        <is>
          <t>MX_LVL-02</t>
        </is>
      </c>
      <c r="E146" s="4" t="inlineStr"/>
      <c r="F146" s="4" t="inlineStr">
        <is>
          <t>1+2 ↔ 5+6</t>
        </is>
      </c>
      <c r="G146" s="4" t="n"/>
      <c r="H146" s="4" t="n"/>
      <c r="I146" s="11" t="inlineStr">
        <is>
          <t>khớp sơ đồ — nhãn C</t>
        </is>
      </c>
      <c r="J146" s="4" t="inlineStr">
        <is>
          <t>nhãn C (sơ đồ MX)</t>
        </is>
      </c>
    </row>
    <row r="147">
      <c r="A147" s="4" t="inlineStr">
        <is>
          <t>R3-03</t>
        </is>
      </c>
      <c r="B147" s="4" t="n">
        <v>4</v>
      </c>
      <c r="C147" s="20" t="inlineStr">
        <is>
          <t>cáp</t>
        </is>
      </c>
      <c r="D147" s="4" t="inlineStr">
        <is>
          <t>SACOM 1/2015 MX thẳng (đi LVL) → LVL-02</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3" t="inlineStr">
        <is>
          <t>măng xông</t>
        </is>
      </c>
      <c r="D148" s="4" t="inlineStr">
        <is>
          <t>MX thẳng đi LVL</t>
        </is>
      </c>
      <c r="E148" s="4" t="inlineStr"/>
      <c r="F148" s="4" t="inlineStr">
        <is>
          <t>5+6 ↔ 5+6</t>
        </is>
      </c>
      <c r="G148" s="4" t="n"/>
      <c r="H148" s="4" t="n"/>
      <c r="I148" s="13" t="inlineStr">
        <is>
          <t>chưa có nhãn — sơ đồ MX chưa ghi nhãn cho các core này</t>
        </is>
      </c>
      <c r="J148" s="4" t="inlineStr">
        <is>
          <t>MX thẳng</t>
        </is>
      </c>
    </row>
    <row r="149">
      <c r="A149" s="4" t="inlineStr">
        <is>
          <t>R3-03</t>
        </is>
      </c>
      <c r="B149" s="4" t="n">
        <v>6</v>
      </c>
      <c r="C149" s="20" t="inlineStr">
        <is>
          <t>cáp</t>
        </is>
      </c>
      <c r="D149" s="4" t="inlineStr">
        <is>
          <t>VINA-OFC 2016 LVL-03 → MX thẳng (đi LVL)</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3" t="inlineStr">
        <is>
          <t>măng xông</t>
        </is>
      </c>
      <c r="D150" s="4" t="inlineStr">
        <is>
          <t>MX_LVL-03</t>
        </is>
      </c>
      <c r="E150" s="4" t="inlineStr"/>
      <c r="F150" s="4" t="inlineStr">
        <is>
          <t>5+6 ↔ 3+4</t>
        </is>
      </c>
      <c r="G150" s="4" t="n"/>
      <c r="H150" s="4" t="n"/>
      <c r="I150" s="11" t="inlineStr">
        <is>
          <t>khớp sơ đồ — nhãn E</t>
        </is>
      </c>
      <c r="J150" s="4" t="inlineStr">
        <is>
          <t>nhãn E</t>
        </is>
      </c>
    </row>
    <row r="151">
      <c r="A151" s="4" t="inlineStr">
        <is>
          <t>R3-03</t>
        </is>
      </c>
      <c r="B151" s="4" t="n">
        <v>8</v>
      </c>
      <c r="C151" s="20" t="inlineStr">
        <is>
          <t>cáp</t>
        </is>
      </c>
      <c r="D151" s="4" t="inlineStr">
        <is>
          <t>SACOM 2014 LVL-03 → HNB094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20"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20"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20" t="inlineStr">
        <is>
          <t>cáp</t>
        </is>
      </c>
      <c r="D154" s="4" t="inlineStr">
        <is>
          <t>SACOM 2014 LVL-03 → HNB094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3" t="inlineStr">
        <is>
          <t>măng xông</t>
        </is>
      </c>
      <c r="D155" s="4" t="inlineStr">
        <is>
          <t>MX_LVL-03</t>
        </is>
      </c>
      <c r="E155" s="4" t="inlineStr"/>
      <c r="F155" s="4" t="inlineStr">
        <is>
          <t>5+6 ↔ 5+6</t>
        </is>
      </c>
      <c r="G155" s="4" t="n"/>
      <c r="H155" s="4" t="n"/>
      <c r="I155" s="11" t="inlineStr">
        <is>
          <t>khớp sơ đồ — nhãn C</t>
        </is>
      </c>
      <c r="J155" s="4" t="inlineStr">
        <is>
          <t>nhãn C (sơ đồ MX)</t>
        </is>
      </c>
    </row>
    <row r="156">
      <c r="A156" s="4" t="inlineStr">
        <is>
          <t>R3-04</t>
        </is>
      </c>
      <c r="B156" s="4" t="n">
        <v>4</v>
      </c>
      <c r="C156" s="20" t="inlineStr">
        <is>
          <t>cáp</t>
        </is>
      </c>
      <c r="D156" s="4" t="inlineStr">
        <is>
          <t>POSTEF 9/2019 LVL-03 → HTP-01 (cầu Phú Xuân 2)</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3" t="inlineStr">
        <is>
          <t>măng xông</t>
        </is>
      </c>
      <c r="D157" s="4" t="inlineStr">
        <is>
          <t>MX_HTP-01</t>
        </is>
      </c>
      <c r="E157" s="4" t="inlineStr"/>
      <c r="F157" s="4" t="inlineStr">
        <is>
          <t>5+6 ↔ 5+6</t>
        </is>
      </c>
      <c r="G157" s="4" t="n"/>
      <c r="H157" s="4" t="n"/>
      <c r="I157" s="11" t="inlineStr">
        <is>
          <t>khớp sơ đồ — nhãn A</t>
        </is>
      </c>
      <c r="J157" s="4" t="inlineStr">
        <is>
          <t>nhãn A</t>
        </is>
      </c>
    </row>
    <row r="158">
      <c r="A158" s="4" t="inlineStr">
        <is>
          <t>R3-04</t>
        </is>
      </c>
      <c r="B158" s="4" t="n">
        <v>6</v>
      </c>
      <c r="C158" s="20" t="inlineStr">
        <is>
          <t>cáp</t>
        </is>
      </c>
      <c r="D158" s="4" t="inlineStr">
        <is>
          <t>12FO HTP-01 → HTP-02</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3" t="inlineStr">
        <is>
          <t>măng xông</t>
        </is>
      </c>
      <c r="D159" s="4" t="inlineStr">
        <is>
          <t>MX_HTP-02</t>
        </is>
      </c>
      <c r="E159" s="4" t="inlineStr"/>
      <c r="F159" s="4" t="inlineStr">
        <is>
          <t>5+6 ↔ 5+6</t>
        </is>
      </c>
      <c r="G159" s="4" t="n"/>
      <c r="H159" s="4" t="n"/>
      <c r="I159" s="11" t="inlineStr">
        <is>
          <t>khớp sơ đồ — nhãn A</t>
        </is>
      </c>
      <c r="J159" s="4" t="inlineStr">
        <is>
          <t>nhãn A</t>
        </is>
      </c>
    </row>
    <row r="160">
      <c r="A160" s="4" t="inlineStr">
        <is>
          <t>R3-04</t>
        </is>
      </c>
      <c r="B160" s="4" t="n">
        <v>8</v>
      </c>
      <c r="C160" s="20" t="inlineStr">
        <is>
          <t>cáp</t>
        </is>
      </c>
      <c r="D160" s="4" t="inlineStr">
        <is>
          <t>FOCAL 12FO HTP-02 → HTP-03A</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3" t="inlineStr">
        <is>
          <t>măng xông</t>
        </is>
      </c>
      <c r="D161" s="4" t="inlineStr">
        <is>
          <t>MX_HTP-03A</t>
        </is>
      </c>
      <c r="E161" s="4" t="inlineStr"/>
      <c r="F161" s="4" t="inlineStr">
        <is>
          <t>5+6 ↔ 5+6</t>
        </is>
      </c>
      <c r="G161" s="4" t="n"/>
      <c r="H161" s="4" t="n"/>
      <c r="I161" s="11" t="inlineStr">
        <is>
          <t>khớp sơ đồ — nhãn A</t>
        </is>
      </c>
      <c r="J161" s="4" t="inlineStr">
        <is>
          <t>nhãn A</t>
        </is>
      </c>
    </row>
    <row r="162">
      <c r="A162" s="4" t="inlineStr">
        <is>
          <t>R3-04</t>
        </is>
      </c>
      <c r="B162" s="4" t="n">
        <v>10</v>
      </c>
      <c r="C162" s="20" t="inlineStr">
        <is>
          <t>cáp</t>
        </is>
      </c>
      <c r="D162" s="4" t="inlineStr">
        <is>
          <t>POSTEF 24FO nhập đài (cs 1570→1816) → ODF-01 NBE22</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20"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20"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20" t="inlineStr">
        <is>
          <t>cáp</t>
        </is>
      </c>
      <c r="D165" s="4" t="inlineStr">
        <is>
          <t>SACOM 2014 LVL-03 → HNB094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3" t="inlineStr">
        <is>
          <t>măng xông</t>
        </is>
      </c>
      <c r="D166" s="4" t="inlineStr">
        <is>
          <t>MX_LVL-03</t>
        </is>
      </c>
      <c r="E166" s="4" t="inlineStr"/>
      <c r="F166" s="4" t="inlineStr">
        <is>
          <t>1+2 ↔ 11+12</t>
        </is>
      </c>
      <c r="G166" s="4" t="n"/>
      <c r="H166" s="4" t="n"/>
      <c r="I166" s="11" t="inlineStr">
        <is>
          <t>khớp sơ đồ — nhãn F</t>
        </is>
      </c>
      <c r="J166" s="4" t="inlineStr">
        <is>
          <t>nhãn F (sơ đồ MX)</t>
        </is>
      </c>
    </row>
    <row r="167">
      <c r="A167" s="4" t="inlineStr">
        <is>
          <t>R3-S1</t>
        </is>
      </c>
      <c r="B167" s="4" t="n">
        <v>4</v>
      </c>
      <c r="C167" s="20" t="inlineStr">
        <is>
          <t>cáp</t>
        </is>
      </c>
      <c r="D167" s="4" t="inlineStr">
        <is>
          <t>SAMTEL 3/2015 LVL-04 → LVL-03</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3" t="inlineStr">
        <is>
          <t>măng xông</t>
        </is>
      </c>
      <c r="D168" s="4" t="inlineStr">
        <is>
          <t>MX_LVL-04</t>
        </is>
      </c>
      <c r="E168" s="4" t="inlineStr"/>
      <c r="F168" s="4" t="inlineStr">
        <is>
          <t>11+12 ↔ 1+2</t>
        </is>
      </c>
      <c r="G168" s="4" t="n"/>
      <c r="H168" s="4" t="n"/>
      <c r="I168" s="11" t="inlineStr">
        <is>
          <t>khớp sơ đồ — nhãn B</t>
        </is>
      </c>
      <c r="J168" s="4" t="inlineStr">
        <is>
          <t>nhãn B</t>
        </is>
      </c>
    </row>
    <row r="169">
      <c r="A169" s="4" t="inlineStr">
        <is>
          <t>R3-S1</t>
        </is>
      </c>
      <c r="B169" s="4" t="n">
        <v>6</v>
      </c>
      <c r="C169" s="20" t="inlineStr">
        <is>
          <t>cáp</t>
        </is>
      </c>
      <c r="D169" s="4" t="inlineStr">
        <is>
          <t>POSTEF 8/2019 LVL-04 → HNB018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20"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20"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20" t="inlineStr">
        <is>
          <t>cáp</t>
        </is>
      </c>
      <c r="D172" s="4" t="inlineStr">
        <is>
          <t>POSTEF 11/2016 (ODF-01 hướng NB)</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3" t="inlineStr">
        <is>
          <t>măng xông</t>
        </is>
      </c>
      <c r="D173" s="4" t="inlineStr">
        <is>
          <t>MX_NB-01</t>
        </is>
      </c>
      <c r="E173" s="4" t="inlineStr"/>
      <c r="F173" s="4" t="inlineStr">
        <is>
          <t>11+12 ↔ 3+4</t>
        </is>
      </c>
      <c r="G173" s="4" t="n"/>
      <c r="H173" s="4" t="n"/>
      <c r="I173" s="11" t="inlineStr">
        <is>
          <t>khớp sơ đồ — nhãn A2</t>
        </is>
      </c>
      <c r="J173" s="4" t="inlineStr">
        <is>
          <t>nhãn A2 (sơ đồ MX)</t>
        </is>
      </c>
    </row>
    <row r="174">
      <c r="A174" s="4" t="inlineStr">
        <is>
          <t>R4-01</t>
        </is>
      </c>
      <c r="B174" s="4" t="n">
        <v>4</v>
      </c>
      <c r="C174" s="20" t="inlineStr">
        <is>
          <t>cáp</t>
        </is>
      </c>
      <c r="D174" s="4" t="inlineStr">
        <is>
          <t>TPKL POSTEF 11/2016</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3" t="inlineStr">
        <is>
          <t>măng xông</t>
        </is>
      </c>
      <c r="D175" s="4" t="inlineStr">
        <is>
          <t>MX_LVL-05</t>
        </is>
      </c>
      <c r="E175" s="4" t="inlineStr"/>
      <c r="F175" s="4" t="inlineStr">
        <is>
          <t>3+4 ↔ 3+4</t>
        </is>
      </c>
      <c r="G175" s="4" t="n"/>
      <c r="H175" s="4" t="n"/>
      <c r="I175" s="11" t="inlineStr">
        <is>
          <t>khớp sơ đồ — nhãn A</t>
        </is>
      </c>
      <c r="J175" s="4" t="inlineStr">
        <is>
          <t>nhãn A</t>
        </is>
      </c>
    </row>
    <row r="176">
      <c r="A176" s="4" t="inlineStr">
        <is>
          <t>R4-01</t>
        </is>
      </c>
      <c r="B176" s="4" t="n">
        <v>6</v>
      </c>
      <c r="C176" s="20" t="inlineStr">
        <is>
          <t>cáp</t>
        </is>
      </c>
      <c r="D176" s="4" t="inlineStr">
        <is>
          <t>TPKL 9/2019 LVL-05 → MX thẳng (giữa MX_DST và LVL-05)</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3" t="inlineStr">
        <is>
          <t>măng xông</t>
        </is>
      </c>
      <c r="D177" s="4" t="inlineStr">
        <is>
          <t>MX thẳng LVL-05/DST</t>
        </is>
      </c>
      <c r="E177" s="4" t="inlineStr"/>
      <c r="F177" s="4" t="inlineStr">
        <is>
          <t>3+4 ↔ 3+4</t>
        </is>
      </c>
      <c r="G177" s="4" t="n"/>
      <c r="H177" s="4" t="n"/>
      <c r="I177" s="13" t="inlineStr">
        <is>
          <t>chưa có nhãn — sơ đồ MX chưa ghi nhãn cho các core này</t>
        </is>
      </c>
      <c r="J177" s="4" t="inlineStr"/>
    </row>
    <row r="178">
      <c r="A178" s="4" t="inlineStr">
        <is>
          <t>R4-01</t>
        </is>
      </c>
      <c r="B178" s="4" t="n">
        <v>8</v>
      </c>
      <c r="C178" s="20" t="inlineStr">
        <is>
          <t>cáp</t>
        </is>
      </c>
      <c r="D178" s="4" t="inlineStr">
        <is>
          <t>ADSS 9/2009 MX thẳng LVL-05/DST → MX_DST</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3" t="inlineStr">
        <is>
          <t>măng xông</t>
        </is>
      </c>
      <c r="D179" s="4" t="inlineStr">
        <is>
          <t>MX_DST</t>
        </is>
      </c>
      <c r="E179" s="4" t="inlineStr"/>
      <c r="F179" s="4" t="inlineStr">
        <is>
          <t>3+4 ↔ 3+4</t>
        </is>
      </c>
      <c r="G179" s="4" t="n"/>
      <c r="H179" s="4" t="n"/>
      <c r="I179" s="13" t="inlineStr">
        <is>
          <t>chưa có nhãn — sơ đồ MX chưa ghi nhãn cho các core này</t>
        </is>
      </c>
      <c r="J179" s="4" t="inlineStr">
        <is>
          <t>chưa có nhãn</t>
        </is>
      </c>
    </row>
    <row r="180">
      <c r="A180" s="4" t="inlineStr">
        <is>
          <t>R4-01</t>
        </is>
      </c>
      <c r="B180" s="4" t="n">
        <v>10</v>
      </c>
      <c r="C180" s="20" t="inlineStr">
        <is>
          <t>cáp</t>
        </is>
      </c>
      <c r="D180" s="4" t="inlineStr">
        <is>
          <t>FOCAL 8/2020 MX_DST → LVL-01</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3" t="inlineStr">
        <is>
          <t>măng xông</t>
        </is>
      </c>
      <c r="D181" s="4" t="inlineStr">
        <is>
          <t>MX_LVL-01</t>
        </is>
      </c>
      <c r="E181" s="4" t="inlineStr"/>
      <c r="F181" s="4" t="inlineStr">
        <is>
          <t>3+4 ↔ 1+2</t>
        </is>
      </c>
      <c r="G181" s="4" t="n"/>
      <c r="H181" s="4" t="n"/>
      <c r="I181" s="11" t="inlineStr">
        <is>
          <t>khớp sơ đồ — nhãn A</t>
        </is>
      </c>
      <c r="J181" s="4" t="inlineStr">
        <is>
          <t>nhãn A</t>
        </is>
      </c>
    </row>
    <row r="182">
      <c r="A182" s="4" t="inlineStr">
        <is>
          <t>R4-01</t>
        </is>
      </c>
      <c r="B182" s="4" t="n">
        <v>12</v>
      </c>
      <c r="C182" s="20" t="inlineStr">
        <is>
          <t>cáp</t>
        </is>
      </c>
      <c r="D182" s="4" t="inlineStr">
        <is>
          <t>VINA 2018 LVL-01 → HNB011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20"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20"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20" t="inlineStr">
        <is>
          <t>cáp</t>
        </is>
      </c>
      <c r="D185" s="4" t="inlineStr">
        <is>
          <t>PRYSMIAN 2009 HNB011 → MX thẳng 11-56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3" t="inlineStr">
        <is>
          <t>măng xông</t>
        </is>
      </c>
      <c r="D186" s="4" t="inlineStr">
        <is>
          <t>MX thẳng 11-56</t>
        </is>
      </c>
      <c r="E186" s="4" t="inlineStr"/>
      <c r="F186" s="4" t="inlineStr">
        <is>
          <t>1+2 ↔ 1+2</t>
        </is>
      </c>
      <c r="G186" s="4" t="n"/>
      <c r="H186" s="4" t="n"/>
      <c r="I186" s="13" t="inlineStr">
        <is>
          <t>chưa có nhãn — sơ đồ MX chưa ghi nhãn cho các core này</t>
        </is>
      </c>
      <c r="J186" s="4" t="inlineStr">
        <is>
          <t>MX thẳng</t>
        </is>
      </c>
    </row>
    <row r="187">
      <c r="A187" s="4" t="inlineStr">
        <is>
          <t>R4-02</t>
        </is>
      </c>
      <c r="B187" s="4" t="n">
        <v>4</v>
      </c>
      <c r="C187" s="20" t="inlineStr">
        <is>
          <t>cáp</t>
        </is>
      </c>
      <c r="D187" s="4" t="inlineStr">
        <is>
          <t>VINA OFC MX thẳng 11-56 → HNB056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20"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20"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20" t="inlineStr">
        <is>
          <t>cáp</t>
        </is>
      </c>
      <c r="D190" s="4" t="inlineStr">
        <is>
          <t>POSTEF 6/2019 HNB056 ↔ HNB071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20"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20"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20" t="inlineStr">
        <is>
          <t>cáp</t>
        </is>
      </c>
      <c r="D193" s="4" t="inlineStr">
        <is>
          <t>POSTEF 2017 HNB071 ↔ HNB073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20"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20"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20" t="inlineStr">
        <is>
          <t>cáp</t>
        </is>
      </c>
      <c r="D196" s="4" t="inlineStr">
        <is>
          <t>VINA 2017 LVL-02 → HNB073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3" t="inlineStr">
        <is>
          <t>măng xông</t>
        </is>
      </c>
      <c r="D197" s="4" t="inlineStr">
        <is>
          <t>MX_LVL-02</t>
        </is>
      </c>
      <c r="E197" s="4" t="inlineStr"/>
      <c r="F197" s="4" t="inlineStr">
        <is>
          <t>1+2 ↔ 3+4</t>
        </is>
      </c>
      <c r="G197" s="4" t="n"/>
      <c r="H197" s="4" t="n"/>
      <c r="I197" s="11" t="inlineStr">
        <is>
          <t>khớp sơ đồ — nhãn D</t>
        </is>
      </c>
      <c r="J197" s="4" t="inlineStr">
        <is>
          <t>nhãn D (sơ đồ MX)</t>
        </is>
      </c>
    </row>
    <row r="198">
      <c r="A198" s="4" t="inlineStr">
        <is>
          <t>R4-05</t>
        </is>
      </c>
      <c r="B198" s="4" t="n">
        <v>4</v>
      </c>
      <c r="C198" s="20" t="inlineStr">
        <is>
          <t>cáp</t>
        </is>
      </c>
      <c r="D198" s="4" t="inlineStr">
        <is>
          <t>SACOM 1/2015 MX thẳng (đi LVL) → LVL-02</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3" t="inlineStr">
        <is>
          <t>măng xông</t>
        </is>
      </c>
      <c r="D199" s="4" t="inlineStr">
        <is>
          <t>MX thẳng đi LVL</t>
        </is>
      </c>
      <c r="E199" s="4" t="inlineStr"/>
      <c r="F199" s="4" t="inlineStr">
        <is>
          <t>3+4 ↔ 3+4</t>
        </is>
      </c>
      <c r="G199" s="4" t="n"/>
      <c r="H199" s="4" t="n"/>
      <c r="I199" s="13" t="inlineStr">
        <is>
          <t>chưa có nhãn — sơ đồ MX chưa ghi nhãn cho các core này</t>
        </is>
      </c>
      <c r="J199" s="4" t="inlineStr">
        <is>
          <t>MX thẳng</t>
        </is>
      </c>
    </row>
    <row r="200">
      <c r="A200" s="4" t="inlineStr">
        <is>
          <t>R4-05</t>
        </is>
      </c>
      <c r="B200" s="4" t="n">
        <v>6</v>
      </c>
      <c r="C200" s="20" t="inlineStr">
        <is>
          <t>cáp</t>
        </is>
      </c>
      <c r="D200" s="4" t="inlineStr">
        <is>
          <t>VINA-OFC 2016 LVL-03 → MX thẳng (đi LVL)</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3" t="inlineStr">
        <is>
          <t>măng xông</t>
        </is>
      </c>
      <c r="D201" s="4" t="inlineStr">
        <is>
          <t>MX_LVL-03</t>
        </is>
      </c>
      <c r="E201" s="4" t="inlineStr"/>
      <c r="F201" s="4" t="inlineStr">
        <is>
          <t>3+4 ↔ 3+4</t>
        </is>
      </c>
      <c r="G201" s="4" t="n"/>
      <c r="H201" s="4" t="n"/>
      <c r="I201" s="11" t="inlineStr">
        <is>
          <t>khớp sơ đồ — nhãn B</t>
        </is>
      </c>
      <c r="J201" s="4" t="inlineStr">
        <is>
          <t>nhãn B</t>
        </is>
      </c>
    </row>
    <row r="202">
      <c r="A202" s="4" t="inlineStr">
        <is>
          <t>R4-05</t>
        </is>
      </c>
      <c r="B202" s="4" t="n">
        <v>8</v>
      </c>
      <c r="C202" s="20" t="inlineStr">
        <is>
          <t>cáp</t>
        </is>
      </c>
      <c r="D202" s="4" t="inlineStr">
        <is>
          <t>POSTEF 9/2019 LVL-03 → HTP-01 (cầu Phú Xuân 2)</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3" t="inlineStr">
        <is>
          <t>măng xông</t>
        </is>
      </c>
      <c r="D203" s="4" t="inlineStr">
        <is>
          <t>MX_HTP-01</t>
        </is>
      </c>
      <c r="E203" s="4" t="inlineStr"/>
      <c r="F203" s="4" t="inlineStr">
        <is>
          <t>3+4 ↔ 3+4</t>
        </is>
      </c>
      <c r="G203" s="4" t="n"/>
      <c r="H203" s="4" t="n"/>
      <c r="I203" s="11" t="inlineStr">
        <is>
          <t>khớp sơ đồ — nhãn A</t>
        </is>
      </c>
      <c r="J203" s="4" t="inlineStr">
        <is>
          <t>nhãn A</t>
        </is>
      </c>
    </row>
    <row r="204">
      <c r="A204" s="4" t="inlineStr">
        <is>
          <t>R4-05</t>
        </is>
      </c>
      <c r="B204" s="4" t="n">
        <v>10</v>
      </c>
      <c r="C204" s="20" t="inlineStr">
        <is>
          <t>cáp</t>
        </is>
      </c>
      <c r="D204" s="4" t="inlineStr">
        <is>
          <t>12FO HTP-01 → HTP-02</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3" t="inlineStr">
        <is>
          <t>măng xông</t>
        </is>
      </c>
      <c r="D205" s="4" t="inlineStr">
        <is>
          <t>MX_HTP-02</t>
        </is>
      </c>
      <c r="E205" s="4" t="inlineStr"/>
      <c r="F205" s="4" t="inlineStr">
        <is>
          <t>3+4 ↔ 3+4</t>
        </is>
      </c>
      <c r="G205" s="4" t="n"/>
      <c r="H205" s="4" t="n"/>
      <c r="I205" s="11" t="inlineStr">
        <is>
          <t>khớp sơ đồ — nhãn A</t>
        </is>
      </c>
      <c r="J205" s="4" t="inlineStr">
        <is>
          <t>nhãn A</t>
        </is>
      </c>
    </row>
    <row r="206">
      <c r="A206" s="4" t="inlineStr">
        <is>
          <t>R4-05</t>
        </is>
      </c>
      <c r="B206" s="4" t="n">
        <v>12</v>
      </c>
      <c r="C206" s="20" t="inlineStr">
        <is>
          <t>cáp</t>
        </is>
      </c>
      <c r="D206" s="4" t="inlineStr">
        <is>
          <t>FOCAL 12FO HTP-02 → HTP-03A</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3" t="inlineStr">
        <is>
          <t>măng xông</t>
        </is>
      </c>
      <c r="D207" s="4" t="inlineStr">
        <is>
          <t>MX_HTP-03A</t>
        </is>
      </c>
      <c r="E207" s="4" t="inlineStr"/>
      <c r="F207" s="4" t="inlineStr">
        <is>
          <t>3+4 ↔ 3+4</t>
        </is>
      </c>
      <c r="G207" s="4" t="n"/>
      <c r="H207" s="4" t="n"/>
      <c r="I207" s="11" t="inlineStr">
        <is>
          <t>khớp sơ đồ — nhãn A</t>
        </is>
      </c>
      <c r="J207" s="4" t="inlineStr">
        <is>
          <t>nhãn A</t>
        </is>
      </c>
    </row>
    <row r="208">
      <c r="A208" s="4" t="inlineStr">
        <is>
          <t>R4-05</t>
        </is>
      </c>
      <c r="B208" s="4" t="n">
        <v>14</v>
      </c>
      <c r="C208" s="20" t="inlineStr">
        <is>
          <t>cáp</t>
        </is>
      </c>
      <c r="D208" s="4" t="inlineStr">
        <is>
          <t>POSTEF 24FO nhập đài (cs 1570→1816) → ODF-01 NBE22</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20"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20"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20" t="inlineStr">
        <is>
          <t>cáp</t>
        </is>
      </c>
      <c r="D211" s="4" t="inlineStr">
        <is>
          <t>POSTEF 11/2016 (ODF-01 hướng NB)</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3" t="inlineStr">
        <is>
          <t>măng xông</t>
        </is>
      </c>
      <c r="D212" s="4" t="inlineStr">
        <is>
          <t>MX_NB-01</t>
        </is>
      </c>
      <c r="E212" s="4" t="inlineStr"/>
      <c r="F212" s="4" t="inlineStr">
        <is>
          <t>1+2 ↔ 1+2</t>
        </is>
      </c>
      <c r="G212" s="4" t="n"/>
      <c r="H212" s="4" t="n"/>
      <c r="I212" s="11" t="inlineStr">
        <is>
          <t>khớp sơ đồ — nhãn A</t>
        </is>
      </c>
      <c r="J212" s="4" t="inlineStr">
        <is>
          <t>nhãn A (sơ đồ MX)</t>
        </is>
      </c>
    </row>
    <row r="213">
      <c r="A213" s="4" t="inlineStr">
        <is>
          <t>R5-01</t>
        </is>
      </c>
      <c r="B213" s="4" t="n">
        <v>4</v>
      </c>
      <c r="C213" s="20" t="inlineStr">
        <is>
          <t>cáp</t>
        </is>
      </c>
      <c r="D213" s="4" t="inlineStr">
        <is>
          <t>TPKL POSTEF 11/2016</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3" t="inlineStr">
        <is>
          <t>măng xông</t>
        </is>
      </c>
      <c r="D214" s="4" t="inlineStr">
        <is>
          <t>MX_LVL-05</t>
        </is>
      </c>
      <c r="E214" s="4" t="inlineStr"/>
      <c r="F214" s="4" t="inlineStr">
        <is>
          <t>1+2 ↔ 1+2</t>
        </is>
      </c>
      <c r="G214" s="4" t="n"/>
      <c r="H214" s="4" t="n"/>
      <c r="I214" s="11" t="inlineStr">
        <is>
          <t>khớp sơ đồ — nhãn A</t>
        </is>
      </c>
      <c r="J214" s="4" t="inlineStr">
        <is>
          <t>nhãn A</t>
        </is>
      </c>
    </row>
    <row r="215">
      <c r="A215" s="4" t="inlineStr">
        <is>
          <t>R5-01</t>
        </is>
      </c>
      <c r="B215" s="4" t="n">
        <v>6</v>
      </c>
      <c r="C215" s="20" t="inlineStr">
        <is>
          <t>cáp</t>
        </is>
      </c>
      <c r="D215" s="4" t="inlineStr">
        <is>
          <t>TPKL 9/2019 LVL-05 → MX thẳng (giữa MX_DST và LVL-05)</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3" t="inlineStr">
        <is>
          <t>măng xông</t>
        </is>
      </c>
      <c r="D216" s="4" t="inlineStr">
        <is>
          <t>MX thẳng LVL-05/DST</t>
        </is>
      </c>
      <c r="E216" s="4" t="inlineStr"/>
      <c r="F216" s="4" t="inlineStr">
        <is>
          <t>1+2 ↔ 1+2</t>
        </is>
      </c>
      <c r="G216" s="4" t="n"/>
      <c r="H216" s="4" t="n"/>
      <c r="I216" s="13" t="inlineStr">
        <is>
          <t>chưa có nhãn — sơ đồ MX chưa ghi nhãn cho các core này</t>
        </is>
      </c>
      <c r="J216" s="4" t="inlineStr"/>
    </row>
    <row r="217">
      <c r="A217" s="4" t="inlineStr">
        <is>
          <t>R5-01</t>
        </is>
      </c>
      <c r="B217" s="4" t="n">
        <v>8</v>
      </c>
      <c r="C217" s="20" t="inlineStr">
        <is>
          <t>cáp</t>
        </is>
      </c>
      <c r="D217" s="4" t="inlineStr">
        <is>
          <t>ADSS 9/2009 MX thẳng LVL-05/DST → MX_DST</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3" t="inlineStr">
        <is>
          <t>măng xông</t>
        </is>
      </c>
      <c r="D218" s="4" t="inlineStr">
        <is>
          <t>MX_DST</t>
        </is>
      </c>
      <c r="E218" s="4" t="inlineStr"/>
      <c r="F218" s="4" t="inlineStr">
        <is>
          <t>1+2 ↔ 1+2</t>
        </is>
      </c>
      <c r="G218" s="4" t="n"/>
      <c r="H218" s="4" t="n"/>
      <c r="I218" s="13" t="inlineStr">
        <is>
          <t>chưa có nhãn — sơ đồ MX chưa ghi nhãn cho các core này</t>
        </is>
      </c>
      <c r="J218" s="4" t="inlineStr">
        <is>
          <t>rẽ qua sông; chưa có nhãn</t>
        </is>
      </c>
    </row>
    <row r="219">
      <c r="A219" s="4" t="inlineStr">
        <is>
          <t>R5-01</t>
        </is>
      </c>
      <c r="B219" s="4" t="n">
        <v>10</v>
      </c>
      <c r="C219" s="20" t="inlineStr">
        <is>
          <t>cáp</t>
        </is>
      </c>
      <c r="D219" s="4" t="inlineStr">
        <is>
          <t>4FO MX_DST → MX băng sông 2</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3" t="inlineStr">
        <is>
          <t>măng xông</t>
        </is>
      </c>
      <c r="D220" s="4" t="inlineStr">
        <is>
          <t>MX băng sông 2</t>
        </is>
      </c>
      <c r="E220" s="4" t="inlineStr"/>
      <c r="F220" s="4" t="inlineStr">
        <is>
          <t>1+2 ↔ 1+2</t>
        </is>
      </c>
      <c r="G220" s="4" t="n"/>
      <c r="H220" s="4" t="n"/>
      <c r="I220" s="13" t="inlineStr">
        <is>
          <t>chưa có nhãn — sơ đồ MX chưa ghi nhãn cho các core này</t>
        </is>
      </c>
      <c r="J220" s="4" t="inlineStr">
        <is>
          <t>giả định core 1,2 trên cáp 48FO</t>
        </is>
      </c>
    </row>
    <row r="221">
      <c r="A221" s="4" t="inlineStr">
        <is>
          <t>R5-01</t>
        </is>
      </c>
      <c r="B221" s="4" t="n">
        <v>12</v>
      </c>
      <c r="C221" s="20" t="inlineStr">
        <is>
          <t>cáp</t>
        </is>
      </c>
      <c r="D221" s="4" t="inlineStr">
        <is>
          <t>48FO băng sông 2 → băng sông 1</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3" t="inlineStr">
        <is>
          <t>măng xông</t>
        </is>
      </c>
      <c r="D222" s="4" t="inlineStr">
        <is>
          <t>MX băng sông 1</t>
        </is>
      </c>
      <c r="E222" s="4" t="inlineStr"/>
      <c r="F222" s="4" t="inlineStr">
        <is>
          <t>1+2 ↔ 1+2</t>
        </is>
      </c>
      <c r="G222" s="4" t="n"/>
      <c r="H222" s="4" t="n"/>
      <c r="I222" s="13" t="inlineStr">
        <is>
          <t>chưa có nhãn — sơ đồ MX chưa ghi nhãn cho các core này</t>
        </is>
      </c>
      <c r="J222" s="4" t="inlineStr"/>
    </row>
    <row r="223">
      <c r="A223" s="4" t="inlineStr">
        <is>
          <t>R5-01</t>
        </is>
      </c>
      <c r="B223" s="4" t="n">
        <v>14</v>
      </c>
      <c r="C223" s="20" t="inlineStr">
        <is>
          <t>cáp</t>
        </is>
      </c>
      <c r="D223" s="4" t="inlineStr">
        <is>
          <t>FOCAL 2020 băng sông 1 → HNB012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20"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20"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20" t="inlineStr">
        <is>
          <t>cáp</t>
        </is>
      </c>
      <c r="D226" s="4" t="inlineStr">
        <is>
          <t>Fiber 6/2007 HNB012 → MX_PHẠM HÙNG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3" t="inlineStr">
        <is>
          <t>măng xông</t>
        </is>
      </c>
      <c r="D227" s="4" t="inlineStr">
        <is>
          <t>MX_PHẠM HÙNG</t>
        </is>
      </c>
      <c r="E227" s="4" t="inlineStr"/>
      <c r="F227" s="4" t="inlineStr">
        <is>
          <t>1+2 ↔ 1+2</t>
        </is>
      </c>
      <c r="G227" s="4" t="n"/>
      <c r="H227" s="4" t="n"/>
      <c r="I227" s="11" t="inlineStr">
        <is>
          <t>khớp sơ đồ — nhãn A</t>
        </is>
      </c>
      <c r="J227" s="4" t="inlineStr">
        <is>
          <t>nhãn A (sơ đồ MX)</t>
        </is>
      </c>
    </row>
    <row r="228">
      <c r="A228" s="4" t="inlineStr">
        <is>
          <t>R5-02</t>
        </is>
      </c>
      <c r="B228" s="4" t="n">
        <v>4</v>
      </c>
      <c r="C228" s="20" t="inlineStr">
        <is>
          <t>cáp</t>
        </is>
      </c>
      <c r="D228" s="4" t="inlineStr">
        <is>
          <t>FOCAL MX_PHẠM HÙNG → MX thẳng Phạm Hùng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3" t="inlineStr">
        <is>
          <t>măng xông</t>
        </is>
      </c>
      <c r="D229" s="4" t="inlineStr">
        <is>
          <t>MX thẳng Phạm Hùng</t>
        </is>
      </c>
      <c r="E229" s="4" t="inlineStr"/>
      <c r="F229" s="4" t="inlineStr">
        <is>
          <t>1+2 ↔ 1+2</t>
        </is>
      </c>
      <c r="G229" s="4" t="n"/>
      <c r="H229" s="4" t="n"/>
      <c r="I229" s="13" t="inlineStr">
        <is>
          <t>chưa có nhãn — sơ đồ MX chưa ghi nhãn cho các core này</t>
        </is>
      </c>
      <c r="J229" s="4" t="inlineStr"/>
    </row>
    <row r="230">
      <c r="A230" s="4" t="inlineStr">
        <is>
          <t>R5-02</t>
        </is>
      </c>
      <c r="B230" s="4" t="n">
        <v>6</v>
      </c>
      <c r="C230" s="20" t="inlineStr">
        <is>
          <t>cáp</t>
        </is>
      </c>
      <c r="D230" s="4" t="inlineStr">
        <is>
          <t>FOCAL MX thẳng Phạm Hùng → MX cầu NVL 2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3" t="inlineStr">
        <is>
          <t>măng xông</t>
        </is>
      </c>
      <c r="D231" s="4" t="inlineStr">
        <is>
          <t>MX cầu NVL 2</t>
        </is>
      </c>
      <c r="E231" s="4" t="inlineStr"/>
      <c r="F231" s="4" t="inlineStr">
        <is>
          <t>1+2 ↔ 1+2</t>
        </is>
      </c>
      <c r="G231" s="4" t="n"/>
      <c r="H231" s="4" t="n"/>
      <c r="I231" s="13" t="inlineStr">
        <is>
          <t>chưa có nhãn — sơ đồ MX chưa ghi nhãn cho các core này</t>
        </is>
      </c>
      <c r="J231" s="4" t="inlineStr"/>
    </row>
    <row r="232">
      <c r="A232" s="4" t="inlineStr">
        <is>
          <t>R5-02</t>
        </is>
      </c>
      <c r="B232" s="4" t="n">
        <v>8</v>
      </c>
      <c r="C232" s="20" t="inlineStr">
        <is>
          <t>cáp</t>
        </is>
      </c>
      <c r="D232" s="4" t="inlineStr">
        <is>
          <t>FOCAL MX cầu NVL 2 → MX cầu NVL 1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3" t="inlineStr">
        <is>
          <t>măng xông</t>
        </is>
      </c>
      <c r="D233" s="4" t="inlineStr">
        <is>
          <t>MX cầu NVL 1</t>
        </is>
      </c>
      <c r="E233" s="4" t="inlineStr"/>
      <c r="F233" s="4" t="inlineStr">
        <is>
          <t>1+2 ↔ 1+2</t>
        </is>
      </c>
      <c r="G233" s="4" t="n"/>
      <c r="H233" s="4" t="n"/>
      <c r="I233" s="13" t="inlineStr">
        <is>
          <t>chưa có nhãn — sơ đồ MX chưa ghi nhãn cho các core này</t>
        </is>
      </c>
      <c r="J233" s="4" t="inlineStr"/>
    </row>
    <row r="234">
      <c r="A234" s="4" t="inlineStr">
        <is>
          <t>R5-02</t>
        </is>
      </c>
      <c r="B234" s="4" t="n">
        <v>10</v>
      </c>
      <c r="C234" s="20" t="inlineStr">
        <is>
          <t>cáp</t>
        </is>
      </c>
      <c r="D234" s="4" t="inlineStr">
        <is>
          <t>FOCAL MX cầu NVL 1 → HNB014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20"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20"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20" t="inlineStr">
        <is>
          <t>cáp</t>
        </is>
      </c>
      <c r="D237" s="4" t="inlineStr">
        <is>
          <t>FOCAL 2020 HNB014 ↔ HNB075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20"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20"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20" t="inlineStr">
        <is>
          <t>cáp</t>
        </is>
      </c>
      <c r="D240" s="4" t="inlineStr">
        <is>
          <t>focal 8fo 10/2014 MX thẳng LVL-01/075 → HNB075</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3" t="inlineStr">
        <is>
          <t>măng xông</t>
        </is>
      </c>
      <c r="D241" s="4" t="inlineStr">
        <is>
          <t>MX thẳng LVL-01/075</t>
        </is>
      </c>
      <c r="E241" s="4" t="inlineStr"/>
      <c r="F241" s="4" t="inlineStr">
        <is>
          <t>1+2 ↔ 1+2</t>
        </is>
      </c>
      <c r="G241" s="4" t="n"/>
      <c r="H241" s="4" t="n"/>
      <c r="I241" s="13" t="inlineStr">
        <is>
          <t>chưa có nhãn — sơ đồ MX chưa ghi nhãn cho các core này</t>
        </is>
      </c>
      <c r="J241" s="4" t="inlineStr">
        <is>
          <t>MX thẳng</t>
        </is>
      </c>
    </row>
    <row r="242">
      <c r="A242" s="4" t="inlineStr">
        <is>
          <t>R5-04</t>
        </is>
      </c>
      <c r="B242" s="4" t="n">
        <v>4</v>
      </c>
      <c r="C242" s="20" t="inlineStr">
        <is>
          <t>cáp</t>
        </is>
      </c>
      <c r="D242" s="4" t="inlineStr">
        <is>
          <t>FOCAL 8FO LVL-01 → MX thẳng → HNB075 (945 m)</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3" t="inlineStr">
        <is>
          <t>măng xông</t>
        </is>
      </c>
      <c r="D243" s="4" t="inlineStr">
        <is>
          <t>MX_LVL-01</t>
        </is>
      </c>
      <c r="E243" s="4" t="inlineStr"/>
      <c r="F243" s="4" t="inlineStr">
        <is>
          <t>1+2 ↔ 1+2</t>
        </is>
      </c>
      <c r="G243" s="4" t="n"/>
      <c r="H243" s="4" t="n"/>
      <c r="I243" s="11" t="inlineStr">
        <is>
          <t>khớp sơ đồ — nhãn C</t>
        </is>
      </c>
      <c r="J243" s="4" t="inlineStr">
        <is>
          <t>nhãn C (sơ đồ MX)</t>
        </is>
      </c>
    </row>
    <row r="244">
      <c r="A244" s="4" t="inlineStr">
        <is>
          <t>R5-04</t>
        </is>
      </c>
      <c r="B244" s="4" t="n">
        <v>6</v>
      </c>
      <c r="C244" s="20" t="inlineStr">
        <is>
          <t>cáp</t>
        </is>
      </c>
      <c r="D244" s="4" t="inlineStr">
        <is>
          <t>FOCAL 2013 LVL-02 → LVL-01</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3" t="inlineStr">
        <is>
          <t>măng xông</t>
        </is>
      </c>
      <c r="D245" s="4" t="inlineStr">
        <is>
          <t>MX_LVL-02</t>
        </is>
      </c>
      <c r="E245" s="4" t="inlineStr"/>
      <c r="F245" s="4" t="inlineStr">
        <is>
          <t>1+2 ↔ 1+2</t>
        </is>
      </c>
      <c r="G245" s="4" t="n"/>
      <c r="H245" s="4" t="n"/>
      <c r="I245" s="11" t="inlineStr">
        <is>
          <t>khớp sơ đồ — nhãn A</t>
        </is>
      </c>
      <c r="J245" s="4" t="inlineStr">
        <is>
          <t>nhãn A</t>
        </is>
      </c>
    </row>
    <row r="246">
      <c r="A246" s="4" t="inlineStr">
        <is>
          <t>R5-04</t>
        </is>
      </c>
      <c r="B246" s="4" t="n">
        <v>8</v>
      </c>
      <c r="C246" s="20" t="inlineStr">
        <is>
          <t>cáp</t>
        </is>
      </c>
      <c r="D246" s="4" t="inlineStr">
        <is>
          <t>SACOM 1/2015 MX thẳng (đi LVL) → LVL-02</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3" t="inlineStr">
        <is>
          <t>măng xông</t>
        </is>
      </c>
      <c r="D247" s="4" t="inlineStr">
        <is>
          <t>MX thẳng đi LVL</t>
        </is>
      </c>
      <c r="E247" s="4" t="inlineStr"/>
      <c r="F247" s="4" t="inlineStr">
        <is>
          <t>1+2 ↔ 1+2</t>
        </is>
      </c>
      <c r="G247" s="4" t="n"/>
      <c r="H247" s="4" t="n"/>
      <c r="I247" s="13" t="inlineStr">
        <is>
          <t>chưa có nhãn — sơ đồ MX chưa ghi nhãn cho các core này</t>
        </is>
      </c>
      <c r="J247" s="4" t="inlineStr">
        <is>
          <t>MX thẳng</t>
        </is>
      </c>
    </row>
    <row r="248">
      <c r="A248" s="4" t="inlineStr">
        <is>
          <t>R5-04</t>
        </is>
      </c>
      <c r="B248" s="4" t="n">
        <v>10</v>
      </c>
      <c r="C248" s="20" t="inlineStr">
        <is>
          <t>cáp</t>
        </is>
      </c>
      <c r="D248" s="4" t="inlineStr">
        <is>
          <t>VINA-OFC 2016 LVL-03 → MX thẳng (đi LVL)</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3" t="inlineStr">
        <is>
          <t>măng xông</t>
        </is>
      </c>
      <c r="D249" s="4" t="inlineStr">
        <is>
          <t>MX_LVL-03</t>
        </is>
      </c>
      <c r="E249" s="4" t="inlineStr"/>
      <c r="F249" s="4" t="inlineStr">
        <is>
          <t>1+2 ↔ 1+2</t>
        </is>
      </c>
      <c r="G249" s="4" t="n"/>
      <c r="H249" s="4" t="n"/>
      <c r="I249" s="11" t="inlineStr">
        <is>
          <t>khớp sơ đồ — nhãn B</t>
        </is>
      </c>
      <c r="J249" s="4" t="inlineStr">
        <is>
          <t>nhãn B</t>
        </is>
      </c>
    </row>
    <row r="250">
      <c r="A250" s="4" t="inlineStr">
        <is>
          <t>R5-04</t>
        </is>
      </c>
      <c r="B250" s="4" t="n">
        <v>12</v>
      </c>
      <c r="C250" s="20" t="inlineStr">
        <is>
          <t>cáp</t>
        </is>
      </c>
      <c r="D250" s="4" t="inlineStr">
        <is>
          <t>POSTEF 9/2019 LVL-03 → HTP-01 (cầu Phú Xuân 2)</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3" t="inlineStr">
        <is>
          <t>măng xông</t>
        </is>
      </c>
      <c r="D251" s="4" t="inlineStr">
        <is>
          <t>MX_HTP-01</t>
        </is>
      </c>
      <c r="E251" s="4" t="inlineStr"/>
      <c r="F251" s="4" t="inlineStr">
        <is>
          <t>1+2 ↔ 1+2</t>
        </is>
      </c>
      <c r="G251" s="4" t="n"/>
      <c r="H251" s="4" t="n"/>
      <c r="I251" s="11" t="inlineStr">
        <is>
          <t>khớp sơ đồ — nhãn A</t>
        </is>
      </c>
      <c r="J251" s="4" t="inlineStr">
        <is>
          <t>nhãn A</t>
        </is>
      </c>
    </row>
    <row r="252">
      <c r="A252" s="4" t="inlineStr">
        <is>
          <t>R5-04</t>
        </is>
      </c>
      <c r="B252" s="4" t="n">
        <v>14</v>
      </c>
      <c r="C252" s="20" t="inlineStr">
        <is>
          <t>cáp</t>
        </is>
      </c>
      <c r="D252" s="4" t="inlineStr">
        <is>
          <t>12FO HTP-01 → HTP-02</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3" t="inlineStr">
        <is>
          <t>măng xông</t>
        </is>
      </c>
      <c r="D253" s="4" t="inlineStr">
        <is>
          <t>MX_HTP-02</t>
        </is>
      </c>
      <c r="E253" s="4" t="inlineStr"/>
      <c r="F253" s="4" t="inlineStr">
        <is>
          <t>1+2 ↔ 1+2</t>
        </is>
      </c>
      <c r="G253" s="4" t="n"/>
      <c r="H253" s="4" t="n"/>
      <c r="I253" s="11" t="inlineStr">
        <is>
          <t>khớp sơ đồ — nhãn A</t>
        </is>
      </c>
      <c r="J253" s="4" t="inlineStr">
        <is>
          <t>nhãn A</t>
        </is>
      </c>
    </row>
    <row r="254">
      <c r="A254" s="4" t="inlineStr">
        <is>
          <t>R5-04</t>
        </is>
      </c>
      <c r="B254" s="4" t="n">
        <v>16</v>
      </c>
      <c r="C254" s="20" t="inlineStr">
        <is>
          <t>cáp</t>
        </is>
      </c>
      <c r="D254" s="4" t="inlineStr">
        <is>
          <t>FOCAL 12FO HTP-02 → HTP-03A</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3" t="inlineStr">
        <is>
          <t>măng xông</t>
        </is>
      </c>
      <c r="D255" s="4" t="inlineStr">
        <is>
          <t>MX_HTP-03A</t>
        </is>
      </c>
      <c r="E255" s="4" t="inlineStr"/>
      <c r="F255" s="4" t="inlineStr">
        <is>
          <t>1+2 ↔ 1+2</t>
        </is>
      </c>
      <c r="G255" s="4" t="n"/>
      <c r="H255" s="4" t="n"/>
      <c r="I255" s="11" t="inlineStr">
        <is>
          <t>khớp sơ đồ — nhãn A</t>
        </is>
      </c>
      <c r="J255" s="4" t="inlineStr">
        <is>
          <t>nhãn A</t>
        </is>
      </c>
    </row>
    <row r="256">
      <c r="A256" s="4" t="inlineStr">
        <is>
          <t>R5-04</t>
        </is>
      </c>
      <c r="B256" s="4" t="n">
        <v>18</v>
      </c>
      <c r="C256" s="20" t="inlineStr">
        <is>
          <t>cáp</t>
        </is>
      </c>
      <c r="D256" s="4" t="inlineStr">
        <is>
          <t>POSTEF 24FO nhập đài (cs 1570→1816) → ODF-01 NBE22</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20"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20"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20" t="inlineStr">
        <is>
          <t>cáp</t>
        </is>
      </c>
      <c r="D259" s="4" t="inlineStr">
        <is>
          <t>POSTEF 11/2016 (ODF-01 hướng NB)</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3" t="inlineStr">
        <is>
          <t>măng xông</t>
        </is>
      </c>
      <c r="D260" s="4" t="inlineStr">
        <is>
          <t>MX_NB-01</t>
        </is>
      </c>
      <c r="E260" s="4" t="inlineStr"/>
      <c r="F260" s="4" t="inlineStr">
        <is>
          <t>19+20 ↔ 7+8</t>
        </is>
      </c>
      <c r="G260" s="4" t="n"/>
      <c r="H260" s="4" t="n"/>
      <c r="I260" s="11" t="inlineStr">
        <is>
          <t>khớp sơ đồ — nhãn C</t>
        </is>
      </c>
      <c r="J260" s="4" t="inlineStr">
        <is>
          <t>sơ đồ MX: nhãn C, trạm HNB086 ở core 19,20</t>
        </is>
      </c>
    </row>
    <row r="261">
      <c r="A261" s="4" t="inlineStr">
        <is>
          <t>R6-01</t>
        </is>
      </c>
      <c r="B261" s="4" t="n">
        <v>4</v>
      </c>
      <c r="C261" s="20" t="inlineStr">
        <is>
          <t>cáp</t>
        </is>
      </c>
      <c r="D261" s="4" t="inlineStr">
        <is>
          <t>12FO NB-01 → NB-02</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3" t="inlineStr">
        <is>
          <t>măng xông</t>
        </is>
      </c>
      <c r="D262" s="4" t="inlineStr">
        <is>
          <t>MX_NB-02</t>
        </is>
      </c>
      <c r="E262" s="4" t="inlineStr"/>
      <c r="F262" s="4" t="inlineStr">
        <is>
          <t>7+8 ↔ 1+2</t>
        </is>
      </c>
      <c r="G262" s="4" t="n"/>
      <c r="H262" s="4" t="n"/>
      <c r="I262" s="13" t="inlineStr">
        <is>
          <t>chưa có nhãn — sơ đồ MX chưa ghi nhãn cho các core này</t>
        </is>
      </c>
      <c r="J262" s="4" t="inlineStr">
        <is>
          <t>hàn vào 6FO số 1 đi HNB086</t>
        </is>
      </c>
    </row>
    <row r="263">
      <c r="A263" s="4" t="inlineStr">
        <is>
          <t>R6-01</t>
        </is>
      </c>
      <c r="B263" s="4" t="n">
        <v>6</v>
      </c>
      <c r="C263" s="20" t="inlineStr">
        <is>
          <t>cáp</t>
        </is>
      </c>
      <c r="D263" s="4" t="inlineStr">
        <is>
          <t>FOCAL 2020 NB-02 → HNB086 (6FO số 1)</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20"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20"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20" t="inlineStr">
        <is>
          <t>cáp</t>
        </is>
      </c>
      <c r="D266" s="4" t="inlineStr">
        <is>
          <t>FOCAL 2020 HNB086 → HNB024 (6FO số 2)</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20"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20"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20" t="inlineStr">
        <is>
          <t>cáp</t>
        </is>
      </c>
      <c r="D269" s="4" t="inlineStr">
        <is>
          <t>FOCAL 2020 HNB024 → HNB027 (6FO số 3)</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20"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20"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20" t="inlineStr">
        <is>
          <t>cáp</t>
        </is>
      </c>
      <c r="D272" s="4" t="inlineStr">
        <is>
          <t>FOCAL 2020 HNB027 → NB-03 (6FO số 4)</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3" t="inlineStr">
        <is>
          <t>măng xông</t>
        </is>
      </c>
      <c r="D273" s="4" t="inlineStr">
        <is>
          <t>MX_NB-03</t>
        </is>
      </c>
      <c r="E273" s="4" t="inlineStr"/>
      <c r="F273" s="4" t="inlineStr">
        <is>
          <t>1+2 ↔ 7+8</t>
        </is>
      </c>
      <c r="G273" s="4" t="n"/>
      <c r="H273" s="4" t="n"/>
      <c r="I273" s="13" t="inlineStr">
        <is>
          <t>chưa có nhãn — sơ đồ MX chưa ghi nhãn cho các core này</t>
        </is>
      </c>
      <c r="J273" s="4" t="inlineStr">
        <is>
          <t>1,2 hàn 7,8 đi NB-04</t>
        </is>
      </c>
    </row>
    <row r="274">
      <c r="A274" s="4" t="inlineStr">
        <is>
          <t>R6-04</t>
        </is>
      </c>
      <c r="B274" s="4" t="n">
        <v>4</v>
      </c>
      <c r="C274" s="20" t="inlineStr">
        <is>
          <t>cáp</t>
        </is>
      </c>
      <c r="D274" s="4" t="inlineStr">
        <is>
          <t>12FO NB-03 → NB-04</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3" t="inlineStr">
        <is>
          <t>măng xông</t>
        </is>
      </c>
      <c r="D275" s="4" t="inlineStr">
        <is>
          <t>MX_NB-04</t>
        </is>
      </c>
      <c r="E275" s="4" t="inlineStr"/>
      <c r="F275" s="4" t="inlineStr">
        <is>
          <t>7+8 ↔ 1+2</t>
        </is>
      </c>
      <c r="G275" s="4" t="n"/>
      <c r="H275" s="4" t="n"/>
      <c r="I275" s="13" t="inlineStr">
        <is>
          <t>chưa có nhãn — sơ đồ MX chưa ghi nhãn cho các core này</t>
        </is>
      </c>
      <c r="J275" s="4" t="inlineStr">
        <is>
          <t>7,8 hàn 1,2 sợi 6FO đi HNB031</t>
        </is>
      </c>
    </row>
    <row r="276">
      <c r="A276" s="4" t="inlineStr">
        <is>
          <t>R6-04</t>
        </is>
      </c>
      <c r="B276" s="4" t="n">
        <v>6</v>
      </c>
      <c r="C276" s="20" t="inlineStr">
        <is>
          <t>cáp</t>
        </is>
      </c>
      <c r="D276" s="4" t="inlineStr">
        <is>
          <t>FOCAL 2020 NB-04 → HNB031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20"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20"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20" t="inlineStr">
        <is>
          <t>cáp</t>
        </is>
      </c>
      <c r="D279" s="4" t="inlineStr">
        <is>
          <t>FOCAL 2020 HNB031 → HNB020 (6FO thứ 2)</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20"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20"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20" t="inlineStr">
        <is>
          <t>cáp</t>
        </is>
      </c>
      <c r="D282" s="4" t="inlineStr">
        <is>
          <t>FOCAL 2020 HNB020 → NB-04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3" t="inlineStr">
        <is>
          <t>măng xông</t>
        </is>
      </c>
      <c r="D283" s="4" t="inlineStr">
        <is>
          <t>MX_NB-04</t>
        </is>
      </c>
      <c r="E283" s="4" t="inlineStr"/>
      <c r="F283" s="4" t="inlineStr">
        <is>
          <t>1+2 ↔ 7+8</t>
        </is>
      </c>
      <c r="G283" s="4" t="n"/>
      <c r="H283" s="4" t="n"/>
      <c r="I283" s="13" t="inlineStr">
        <is>
          <t>chưa có nhãn — sơ đồ MX chưa ghi nhãn cho các core này</t>
        </is>
      </c>
      <c r="J283" s="4" t="inlineStr">
        <is>
          <t>1,2 từ HNB020 hàn 7,8 sợi 12FO về HTP-03B</t>
        </is>
      </c>
    </row>
    <row r="284">
      <c r="A284" s="4" t="inlineStr">
        <is>
          <t>R6-06</t>
        </is>
      </c>
      <c r="B284" s="4" t="n">
        <v>4</v>
      </c>
      <c r="C284" s="20" t="inlineStr">
        <is>
          <t>cáp</t>
        </is>
      </c>
      <c r="D284" s="4" t="inlineStr">
        <is>
          <t>12FO NB-04 → MX thẳng HTP</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3" t="inlineStr">
        <is>
          <t>măng xông</t>
        </is>
      </c>
      <c r="D285" s="4" t="inlineStr">
        <is>
          <t>MX thẳng HTP</t>
        </is>
      </c>
      <c r="E285" s="4" t="inlineStr"/>
      <c r="F285" s="4" t="inlineStr">
        <is>
          <t>7+8 ↔ 7+8</t>
        </is>
      </c>
      <c r="G285" s="4" t="n"/>
      <c r="H285" s="4" t="n"/>
      <c r="I285" s="13" t="inlineStr">
        <is>
          <t>chưa có nhãn — sơ đồ MX chưa ghi nhãn cho các core này</t>
        </is>
      </c>
      <c r="J285" s="4" t="inlineStr">
        <is>
          <t>MX thẳng nối dài</t>
        </is>
      </c>
    </row>
    <row r="286">
      <c r="A286" s="4" t="inlineStr">
        <is>
          <t>R6-06</t>
        </is>
      </c>
      <c r="B286" s="4" t="n">
        <v>6</v>
      </c>
      <c r="C286" s="20" t="inlineStr">
        <is>
          <t>cáp</t>
        </is>
      </c>
      <c r="D286" s="4" t="inlineStr">
        <is>
          <t>12FO MX thẳng HTP → HTP-03B</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3" t="inlineStr">
        <is>
          <t>măng xông</t>
        </is>
      </c>
      <c r="D287" s="4" t="inlineStr">
        <is>
          <t>MX_HTP-03B</t>
        </is>
      </c>
      <c r="E287" s="4" t="inlineStr"/>
      <c r="F287" s="4" t="inlineStr">
        <is>
          <t>7+8 ↔ 7+8</t>
        </is>
      </c>
      <c r="G287" s="4" t="n"/>
      <c r="H287" s="4" t="n"/>
      <c r="I287" s="13" t="inlineStr">
        <is>
          <t>chưa có nhãn — sơ đồ MX chưa ghi nhãn cho các core này</t>
        </is>
      </c>
      <c r="J287" s="4" t="inlineStr">
        <is>
          <t>hàn thẳng 7,8 lên ODF-02</t>
        </is>
      </c>
    </row>
    <row r="288">
      <c r="A288" s="4" t="inlineStr">
        <is>
          <t>R6-06</t>
        </is>
      </c>
      <c r="B288" s="4" t="n">
        <v>8</v>
      </c>
      <c r="C288" s="20" t="inlineStr">
        <is>
          <t>cáp</t>
        </is>
      </c>
      <c r="D288" s="4" t="inlineStr">
        <is>
          <t>POSTEF 24FO nhập đài (cs 1550→1288)</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20"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20"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20" t="inlineStr">
        <is>
          <t>cáp</t>
        </is>
      </c>
      <c r="D291" s="4" t="inlineStr">
        <is>
          <t>ADSS 9/2009</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3" t="inlineStr">
        <is>
          <t>măng xông</t>
        </is>
      </c>
      <c r="D292" s="4" t="inlineStr">
        <is>
          <t>MX nhập đài Long Thới–NVT</t>
        </is>
      </c>
      <c r="E292" s="4" t="inlineStr"/>
      <c r="F292" s="4" t="inlineStr">
        <is>
          <t>11+12 ↔ 11+12</t>
        </is>
      </c>
      <c r="G292" s="4" t="n"/>
      <c r="H292" s="4" t="n"/>
      <c r="I292" s="13" t="inlineStr">
        <is>
          <t>chưa có nhãn — sơ đồ MX chưa ghi nhãn cho các core này</t>
        </is>
      </c>
      <c r="J292" s="4" t="inlineStr"/>
    </row>
    <row r="293">
      <c r="A293" s="4" t="inlineStr">
        <is>
          <t>R7-01</t>
        </is>
      </c>
      <c r="B293" s="4" t="n">
        <v>4</v>
      </c>
      <c r="C293" s="20" t="inlineStr">
        <is>
          <t>cáp</t>
        </is>
      </c>
      <c r="D293" s="4" t="inlineStr">
        <is>
          <t>SACOM 8/2014</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3" t="inlineStr">
        <is>
          <t>măng xông</t>
        </is>
      </c>
      <c r="D294" s="4" t="inlineStr">
        <is>
          <t>MX_NVT_01</t>
        </is>
      </c>
      <c r="E294" s="4" t="inlineStr"/>
      <c r="F294" s="4" t="inlineStr">
        <is>
          <t>11+12 ↔ 11+12</t>
        </is>
      </c>
      <c r="G294" s="4" t="n"/>
      <c r="H294" s="4" t="n"/>
      <c r="I294" s="13" t="inlineStr">
        <is>
          <t>chưa có nhãn — sơ đồ MX chưa ghi nhãn cho các core này</t>
        </is>
      </c>
      <c r="J294" s="4" t="inlineStr">
        <is>
          <t>MX chân cầu vượt, chưa có nhãn</t>
        </is>
      </c>
    </row>
    <row r="295">
      <c r="A295" s="4" t="inlineStr">
        <is>
          <t>R7-01</t>
        </is>
      </c>
      <c r="B295" s="4" t="n">
        <v>6</v>
      </c>
      <c r="C295" s="20" t="inlineStr">
        <is>
          <t>cáp</t>
        </is>
      </c>
      <c r="D295" s="4" t="inlineStr">
        <is>
          <t>FOCAL 9/2020 trục (gồm 175 m ngầm)</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3" t="inlineStr">
        <is>
          <t>măng xông</t>
        </is>
      </c>
      <c r="D296" s="4" t="inlineStr">
        <is>
          <t>MX_NVT_02A</t>
        </is>
      </c>
      <c r="E296" s="4" t="inlineStr"/>
      <c r="F296" s="4" t="inlineStr">
        <is>
          <t>11+12 ↔ 5+6</t>
        </is>
      </c>
      <c r="G296" s="4" t="n"/>
      <c r="H296" s="4" t="n"/>
      <c r="I296" s="11" t="inlineStr">
        <is>
          <t>khớp sơ đồ — nhãn C</t>
        </is>
      </c>
      <c r="J296" s="4" t="inlineStr">
        <is>
          <t>nhãn C (sơ đồ MX)</t>
        </is>
      </c>
    </row>
    <row r="297">
      <c r="A297" s="4" t="inlineStr">
        <is>
          <t>R7-01</t>
        </is>
      </c>
      <c r="B297" s="4" t="n">
        <v>8</v>
      </c>
      <c r="C297" s="20" t="inlineStr">
        <is>
          <t>cáp</t>
        </is>
      </c>
      <c r="D297" s="4" t="inlineStr">
        <is>
          <t>8FO chéo đường NVT_02A ↔ NVT_02B</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3" t="inlineStr">
        <is>
          <t>măng xông</t>
        </is>
      </c>
      <c r="D298" s="4" t="inlineStr">
        <is>
          <t>MX_NVT_02B</t>
        </is>
      </c>
      <c r="E298" s="4" t="inlineStr"/>
      <c r="F298" s="4" t="inlineStr">
        <is>
          <t>5+6 ↔ 11+12</t>
        </is>
      </c>
      <c r="G298" s="4" t="n"/>
      <c r="H298" s="4" t="n"/>
      <c r="I298" s="11" t="inlineStr">
        <is>
          <t>khớp sơ đồ — nhãn C</t>
        </is>
      </c>
      <c r="J298" s="4" t="inlineStr">
        <is>
          <t>qua đường sang lề phải</t>
        </is>
      </c>
    </row>
    <row r="299">
      <c r="A299" s="4" t="inlineStr">
        <is>
          <t>R7-01</t>
        </is>
      </c>
      <c r="B299" s="4" t="n">
        <v>10</v>
      </c>
      <c r="C299" s="20" t="inlineStr">
        <is>
          <t>cáp</t>
        </is>
      </c>
      <c r="D299" s="4" t="inlineStr">
        <is>
          <t>TPKL 12FO trục NVT_02B → LVL-05 (qua MX thẳng nối dài)</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3" t="inlineStr">
        <is>
          <t>măng xông</t>
        </is>
      </c>
      <c r="D300" s="4" t="inlineStr">
        <is>
          <t>MX_LVL-05</t>
        </is>
      </c>
      <c r="E300" s="4" t="inlineStr"/>
      <c r="F300" s="4" t="inlineStr">
        <is>
          <t>11+12 ↔ 5+6</t>
        </is>
      </c>
      <c r="G300" s="4" t="n"/>
      <c r="H300" s="4" t="n"/>
      <c r="I300" s="11" t="inlineStr">
        <is>
          <t>khớp sơ đồ — nhãn C</t>
        </is>
      </c>
      <c r="J300" s="4" t="inlineStr"/>
    </row>
    <row r="301">
      <c r="A301" s="4" t="inlineStr">
        <is>
          <t>R7-01</t>
        </is>
      </c>
      <c r="B301" s="4" t="n">
        <v>12</v>
      </c>
      <c r="C301" s="20" t="inlineStr">
        <is>
          <t>cáp</t>
        </is>
      </c>
      <c r="D301" s="4" t="inlineStr">
        <is>
          <t>12FO LVL-05 → LVL-04</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3" t="inlineStr">
        <is>
          <t>măng xông</t>
        </is>
      </c>
      <c r="D302" s="4" t="inlineStr">
        <is>
          <t>MX_LVL-04</t>
        </is>
      </c>
      <c r="E302" s="4" t="inlineStr"/>
      <c r="F302" s="4" t="inlineStr">
        <is>
          <t>5+6 ↔ 5+6</t>
        </is>
      </c>
      <c r="G302" s="4" t="n"/>
      <c r="H302" s="4" t="n"/>
      <c r="I302" s="11" t="inlineStr">
        <is>
          <t>khớp sơ đồ — nhãn A</t>
        </is>
      </c>
      <c r="J302" s="4" t="inlineStr"/>
    </row>
    <row r="303">
      <c r="A303" s="4" t="inlineStr">
        <is>
          <t>R7-01</t>
        </is>
      </c>
      <c r="B303" s="4" t="n">
        <v>14</v>
      </c>
      <c r="C303" s="20" t="inlineStr">
        <is>
          <t>cáp</t>
        </is>
      </c>
      <c r="D303" s="4" t="inlineStr">
        <is>
          <t>SAMTEL 3/2015 LVL-04 → LVL-03</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3" t="inlineStr">
        <is>
          <t>măng xông</t>
        </is>
      </c>
      <c r="D304" s="4" t="inlineStr">
        <is>
          <t>MX_LVL-03</t>
        </is>
      </c>
      <c r="E304" s="4" t="inlineStr"/>
      <c r="F304" s="4" t="inlineStr">
        <is>
          <t>5+6 ↔ 11+12</t>
        </is>
      </c>
      <c r="G304" s="4" t="n"/>
      <c r="H304" s="4" t="n"/>
      <c r="I304" s="11" t="inlineStr">
        <is>
          <t>khớp sơ đồ — nhãn A</t>
        </is>
      </c>
      <c r="J304" s="4" t="inlineStr"/>
    </row>
    <row r="305">
      <c r="A305" s="4" t="inlineStr">
        <is>
          <t>R7-01</t>
        </is>
      </c>
      <c r="B305" s="4" t="n">
        <v>16</v>
      </c>
      <c r="C305" s="20" t="inlineStr">
        <is>
          <t>cáp</t>
        </is>
      </c>
      <c r="D305" s="4" t="inlineStr">
        <is>
          <t>POSTEF 9/2019 LVL-03 → HTP-01 (cầu Phú Xuân 2)</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3" t="inlineStr">
        <is>
          <t>măng xông</t>
        </is>
      </c>
      <c r="D306" s="4" t="inlineStr">
        <is>
          <t>MX_HTP-01</t>
        </is>
      </c>
      <c r="E306" s="4" t="inlineStr"/>
      <c r="F306" s="4" t="inlineStr">
        <is>
          <t>11+12 ↔ 11+12</t>
        </is>
      </c>
      <c r="G306" s="4" t="n"/>
      <c r="H306" s="4" t="n"/>
      <c r="I306" s="11" t="inlineStr">
        <is>
          <t>khớp sơ đồ — nhãn A</t>
        </is>
      </c>
      <c r="J306" s="4" t="inlineStr">
        <is>
          <t>nhãn A (sơ đồ MX)</t>
        </is>
      </c>
    </row>
    <row r="307">
      <c r="A307" s="4" t="inlineStr">
        <is>
          <t>R7-01</t>
        </is>
      </c>
      <c r="B307" s="4" t="n">
        <v>18</v>
      </c>
      <c r="C307" s="20" t="inlineStr">
        <is>
          <t>cáp</t>
        </is>
      </c>
      <c r="D307" s="4" t="inlineStr">
        <is>
          <t>12FO HTP-01 → HTP-02</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3" t="inlineStr">
        <is>
          <t>măng xông</t>
        </is>
      </c>
      <c r="D308" s="4" t="inlineStr">
        <is>
          <t>MX_HTP-02</t>
        </is>
      </c>
      <c r="E308" s="4" t="inlineStr"/>
      <c r="F308" s="4" t="inlineStr">
        <is>
          <t>11+12 ↔ 1+2</t>
        </is>
      </c>
      <c r="G308" s="4" t="n"/>
      <c r="H308" s="4" t="n"/>
      <c r="I308" s="11" t="inlineStr">
        <is>
          <t>khớp sơ đồ — nhãn B</t>
        </is>
      </c>
      <c r="J308" s="4" t="inlineStr">
        <is>
          <t>nhãn B (sơ đồ MX)</t>
        </is>
      </c>
    </row>
    <row r="309">
      <c r="A309" s="4" t="inlineStr">
        <is>
          <t>R7-01</t>
        </is>
      </c>
      <c r="B309" s="4" t="n">
        <v>20</v>
      </c>
      <c r="C309" s="20" t="inlineStr">
        <is>
          <t>cáp</t>
        </is>
      </c>
      <c r="D309" s="4" t="inlineStr">
        <is>
          <t>VINA-OFC 2016 HTP-02 → HNB005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20"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20"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20" t="inlineStr">
        <is>
          <t>cáp</t>
        </is>
      </c>
      <c r="D312" s="4" t="inlineStr">
        <is>
          <t>POSTEF 1/2019 HNB005 ↔ HNB062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20"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20"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20" t="inlineStr">
        <is>
          <t>cáp</t>
        </is>
      </c>
      <c r="D315" s="4" t="inlineStr">
        <is>
          <t>ETCC-2009 HNB062 → MX thẳng 62-21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3" t="inlineStr">
        <is>
          <t>măng xông</t>
        </is>
      </c>
      <c r="D316" s="4" t="inlineStr">
        <is>
          <t>MX thẳng 62-21</t>
        </is>
      </c>
      <c r="E316" s="4" t="inlineStr"/>
      <c r="F316" s="4" t="inlineStr">
        <is>
          <t>1+2 ↔ 1+2</t>
        </is>
      </c>
      <c r="G316" s="4" t="n"/>
      <c r="H316" s="4" t="n"/>
      <c r="I316" s="13" t="inlineStr">
        <is>
          <t>chưa có nhãn — sơ đồ MX chưa ghi nhãn cho các core này</t>
        </is>
      </c>
      <c r="J316" s="4" t="inlineStr">
        <is>
          <t>MX thẳng bên hông trường học</t>
        </is>
      </c>
    </row>
    <row r="317">
      <c r="A317" s="4" t="inlineStr">
        <is>
          <t>R7-03</t>
        </is>
      </c>
      <c r="B317" s="4" t="n">
        <v>4</v>
      </c>
      <c r="C317" s="20" t="inlineStr">
        <is>
          <t>cáp</t>
        </is>
      </c>
      <c r="D317" s="4" t="inlineStr">
        <is>
          <t>FIBERHOME AERIAL MX thẳng 62-21 → HNB021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20"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20"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20" t="inlineStr">
        <is>
          <t>cáp</t>
        </is>
      </c>
      <c r="D320" s="4" t="inlineStr">
        <is>
          <t>VINACAP HNB021 → MX thẳng 13-21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3" t="inlineStr">
        <is>
          <t>măng xông</t>
        </is>
      </c>
      <c r="D321" s="4" t="inlineStr">
        <is>
          <t>MX thẳng 13-21</t>
        </is>
      </c>
      <c r="E321" s="4" t="inlineStr"/>
      <c r="F321" s="4" t="inlineStr">
        <is>
          <t>1+2 ↔ 1+2</t>
        </is>
      </c>
      <c r="G321" s="4" t="n"/>
      <c r="H321" s="4" t="n"/>
      <c r="I321" s="13" t="inlineStr">
        <is>
          <t>chưa có nhãn — sơ đồ MX chưa ghi nhãn cho các core này</t>
        </is>
      </c>
      <c r="J321" s="4" t="inlineStr">
        <is>
          <t>MX thẳng</t>
        </is>
      </c>
    </row>
    <row r="322">
      <c r="A322" s="4" t="inlineStr">
        <is>
          <t>R7-04</t>
        </is>
      </c>
      <c r="B322" s="4" t="n">
        <v>4</v>
      </c>
      <c r="C322" s="20" t="inlineStr">
        <is>
          <t>cáp</t>
        </is>
      </c>
      <c r="D322" s="4" t="inlineStr">
        <is>
          <t>ETCC-2009 MX thẳng 13-21 → HNB013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20"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20"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20" t="inlineStr">
        <is>
          <t>cáp</t>
        </is>
      </c>
      <c r="D325" s="4" t="inlineStr">
        <is>
          <t>POSTEF 2017 HTP-03A → HNB013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3" t="inlineStr">
        <is>
          <t>măng xông</t>
        </is>
      </c>
      <c r="D326" s="4" t="inlineStr">
        <is>
          <t>MX_HTP-03A</t>
        </is>
      </c>
      <c r="E326" s="4" t="inlineStr"/>
      <c r="F326" s="4" t="inlineStr">
        <is>
          <t>1+2 ↔ 19+20</t>
        </is>
      </c>
      <c r="G326" s="4" t="n"/>
      <c r="H326" s="4" t="n"/>
      <c r="I326" s="11" t="inlineStr">
        <is>
          <t>khớp sơ đồ — nhãn B</t>
        </is>
      </c>
      <c r="J326" s="4" t="inlineStr">
        <is>
          <t>nhãn B: core 1-6 ↔ 19-24 (sơ đồ MX)</t>
        </is>
      </c>
    </row>
    <row r="327">
      <c r="A327" s="4" t="inlineStr">
        <is>
          <t>R7-05</t>
        </is>
      </c>
      <c r="B327" s="4" t="n">
        <v>4</v>
      </c>
      <c r="C327" s="20" t="inlineStr">
        <is>
          <t>cáp</t>
        </is>
      </c>
      <c r="D327" s="4" t="inlineStr">
        <is>
          <t>POSTEF 24FO nhập đài (cs 1570→1816) → ODF-01 NBE22</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20"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20"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20" t="inlineStr">
        <is>
          <t>cáp</t>
        </is>
      </c>
      <c r="D330" s="4" t="inlineStr">
        <is>
          <t>ADSS 9/2009</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3" t="inlineStr">
        <is>
          <t>măng xông</t>
        </is>
      </c>
      <c r="D331" s="4" t="inlineStr">
        <is>
          <t>MX nhập đài Long Thới–NVT</t>
        </is>
      </c>
      <c r="E331" s="4" t="inlineStr"/>
      <c r="F331" s="4" t="inlineStr">
        <is>
          <t>9+10 ↔ 9+10</t>
        </is>
      </c>
      <c r="G331" s="4" t="n"/>
      <c r="H331" s="4" t="n"/>
      <c r="I331" s="13" t="inlineStr">
        <is>
          <t>chưa có nhãn — sơ đồ MX chưa ghi nhãn cho các core này</t>
        </is>
      </c>
      <c r="J331" s="4" t="inlineStr"/>
    </row>
    <row r="332">
      <c r="A332" s="4" t="inlineStr">
        <is>
          <t>R8-01</t>
        </is>
      </c>
      <c r="B332" s="4" t="n">
        <v>4</v>
      </c>
      <c r="C332" s="20" t="inlineStr">
        <is>
          <t>cáp</t>
        </is>
      </c>
      <c r="D332" s="4" t="inlineStr">
        <is>
          <t>SACOM 8/2014</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3" t="inlineStr">
        <is>
          <t>măng xông</t>
        </is>
      </c>
      <c r="D333" s="4" t="inlineStr">
        <is>
          <t>MX_NVT_01</t>
        </is>
      </c>
      <c r="E333" s="4" t="inlineStr"/>
      <c r="F333" s="4" t="inlineStr">
        <is>
          <t>9+10 ↔ 9+10</t>
        </is>
      </c>
      <c r="G333" s="4" t="n"/>
      <c r="H333" s="4" t="n"/>
      <c r="I333" s="13" t="inlineStr">
        <is>
          <t>chưa có nhãn — sơ đồ MX chưa ghi nhãn cho các core này</t>
        </is>
      </c>
      <c r="J333" s="4" t="inlineStr">
        <is>
          <t>MX chân cầu vượt, chưa có nhãn</t>
        </is>
      </c>
    </row>
    <row r="334">
      <c r="A334" s="4" t="inlineStr">
        <is>
          <t>R8-01</t>
        </is>
      </c>
      <c r="B334" s="4" t="n">
        <v>6</v>
      </c>
      <c r="C334" s="20" t="inlineStr">
        <is>
          <t>cáp</t>
        </is>
      </c>
      <c r="D334" s="4" t="inlineStr">
        <is>
          <t>FOCAL 9/2020 trục (gồm 175 m ngầm)</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3" t="inlineStr">
        <is>
          <t>măng xông</t>
        </is>
      </c>
      <c r="D335" s="4" t="inlineStr">
        <is>
          <t>MX_NVT_02A</t>
        </is>
      </c>
      <c r="E335" s="4" t="inlineStr"/>
      <c r="F335" s="4" t="inlineStr">
        <is>
          <t>9+10 ↔ 3+4</t>
        </is>
      </c>
      <c r="G335" s="4" t="n"/>
      <c r="H335" s="4" t="n"/>
      <c r="I335" s="11" t="inlineStr">
        <is>
          <t>khớp sơ đồ — nhãn C</t>
        </is>
      </c>
      <c r="J335" s="4" t="inlineStr">
        <is>
          <t>nhãn C (sơ đồ MX)</t>
        </is>
      </c>
    </row>
    <row r="336">
      <c r="A336" s="4" t="inlineStr">
        <is>
          <t>R8-01</t>
        </is>
      </c>
      <c r="B336" s="4" t="n">
        <v>8</v>
      </c>
      <c r="C336" s="20" t="inlineStr">
        <is>
          <t>cáp</t>
        </is>
      </c>
      <c r="D336" s="4" t="inlineStr">
        <is>
          <t>8FO chéo đường NVT_02A ↔ NVT_02B</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3" t="inlineStr">
        <is>
          <t>măng xông</t>
        </is>
      </c>
      <c r="D337" s="4" t="inlineStr">
        <is>
          <t>MX_NVT_02B</t>
        </is>
      </c>
      <c r="E337" s="4" t="inlineStr"/>
      <c r="F337" s="4" t="inlineStr">
        <is>
          <t>3+4 ↔ 9+10</t>
        </is>
      </c>
      <c r="G337" s="4" t="n"/>
      <c r="H337" s="4" t="n"/>
      <c r="I337" s="11" t="inlineStr">
        <is>
          <t>khớp sơ đồ — nhãn C</t>
        </is>
      </c>
      <c r="J337" s="4" t="inlineStr">
        <is>
          <t>qua đường sang lề phải</t>
        </is>
      </c>
    </row>
    <row r="338">
      <c r="A338" s="4" t="inlineStr">
        <is>
          <t>R8-01</t>
        </is>
      </c>
      <c r="B338" s="4" t="n">
        <v>10</v>
      </c>
      <c r="C338" s="20" t="inlineStr">
        <is>
          <t>cáp</t>
        </is>
      </c>
      <c r="D338" s="4" t="inlineStr">
        <is>
          <t>TPKL 12FO trục NVT_02B → LVL-05 (qua MX thẳng nối dài)</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3" t="inlineStr">
        <is>
          <t>măng xông</t>
        </is>
      </c>
      <c r="D339" s="4" t="inlineStr">
        <is>
          <t>MX_LVL-05</t>
        </is>
      </c>
      <c r="E339" s="4" t="inlineStr"/>
      <c r="F339" s="4" t="inlineStr">
        <is>
          <t>9+10 ↔ 3+4</t>
        </is>
      </c>
      <c r="G339" s="4" t="n"/>
      <c r="H339" s="4" t="n"/>
      <c r="I339" s="11" t="inlineStr">
        <is>
          <t>khớp sơ đồ — nhãn C</t>
        </is>
      </c>
      <c r="J339" s="4" t="inlineStr"/>
    </row>
    <row r="340">
      <c r="A340" s="4" t="inlineStr">
        <is>
          <t>R8-01</t>
        </is>
      </c>
      <c r="B340" s="4" t="n">
        <v>12</v>
      </c>
      <c r="C340" s="20" t="inlineStr">
        <is>
          <t>cáp</t>
        </is>
      </c>
      <c r="D340" s="4" t="inlineStr">
        <is>
          <t>12FO LVL-05 → LVL-04</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3" t="inlineStr">
        <is>
          <t>măng xông</t>
        </is>
      </c>
      <c r="D341" s="4" t="inlineStr">
        <is>
          <t>MX_LVL-04</t>
        </is>
      </c>
      <c r="E341" s="4" t="inlineStr"/>
      <c r="F341" s="4" t="inlineStr">
        <is>
          <t>3+4 ↔ 3+4</t>
        </is>
      </c>
      <c r="G341" s="4" t="n"/>
      <c r="H341" s="4" t="n"/>
      <c r="I341" s="11" t="inlineStr">
        <is>
          <t>khớp sơ đồ — nhãn A</t>
        </is>
      </c>
      <c r="J341" s="4" t="inlineStr"/>
    </row>
    <row r="342">
      <c r="A342" s="4" t="inlineStr">
        <is>
          <t>R8-01</t>
        </is>
      </c>
      <c r="B342" s="4" t="n">
        <v>14</v>
      </c>
      <c r="C342" s="20" t="inlineStr">
        <is>
          <t>cáp</t>
        </is>
      </c>
      <c r="D342" s="4" t="inlineStr">
        <is>
          <t>SAMTEL 3/2015 LVL-04 → LVL-03</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3" t="inlineStr">
        <is>
          <t>măng xông</t>
        </is>
      </c>
      <c r="D343" s="4" t="inlineStr">
        <is>
          <t>MX_LVL-03</t>
        </is>
      </c>
      <c r="E343" s="4" t="inlineStr"/>
      <c r="F343" s="4" t="inlineStr">
        <is>
          <t>3+4 ↔ 9+10</t>
        </is>
      </c>
      <c r="G343" s="4" t="n"/>
      <c r="H343" s="4" t="n"/>
      <c r="I343" s="11" t="inlineStr">
        <is>
          <t>khớp sơ đồ — nhãn A</t>
        </is>
      </c>
      <c r="J343" s="4" t="inlineStr"/>
    </row>
    <row r="344">
      <c r="A344" s="4" t="inlineStr">
        <is>
          <t>R8-01</t>
        </is>
      </c>
      <c r="B344" s="4" t="n">
        <v>16</v>
      </c>
      <c r="C344" s="20" t="inlineStr">
        <is>
          <t>cáp</t>
        </is>
      </c>
      <c r="D344" s="4" t="inlineStr">
        <is>
          <t>POSTEF 9/2019 LVL-03 → HTP-01 (cầu Phú Xuân 2)</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3" t="inlineStr">
        <is>
          <t>măng xông</t>
        </is>
      </c>
      <c r="D345" s="4" t="inlineStr">
        <is>
          <t>MX_HTP-01</t>
        </is>
      </c>
      <c r="E345" s="4" t="inlineStr"/>
      <c r="F345" s="4" t="inlineStr">
        <is>
          <t>9+10 ↔ 1+2</t>
        </is>
      </c>
      <c r="G345" s="4" t="n"/>
      <c r="H345" s="4" t="n"/>
      <c r="I345" s="11" t="inlineStr">
        <is>
          <t>khớp sơ đồ — nhãn B</t>
        </is>
      </c>
      <c r="J345" s="4" t="inlineStr">
        <is>
          <t>nhãn B (sơ đồ MX)</t>
        </is>
      </c>
    </row>
    <row r="346">
      <c r="A346" s="4" t="inlineStr">
        <is>
          <t>R8-01</t>
        </is>
      </c>
      <c r="B346" s="4" t="n">
        <v>18</v>
      </c>
      <c r="C346" s="20" t="inlineStr">
        <is>
          <t>cáp</t>
        </is>
      </c>
      <c r="D346" s="4" t="inlineStr">
        <is>
          <t>POSTEF 2016 HTP-01 → HNB066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20"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20"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20" t="inlineStr">
        <is>
          <t>cáp</t>
        </is>
      </c>
      <c r="D349" s="4" t="inlineStr">
        <is>
          <t>VDF HNB066 → MX thẳng 66-16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3" t="inlineStr">
        <is>
          <t>măng xông</t>
        </is>
      </c>
      <c r="D350" s="4" t="inlineStr">
        <is>
          <t>MX thẳng 66-16</t>
        </is>
      </c>
      <c r="E350" s="4" t="inlineStr"/>
      <c r="F350" s="4" t="inlineStr">
        <is>
          <t>1+2 ↔ 1+2</t>
        </is>
      </c>
      <c r="G350" s="4" t="n"/>
      <c r="H350" s="4" t="n"/>
      <c r="I350" s="13" t="inlineStr">
        <is>
          <t>chưa có nhãn — sơ đồ MX chưa ghi nhãn cho các core này</t>
        </is>
      </c>
      <c r="J350" s="4" t="inlineStr">
        <is>
          <t>MX thẳng, "đầu cầu Phú Xuân để cáp sai"</t>
        </is>
      </c>
    </row>
    <row r="351">
      <c r="A351" s="4" t="inlineStr">
        <is>
          <t>R8-02</t>
        </is>
      </c>
      <c r="B351" s="4" t="n">
        <v>4</v>
      </c>
      <c r="C351" s="20" t="inlineStr">
        <is>
          <t>cáp</t>
        </is>
      </c>
      <c r="D351" s="4" t="inlineStr">
        <is>
          <t>POSTEF 2017 MX thẳng 66-16 → HNB016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20"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20"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20" t="inlineStr">
        <is>
          <t>cáp</t>
        </is>
      </c>
      <c r="D354" s="4" t="inlineStr">
        <is>
          <t>RECOIN 12/2016 HNB016 ↔ HNB038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20"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20"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20" t="inlineStr">
        <is>
          <t>cáp</t>
        </is>
      </c>
      <c r="D357" s="4" t="inlineStr">
        <is>
          <t>POSTEF 1/2019 HTP-02 → HNB038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3" t="inlineStr">
        <is>
          <t>măng xông</t>
        </is>
      </c>
      <c r="D358" s="4" t="inlineStr">
        <is>
          <t>MX_HTP-02</t>
        </is>
      </c>
      <c r="E358" s="4" t="inlineStr"/>
      <c r="F358" s="4" t="inlineStr">
        <is>
          <t>1+2 ↔ 9+10</t>
        </is>
      </c>
      <c r="G358" s="4" t="n"/>
      <c r="H358" s="4" t="n"/>
      <c r="I358" s="11" t="inlineStr">
        <is>
          <t>khớp sơ đồ — nhãn C</t>
        </is>
      </c>
      <c r="J358" s="4" t="inlineStr">
        <is>
          <t>nhãn C (sơ đồ MX)</t>
        </is>
      </c>
    </row>
    <row r="359">
      <c r="A359" s="4" t="inlineStr">
        <is>
          <t>R8-04</t>
        </is>
      </c>
      <c r="B359" s="4" t="n">
        <v>4</v>
      </c>
      <c r="C359" s="20" t="inlineStr">
        <is>
          <t>cáp</t>
        </is>
      </c>
      <c r="D359" s="4" t="inlineStr">
        <is>
          <t>FOCAL 12FO HTP-02 → HTP-03A</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3" t="inlineStr">
        <is>
          <t>măng xông</t>
        </is>
      </c>
      <c r="D360" s="4" t="inlineStr">
        <is>
          <t>MX_HTP-03A</t>
        </is>
      </c>
      <c r="E360" s="4" t="inlineStr"/>
      <c r="F360" s="4" t="inlineStr">
        <is>
          <t>9+10 ↔ 9+10</t>
        </is>
      </c>
      <c r="G360" s="4" t="n"/>
      <c r="H360" s="4" t="n"/>
      <c r="I360" s="11" t="inlineStr">
        <is>
          <t>khớp sơ đồ — nhãn A</t>
        </is>
      </c>
      <c r="J360" s="4" t="inlineStr"/>
    </row>
    <row r="361">
      <c r="A361" s="4" t="inlineStr">
        <is>
          <t>R8-04</t>
        </is>
      </c>
      <c r="B361" s="4" t="n">
        <v>6</v>
      </c>
      <c r="C361" s="20" t="inlineStr">
        <is>
          <t>cáp</t>
        </is>
      </c>
      <c r="D361" s="4" t="inlineStr">
        <is>
          <t>POSTEF 24FO nhập đài (cs 1570→1816) → ODF-01 NBE22</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20"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3" t="inlineStr">
        <is>
          <t>chưa có nhãn</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3" t="inlineStr">
        <is>
          <t>chưa có nhãn</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3" t="inlineStr">
        <is>
          <t>chưa có nhãn</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3" t="inlineStr">
        <is>
          <t>chưa có nhãn</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3" t="inlineStr">
        <is>
          <t>chưa có nhãn</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3" t="inlineStr">
        <is>
          <t>chưa có nhãn</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3" t="inlineStr">
        <is>
          <t>chưa có nhãn</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3" t="inlineStr">
        <is>
          <t>chưa có nhãn</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3" t="inlineStr">
        <is>
          <t>chưa có nhãn</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3" t="inlineStr">
        <is>
          <t>chưa có nhãn</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3" t="inlineStr">
        <is>
          <t>chưa có nhãn</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3" t="inlineStr">
        <is>
          <t>chưa có nhãn</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3" t="inlineStr">
        <is>
          <t>chưa có nhãn</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3" t="inlineStr">
        <is>
          <t>chưa có nhãn</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3" t="inlineStr">
        <is>
          <t>chưa có nhãn</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3" t="inlineStr">
        <is>
          <t>chưa có nhãn</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3" t="inlineStr">
        <is>
          <t>chưa có nhãn</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3" t="inlineStr">
        <is>
          <t>chưa có nhãn</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3" t="inlineStr">
        <is>
          <t>chưa có nhãn</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3" t="inlineStr">
        <is>
          <t>chưa có nhãn</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3" t="inlineStr">
        <is>
          <t>chưa có nhãn</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3" t="inlineStr">
        <is>
          <t>chưa có nhãn</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3" t="inlineStr">
        <is>
          <t>chưa có nhãn</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3" t="inlineStr">
        <is>
          <t>chưa có nhãn</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3" t="inlineStr">
        <is>
          <t>chưa có nhãn</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3" t="inlineStr">
        <is>
          <t>chưa có nhãn</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3" t="inlineStr">
        <is>
          <t>chưa có nhãn</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3" t="inlineStr">
        <is>
          <t>chưa có nhãn</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3" t="inlineStr">
        <is>
          <t>chưa có nhãn</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3" t="inlineStr">
        <is>
          <t>chưa có nhãn</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3" t="inlineStr">
        <is>
          <t>chưa có nhãn</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3" t="inlineStr">
        <is>
          <t>chưa có nhãn</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3" t="inlineStr">
        <is>
          <t>chưa có nhãn</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3" t="inlineStr">
        <is>
          <t>chưa có nhãn</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3" t="inlineStr">
        <is>
          <t>chưa có nhãn</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3" t="inlineStr">
        <is>
          <t>chưa có nhãn</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3" t="inlineStr">
        <is>
          <t>chưa có nhãn</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3" t="inlineStr">
        <is>
          <t>chưa có nhãn</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3" t="inlineStr">
        <is>
          <t>chưa có nhãn</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3" t="inlineStr">
        <is>
          <t>chưa có nhãn</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3" t="inlineStr">
        <is>
          <t>chưa có nhãn</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3" t="inlineStr">
        <is>
          <t>chưa có nhãn</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3" t="inlineStr">
        <is>
          <t>chưa có nhãn</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3" t="inlineStr">
        <is>
          <t>chưa có nhãn</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3" t="inlineStr">
        <is>
          <t>chưa có nhãn</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3" t="inlineStr">
        <is>
          <t>chưa có nhãn</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3"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3"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3"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3"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3"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3"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1"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1"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1"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1"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1"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1"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1"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1"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1"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1"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1"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1"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1"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1"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1"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1"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1"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1"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1"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1"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1"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1"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1"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1"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1"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1"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1"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1"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1"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1"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3" t="inlineStr">
        <is>
          <t>chưa có nhãn</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3" t="inlineStr">
        <is>
          <t>chưa có nhãn</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3" t="inlineStr">
        <is>
          <t>chưa có nhãn</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3" t="inlineStr">
        <is>
          <t>chưa có nhãn</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3" t="inlineStr">
        <is>
          <t>chưa có nhãn</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3" t="inlineStr">
        <is>
          <t>chưa có nhãn</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1"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1"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1"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1"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1"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1"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1"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1"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1"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1"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1"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1"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1"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1"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1"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1"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1"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1"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1"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1"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1"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1"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1"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1"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1"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1"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1"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1"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1"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1"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1"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1"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1"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1"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1"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1"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1"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1"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1"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1"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1"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1"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1"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1"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1"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1"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1"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1"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1"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1"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1"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1"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1"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1"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1"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1"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1"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1"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1"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1"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3" t="inlineStr">
        <is>
          <t>chưa có nhãn</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3" t="inlineStr">
        <is>
          <t>chưa có nhãn</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3" t="inlineStr">
        <is>
          <t>chưa có nhãn</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3" t="inlineStr">
        <is>
          <t>chưa có nhãn</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3" t="inlineStr">
        <is>
          <t>chưa có nhãn</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3" t="inlineStr">
        <is>
          <t>chưa có nhãn</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3" t="inlineStr">
        <is>
          <t>chưa có nhãn</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3" t="inlineStr">
        <is>
          <t>chưa có nhãn</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3" t="inlineStr">
        <is>
          <t>chưa có nhãn</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3" t="inlineStr">
        <is>
          <t>chưa có nhãn</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3" t="inlineStr">
        <is>
          <t>chưa có nhãn</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3" t="inlineStr">
        <is>
          <t>chưa có nhãn</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3" t="inlineStr">
        <is>
          <t>chưa có nhãn</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3" t="inlineStr">
        <is>
          <t>chưa có nhãn</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3" t="inlineStr">
        <is>
          <t>chưa có nhãn</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3" t="inlineStr">
        <is>
          <t>chưa có nhãn</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3" t="inlineStr">
        <is>
          <t>chưa có nhãn</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3" t="inlineStr">
        <is>
          <t>chưa có nhãn</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3" t="inlineStr">
        <is>
          <t>chưa có nhãn</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3" t="inlineStr">
        <is>
          <t>chưa có nhãn</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3"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3"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3"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3"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3"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3"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3"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3"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3"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3"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1"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1"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1"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1"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1"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1"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1"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1"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1"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1"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1"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1"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1"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1"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1"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1"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1"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1"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3" t="inlineStr">
        <is>
          <t>chưa có nhãn</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3" t="inlineStr">
        <is>
          <t>chưa có nhãn</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3" t="inlineStr">
        <is>
          <t>chưa có nhãn</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3" t="inlineStr">
        <is>
          <t>chưa có nhãn</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3" t="inlineStr">
        <is>
          <t>chưa có nhãn</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3" t="inlineStr">
        <is>
          <t>chưa có nhãn</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3" t="inlineStr">
        <is>
          <t>chưa có nhãn</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3" t="inlineStr">
        <is>
          <t>chưa có nhãn</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1"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1"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1" t="inlineStr">
        <is>
          <t>dùng R2-01</t>
        </is>
      </c>
      <c r="F84" s="4" t="inlineStr"/>
      <c r="G84" s="4" t="inlineStr"/>
      <c r="H84" s="4" t="inlineStr">
        <is>
          <t>R2-01</t>
        </is>
      </c>
    </row>
    <row r="85">
      <c r="A85" s="4" t="inlineStr">
        <is>
          <t>C01</t>
        </is>
      </c>
      <c r="B85" s="4" t="inlineStr">
        <is>
          <t>ADSS 9/2009</t>
        </is>
      </c>
      <c r="C85" s="4" t="n">
        <v>2</v>
      </c>
      <c r="D85" s="4" t="inlineStr">
        <is>
          <t>cam</t>
        </is>
      </c>
      <c r="E85" s="11" t="inlineStr">
        <is>
          <t>dùng R2-01</t>
        </is>
      </c>
      <c r="F85" s="4" t="inlineStr"/>
      <c r="G85" s="4" t="inlineStr"/>
      <c r="H85" s="4" t="inlineStr">
        <is>
          <t>R2-01</t>
        </is>
      </c>
    </row>
    <row r="86">
      <c r="A86" s="4" t="inlineStr">
        <is>
          <t>C01</t>
        </is>
      </c>
      <c r="B86" s="4" t="inlineStr">
        <is>
          <t>ADSS 9/2009</t>
        </is>
      </c>
      <c r="C86" s="4" t="n">
        <v>3</v>
      </c>
      <c r="D86" s="4" t="inlineStr">
        <is>
          <t>xanh lá</t>
        </is>
      </c>
      <c r="E86" s="11" t="inlineStr">
        <is>
          <t>dùng R1-01</t>
        </is>
      </c>
      <c r="F86" s="4" t="inlineStr"/>
      <c r="G86" s="4" t="inlineStr"/>
      <c r="H86" s="4" t="inlineStr">
        <is>
          <t>R1-01</t>
        </is>
      </c>
    </row>
    <row r="87">
      <c r="A87" s="4" t="inlineStr">
        <is>
          <t>C01</t>
        </is>
      </c>
      <c r="B87" s="4" t="inlineStr">
        <is>
          <t>ADSS 9/2009</t>
        </is>
      </c>
      <c r="C87" s="4" t="n">
        <v>4</v>
      </c>
      <c r="D87" s="4" t="inlineStr">
        <is>
          <t>nâu</t>
        </is>
      </c>
      <c r="E87" s="11" t="inlineStr">
        <is>
          <t>dùng R1-01</t>
        </is>
      </c>
      <c r="F87" s="4" t="inlineStr"/>
      <c r="G87" s="4" t="inlineStr"/>
      <c r="H87" s="4" t="inlineStr">
        <is>
          <t>R1-01</t>
        </is>
      </c>
    </row>
    <row r="88">
      <c r="A88" s="4" t="inlineStr">
        <is>
          <t>C01</t>
        </is>
      </c>
      <c r="B88" s="4" t="inlineStr">
        <is>
          <t>ADSS 9/2009</t>
        </is>
      </c>
      <c r="C88" s="4" t="n">
        <v>5</v>
      </c>
      <c r="D88" s="4" t="inlineStr">
        <is>
          <t>xám</t>
        </is>
      </c>
      <c r="E88" s="12" t="inlineStr">
        <is>
          <t>dùng khác (ODF AGG)</t>
        </is>
      </c>
      <c r="F88" s="4" t="inlineStr"/>
      <c r="G88" s="4" t="inlineStr"/>
      <c r="H88" s="4" t="inlineStr"/>
    </row>
    <row r="89">
      <c r="A89" s="4" t="inlineStr">
        <is>
          <t>C01</t>
        </is>
      </c>
      <c r="B89" s="4" t="inlineStr">
        <is>
          <t>ADSS 9/2009</t>
        </is>
      </c>
      <c r="C89" s="4" t="n">
        <v>6</v>
      </c>
      <c r="D89" s="4" t="inlineStr">
        <is>
          <t>trắng</t>
        </is>
      </c>
      <c r="E89" s="12" t="inlineStr">
        <is>
          <t>dùng khác (ODF AGG)</t>
        </is>
      </c>
      <c r="F89" s="4" t="inlineStr"/>
      <c r="G89" s="4" t="inlineStr"/>
      <c r="H89" s="4" t="inlineStr"/>
    </row>
    <row r="90">
      <c r="A90" s="4" t="inlineStr">
        <is>
          <t>C01</t>
        </is>
      </c>
      <c r="B90" s="4" t="inlineStr">
        <is>
          <t>ADSS 9/2009</t>
        </is>
      </c>
      <c r="C90" s="4" t="n">
        <v>7</v>
      </c>
      <c r="D90" s="4" t="inlineStr">
        <is>
          <t>xanh dương</t>
        </is>
      </c>
      <c r="E90" s="12" t="inlineStr">
        <is>
          <t>dùng khác (ODF AGG)</t>
        </is>
      </c>
      <c r="F90" s="4" t="inlineStr"/>
      <c r="G90" s="4" t="inlineStr"/>
      <c r="H90" s="4" t="inlineStr"/>
    </row>
    <row r="91">
      <c r="A91" s="4" t="inlineStr">
        <is>
          <t>C01</t>
        </is>
      </c>
      <c r="B91" s="4" t="inlineStr">
        <is>
          <t>ADSS 9/2009</t>
        </is>
      </c>
      <c r="C91" s="4" t="n">
        <v>8</v>
      </c>
      <c r="D91" s="4" t="inlineStr">
        <is>
          <t>cam</t>
        </is>
      </c>
      <c r="E91" s="12" t="inlineStr">
        <is>
          <t>dùng khác (ODF AGG)</t>
        </is>
      </c>
      <c r="F91" s="4" t="inlineStr"/>
      <c r="G91" s="4" t="inlineStr"/>
      <c r="H91" s="4" t="inlineStr"/>
    </row>
    <row r="92">
      <c r="A92" s="4" t="inlineStr">
        <is>
          <t>C01</t>
        </is>
      </c>
      <c r="B92" s="4" t="inlineStr">
        <is>
          <t>ADSS 9/2009</t>
        </is>
      </c>
      <c r="C92" s="4" t="n">
        <v>9</v>
      </c>
      <c r="D92" s="4" t="inlineStr">
        <is>
          <t>xanh lá</t>
        </is>
      </c>
      <c r="E92" s="11" t="inlineStr">
        <is>
          <t>dùng R8-01</t>
        </is>
      </c>
      <c r="F92" s="4" t="inlineStr"/>
      <c r="G92" s="4" t="inlineStr"/>
      <c r="H92" s="4" t="inlineStr">
        <is>
          <t>R8-01</t>
        </is>
      </c>
    </row>
    <row r="93">
      <c r="A93" s="4" t="inlineStr">
        <is>
          <t>C01</t>
        </is>
      </c>
      <c r="B93" s="4" t="inlineStr">
        <is>
          <t>ADSS 9/2009</t>
        </is>
      </c>
      <c r="C93" s="4" t="n">
        <v>10</v>
      </c>
      <c r="D93" s="4" t="inlineStr">
        <is>
          <t>nâu</t>
        </is>
      </c>
      <c r="E93" s="11" t="inlineStr">
        <is>
          <t>dùng R8-01</t>
        </is>
      </c>
      <c r="F93" s="4" t="inlineStr"/>
      <c r="G93" s="4" t="inlineStr"/>
      <c r="H93" s="4" t="inlineStr">
        <is>
          <t>R8-01</t>
        </is>
      </c>
    </row>
    <row r="94">
      <c r="A94" s="4" t="inlineStr">
        <is>
          <t>C01</t>
        </is>
      </c>
      <c r="B94" s="4" t="inlineStr">
        <is>
          <t>ADSS 9/2009</t>
        </is>
      </c>
      <c r="C94" s="4" t="n">
        <v>11</v>
      </c>
      <c r="D94" s="4" t="inlineStr">
        <is>
          <t>xám</t>
        </is>
      </c>
      <c r="E94" s="11" t="inlineStr">
        <is>
          <t>dùng R7-01</t>
        </is>
      </c>
      <c r="F94" s="4" t="inlineStr"/>
      <c r="G94" s="4" t="inlineStr"/>
      <c r="H94" s="4" t="inlineStr">
        <is>
          <t>R7-01</t>
        </is>
      </c>
    </row>
    <row r="95">
      <c r="A95" s="4" t="inlineStr">
        <is>
          <t>C01</t>
        </is>
      </c>
      <c r="B95" s="4" t="inlineStr">
        <is>
          <t>ADSS 9/2009</t>
        </is>
      </c>
      <c r="C95" s="4" t="n">
        <v>12</v>
      </c>
      <c r="D95" s="4" t="inlineStr">
        <is>
          <t>trắng</t>
        </is>
      </c>
      <c r="E95" s="11" t="inlineStr">
        <is>
          <t>dùng R7-01</t>
        </is>
      </c>
      <c r="F95" s="4" t="inlineStr"/>
      <c r="G95" s="4" t="inlineStr"/>
      <c r="H95" s="4" t="inlineStr">
        <is>
          <t>R7-01</t>
        </is>
      </c>
    </row>
    <row r="96">
      <c r="A96" s="4" t="inlineStr">
        <is>
          <t>C01</t>
        </is>
      </c>
      <c r="B96" s="4" t="inlineStr">
        <is>
          <t>ADSS 9/2009</t>
        </is>
      </c>
      <c r="C96" s="4" t="n">
        <v>13</v>
      </c>
      <c r="D96" s="4" t="inlineStr">
        <is>
          <t>xanh dương</t>
        </is>
      </c>
      <c r="E96" s="12" t="inlineStr">
        <is>
          <t>dùng khác (ODF AGG)</t>
        </is>
      </c>
      <c r="F96" s="4" t="inlineStr"/>
      <c r="G96" s="4" t="inlineStr"/>
      <c r="H96" s="4" t="inlineStr"/>
    </row>
    <row r="97">
      <c r="A97" s="4" t="inlineStr">
        <is>
          <t>C01</t>
        </is>
      </c>
      <c r="B97" s="4" t="inlineStr">
        <is>
          <t>ADSS 9/2009</t>
        </is>
      </c>
      <c r="C97" s="4" t="n">
        <v>14</v>
      </c>
      <c r="D97" s="4" t="inlineStr">
        <is>
          <t>cam</t>
        </is>
      </c>
      <c r="E97" s="12" t="inlineStr">
        <is>
          <t>dùng khác (ODF AGG)</t>
        </is>
      </c>
      <c r="F97" s="4" t="inlineStr"/>
      <c r="G97" s="4" t="inlineStr"/>
      <c r="H97" s="4" t="inlineStr"/>
    </row>
    <row r="98">
      <c r="A98" s="4" t="inlineStr">
        <is>
          <t>C01</t>
        </is>
      </c>
      <c r="B98" s="4" t="inlineStr">
        <is>
          <t>ADSS 9/2009</t>
        </is>
      </c>
      <c r="C98" s="4" t="n">
        <v>15</v>
      </c>
      <c r="D98" s="4" t="inlineStr">
        <is>
          <t>xanh lá</t>
        </is>
      </c>
      <c r="E98" s="12" t="inlineStr">
        <is>
          <t>dùng khác (ODF AGG)</t>
        </is>
      </c>
      <c r="F98" s="4" t="inlineStr"/>
      <c r="G98" s="4" t="inlineStr"/>
      <c r="H98" s="4" t="inlineStr"/>
    </row>
    <row r="99">
      <c r="A99" s="4" t="inlineStr">
        <is>
          <t>C01</t>
        </is>
      </c>
      <c r="B99" s="4" t="inlineStr">
        <is>
          <t>ADSS 9/2009</t>
        </is>
      </c>
      <c r="C99" s="4" t="n">
        <v>16</v>
      </c>
      <c r="D99" s="4" t="inlineStr">
        <is>
          <t>nâu</t>
        </is>
      </c>
      <c r="E99" s="12" t="inlineStr">
        <is>
          <t>dùng khác (ODF AGG)</t>
        </is>
      </c>
      <c r="F99" s="4" t="inlineStr"/>
      <c r="G99" s="4" t="inlineStr"/>
      <c r="H99" s="4" t="inlineStr"/>
    </row>
    <row r="100">
      <c r="A100" s="4" t="inlineStr">
        <is>
          <t>C01</t>
        </is>
      </c>
      <c r="B100" s="4" t="inlineStr">
        <is>
          <t>ADSS 9/2009</t>
        </is>
      </c>
      <c r="C100" s="4" t="n">
        <v>17</v>
      </c>
      <c r="D100" s="4" t="inlineStr">
        <is>
          <t>xám</t>
        </is>
      </c>
      <c r="E100" s="12" t="inlineStr">
        <is>
          <t>dùng khác (ODF AGG)</t>
        </is>
      </c>
      <c r="F100" s="4" t="inlineStr"/>
      <c r="G100" s="4" t="inlineStr"/>
      <c r="H100" s="4" t="inlineStr"/>
    </row>
    <row r="101">
      <c r="A101" s="4" t="inlineStr">
        <is>
          <t>C01</t>
        </is>
      </c>
      <c r="B101" s="4" t="inlineStr">
        <is>
          <t>ADSS 9/2009</t>
        </is>
      </c>
      <c r="C101" s="4" t="n">
        <v>18</v>
      </c>
      <c r="D101" s="4" t="inlineStr">
        <is>
          <t>trắng</t>
        </is>
      </c>
      <c r="E101" s="12" t="inlineStr">
        <is>
          <t>dùng khác (ODF AGG)</t>
        </is>
      </c>
      <c r="F101" s="4" t="inlineStr"/>
      <c r="G101" s="4" t="inlineStr"/>
      <c r="H101" s="4" t="inlineStr"/>
    </row>
    <row r="102">
      <c r="A102" s="4" t="inlineStr">
        <is>
          <t>C01</t>
        </is>
      </c>
      <c r="B102" s="4" t="inlineStr">
        <is>
          <t>ADSS 9/2009</t>
        </is>
      </c>
      <c r="C102" s="4" t="n">
        <v>19</v>
      </c>
      <c r="D102" s="4" t="inlineStr">
        <is>
          <t>xanh dương</t>
        </is>
      </c>
      <c r="E102" s="14" t="inlineStr">
        <is>
          <t>HƯ</t>
        </is>
      </c>
      <c r="F102" s="4" t="inlineStr"/>
      <c r="G102" s="4" t="inlineStr"/>
      <c r="H102" s="4" t="inlineStr"/>
    </row>
    <row r="103">
      <c r="A103" s="4" t="inlineStr">
        <is>
          <t>C01</t>
        </is>
      </c>
      <c r="B103" s="4" t="inlineStr">
        <is>
          <t>ADSS 9/2009</t>
        </is>
      </c>
      <c r="C103" s="4" t="n">
        <v>20</v>
      </c>
      <c r="D103" s="4" t="inlineStr">
        <is>
          <t>cam</t>
        </is>
      </c>
      <c r="E103" s="14" t="inlineStr">
        <is>
          <t>HƯ</t>
        </is>
      </c>
      <c r="F103" s="4" t="inlineStr"/>
      <c r="G103" s="4" t="inlineStr"/>
      <c r="H103" s="4" t="inlineStr"/>
    </row>
    <row r="104">
      <c r="A104" s="4" t="inlineStr">
        <is>
          <t>C01</t>
        </is>
      </c>
      <c r="B104" s="4" t="inlineStr">
        <is>
          <t>ADSS 9/2009</t>
        </is>
      </c>
      <c r="C104" s="4" t="n">
        <v>21</v>
      </c>
      <c r="D104" s="4" t="inlineStr">
        <is>
          <t>xanh lá</t>
        </is>
      </c>
      <c r="E104" s="14" t="inlineStr">
        <is>
          <t>HƯ</t>
        </is>
      </c>
      <c r="F104" s="4" t="inlineStr"/>
      <c r="G104" s="4" t="inlineStr"/>
      <c r="H104" s="4" t="inlineStr"/>
    </row>
    <row r="105">
      <c r="A105" s="4" t="inlineStr">
        <is>
          <t>C01</t>
        </is>
      </c>
      <c r="B105" s="4" t="inlineStr">
        <is>
          <t>ADSS 9/2009</t>
        </is>
      </c>
      <c r="C105" s="4" t="n">
        <v>22</v>
      </c>
      <c r="D105" s="4" t="inlineStr">
        <is>
          <t>nâu</t>
        </is>
      </c>
      <c r="E105" s="14" t="inlineStr">
        <is>
          <t>HƯ</t>
        </is>
      </c>
      <c r="F105" s="4" t="inlineStr"/>
      <c r="G105" s="4" t="inlineStr"/>
      <c r="H105" s="4" t="inlineStr"/>
    </row>
    <row r="106">
      <c r="A106" s="4" t="inlineStr">
        <is>
          <t>C01</t>
        </is>
      </c>
      <c r="B106" s="4" t="inlineStr">
        <is>
          <t>ADSS 9/2009</t>
        </is>
      </c>
      <c r="C106" s="4" t="n">
        <v>23</v>
      </c>
      <c r="D106" s="4" t="inlineStr">
        <is>
          <t>xám</t>
        </is>
      </c>
      <c r="E106" s="14" t="inlineStr">
        <is>
          <t>HƯ</t>
        </is>
      </c>
      <c r="F106" s="4" t="inlineStr"/>
      <c r="G106" s="4" t="inlineStr"/>
      <c r="H106" s="4" t="inlineStr"/>
    </row>
    <row r="107">
      <c r="A107" s="4" t="inlineStr">
        <is>
          <t>C01</t>
        </is>
      </c>
      <c r="B107" s="4" t="inlineStr">
        <is>
          <t>ADSS 9/2009</t>
        </is>
      </c>
      <c r="C107" s="4" t="n">
        <v>24</v>
      </c>
      <c r="D107" s="4" t="inlineStr">
        <is>
          <t>trắng</t>
        </is>
      </c>
      <c r="E107" s="14" t="inlineStr">
        <is>
          <t>HƯ</t>
        </is>
      </c>
      <c r="F107" s="4" t="inlineStr"/>
      <c r="G107" s="4" t="inlineStr"/>
      <c r="H107" s="4" t="inlineStr"/>
    </row>
    <row r="108">
      <c r="A108" s="4" t="inlineStr">
        <is>
          <t>C02</t>
        </is>
      </c>
      <c r="B108" s="4" t="inlineStr">
        <is>
          <t>SACOM 8/2014</t>
        </is>
      </c>
      <c r="C108" s="4" t="n">
        <v>1</v>
      </c>
      <c r="D108" s="4" t="inlineStr">
        <is>
          <t>xanh dương</t>
        </is>
      </c>
      <c r="E108" s="11" t="inlineStr">
        <is>
          <t>dùng R2-01</t>
        </is>
      </c>
      <c r="F108" s="4" t="inlineStr"/>
      <c r="G108" s="4" t="inlineStr"/>
      <c r="H108" s="4" t="inlineStr">
        <is>
          <t>R2-01</t>
        </is>
      </c>
    </row>
    <row r="109">
      <c r="A109" s="4" t="inlineStr">
        <is>
          <t>C02</t>
        </is>
      </c>
      <c r="B109" s="4" t="inlineStr">
        <is>
          <t>SACOM 8/2014</t>
        </is>
      </c>
      <c r="C109" s="4" t="n">
        <v>2</v>
      </c>
      <c r="D109" s="4" t="inlineStr">
        <is>
          <t>cam</t>
        </is>
      </c>
      <c r="E109" s="11" t="inlineStr">
        <is>
          <t>dùng R2-01</t>
        </is>
      </c>
      <c r="F109" s="4" t="inlineStr"/>
      <c r="G109" s="4" t="inlineStr"/>
      <c r="H109" s="4" t="inlineStr">
        <is>
          <t>R2-01</t>
        </is>
      </c>
    </row>
    <row r="110">
      <c r="A110" s="4" t="inlineStr">
        <is>
          <t>C02</t>
        </is>
      </c>
      <c r="B110" s="4" t="inlineStr">
        <is>
          <t>SACOM 8/2014</t>
        </is>
      </c>
      <c r="C110" s="4" t="n">
        <v>3</v>
      </c>
      <c r="D110" s="4" t="inlineStr">
        <is>
          <t>xanh lá</t>
        </is>
      </c>
      <c r="E110" s="11" t="inlineStr">
        <is>
          <t>dùng R1-01</t>
        </is>
      </c>
      <c r="F110" s="4" t="inlineStr"/>
      <c r="G110" s="4" t="inlineStr"/>
      <c r="H110" s="4" t="inlineStr">
        <is>
          <t>R1-01</t>
        </is>
      </c>
    </row>
    <row r="111">
      <c r="A111" s="4" t="inlineStr">
        <is>
          <t>C02</t>
        </is>
      </c>
      <c r="B111" s="4" t="inlineStr">
        <is>
          <t>SACOM 8/2014</t>
        </is>
      </c>
      <c r="C111" s="4" t="n">
        <v>4</v>
      </c>
      <c r="D111" s="4" t="inlineStr">
        <is>
          <t>nâu</t>
        </is>
      </c>
      <c r="E111" s="11"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1" t="inlineStr">
        <is>
          <t>dùng R8-01</t>
        </is>
      </c>
      <c r="F116" s="4" t="inlineStr"/>
      <c r="G116" s="4" t="inlineStr"/>
      <c r="H116" s="4" t="inlineStr">
        <is>
          <t>R8-01</t>
        </is>
      </c>
    </row>
    <row r="117">
      <c r="A117" s="4" t="inlineStr">
        <is>
          <t>C02</t>
        </is>
      </c>
      <c r="B117" s="4" t="inlineStr">
        <is>
          <t>SACOM 8/2014</t>
        </is>
      </c>
      <c r="C117" s="4" t="n">
        <v>10</v>
      </c>
      <c r="D117" s="4" t="inlineStr">
        <is>
          <t>nâu</t>
        </is>
      </c>
      <c r="E117" s="11" t="inlineStr">
        <is>
          <t>dùng R8-01</t>
        </is>
      </c>
      <c r="F117" s="4" t="inlineStr"/>
      <c r="G117" s="4" t="inlineStr"/>
      <c r="H117" s="4" t="inlineStr">
        <is>
          <t>R8-01</t>
        </is>
      </c>
    </row>
    <row r="118">
      <c r="A118" s="4" t="inlineStr">
        <is>
          <t>C02</t>
        </is>
      </c>
      <c r="B118" s="4" t="inlineStr">
        <is>
          <t>SACOM 8/2014</t>
        </is>
      </c>
      <c r="C118" s="4" t="n">
        <v>11</v>
      </c>
      <c r="D118" s="4" t="inlineStr">
        <is>
          <t>xám</t>
        </is>
      </c>
      <c r="E118" s="11" t="inlineStr">
        <is>
          <t>dùng R7-01</t>
        </is>
      </c>
      <c r="F118" s="4" t="inlineStr"/>
      <c r="G118" s="4" t="inlineStr"/>
      <c r="H118" s="4" t="inlineStr">
        <is>
          <t>R7-01</t>
        </is>
      </c>
    </row>
    <row r="119">
      <c r="A119" s="4" t="inlineStr">
        <is>
          <t>C02</t>
        </is>
      </c>
      <c r="B119" s="4" t="inlineStr">
        <is>
          <t>SACOM 8/2014</t>
        </is>
      </c>
      <c r="C119" s="4" t="n">
        <v>12</v>
      </c>
      <c r="D119" s="4" t="inlineStr">
        <is>
          <t>trắng</t>
        </is>
      </c>
      <c r="E119" s="11"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1"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1"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1"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1"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1"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1"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1"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1"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3"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3"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1"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1"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1"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1"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1"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1"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1"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1"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14"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1"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1"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1"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1"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1"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1"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1"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1"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1"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1"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1"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1"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1"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1"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1"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1"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3"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3"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3"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3"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1"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1"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1"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1"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1"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1"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1"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1"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1"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1"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3"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3"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3"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3"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3"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3"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3"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3"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3"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3"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3"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3"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1"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1"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1"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1"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3"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3"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1"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1"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1"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1"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3"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3"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1"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1"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3"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3"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3"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3"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1" t="inlineStr">
        <is>
          <t>dùng R2-04</t>
        </is>
      </c>
      <c r="F240" s="4" t="inlineStr"/>
      <c r="G240" s="4" t="inlineStr"/>
      <c r="H240" s="4" t="inlineStr">
        <is>
          <t>R2-04</t>
        </is>
      </c>
    </row>
    <row r="241">
      <c r="A241" s="4" t="inlineStr">
        <is>
          <t>C13</t>
        </is>
      </c>
      <c r="B241" s="4" t="inlineStr">
        <is>
          <t>12FO NB-02 → NB-03</t>
        </is>
      </c>
      <c r="C241" s="4" t="n">
        <v>2</v>
      </c>
      <c r="D241" s="4" t="inlineStr">
        <is>
          <t>cam</t>
        </is>
      </c>
      <c r="E241" s="11"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1" t="inlineStr">
        <is>
          <t>dùng R1-04</t>
        </is>
      </c>
      <c r="F242" s="4" t="inlineStr"/>
      <c r="G242" s="4" t="inlineStr"/>
      <c r="H242" s="4" t="inlineStr">
        <is>
          <t>R1-04</t>
        </is>
      </c>
    </row>
    <row r="243">
      <c r="A243" s="4" t="inlineStr">
        <is>
          <t>C13</t>
        </is>
      </c>
      <c r="B243" s="4" t="inlineStr">
        <is>
          <t>12FO NB-02 → NB-03</t>
        </is>
      </c>
      <c r="C243" s="4" t="n">
        <v>4</v>
      </c>
      <c r="D243" s="4" t="inlineStr">
        <is>
          <t>nâu</t>
        </is>
      </c>
      <c r="E243" s="11"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1" t="inlineStr">
        <is>
          <t>dùng R2-04</t>
        </is>
      </c>
      <c r="F252" s="4" t="inlineStr"/>
      <c r="G252" s="4" t="inlineStr"/>
      <c r="H252" s="4" t="inlineStr">
        <is>
          <t>R2-04</t>
        </is>
      </c>
    </row>
    <row r="253">
      <c r="A253" s="4" t="inlineStr">
        <is>
          <t>C14</t>
        </is>
      </c>
      <c r="B253" s="4" t="inlineStr">
        <is>
          <t>12FO NB-03 → NB-04</t>
        </is>
      </c>
      <c r="C253" s="4" t="n">
        <v>2</v>
      </c>
      <c r="D253" s="4" t="inlineStr">
        <is>
          <t>cam</t>
        </is>
      </c>
      <c r="E253" s="11"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1" t="inlineStr">
        <is>
          <t>dùng R1-04</t>
        </is>
      </c>
      <c r="F254" s="4" t="inlineStr"/>
      <c r="G254" s="4" t="inlineStr"/>
      <c r="H254" s="4" t="inlineStr">
        <is>
          <t>R1-04</t>
        </is>
      </c>
    </row>
    <row r="255">
      <c r="A255" s="4" t="inlineStr">
        <is>
          <t>C14</t>
        </is>
      </c>
      <c r="B255" s="4" t="inlineStr">
        <is>
          <t>12FO NB-03 → NB-04</t>
        </is>
      </c>
      <c r="C255" s="4" t="n">
        <v>4</v>
      </c>
      <c r="D255" s="4" t="inlineStr">
        <is>
          <t>nâu</t>
        </is>
      </c>
      <c r="E255" s="11"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1" t="inlineStr">
        <is>
          <t>dùng R6-04</t>
        </is>
      </c>
      <c r="F258" s="4" t="inlineStr"/>
      <c r="G258" s="4" t="inlineStr"/>
      <c r="H258" s="4" t="inlineStr">
        <is>
          <t>R6-04</t>
        </is>
      </c>
    </row>
    <row r="259">
      <c r="A259" s="4" t="inlineStr">
        <is>
          <t>C14</t>
        </is>
      </c>
      <c r="B259" s="4" t="inlineStr">
        <is>
          <t>12FO NB-03 → NB-04</t>
        </is>
      </c>
      <c r="C259" s="4" t="n">
        <v>8</v>
      </c>
      <c r="D259" s="4" t="inlineStr">
        <is>
          <t>cam</t>
        </is>
      </c>
      <c r="E259" s="11"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1"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1"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1"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1"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1"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1"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1"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1"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1"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1"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1"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1"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1"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1"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1"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1"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12"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12"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1"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1"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12"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12"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12"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12"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12"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12"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12"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12"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12"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12"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12"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12"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12"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12"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12"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12"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1"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1"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1"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1"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1"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1"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1"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1"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1"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1"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14" t="inlineStr">
        <is>
          <t>HƯ</t>
        </is>
      </c>
      <c r="F338" s="4" t="inlineStr"/>
      <c r="G338" s="4" t="inlineStr"/>
      <c r="H338" s="4" t="inlineStr"/>
    </row>
    <row r="339">
      <c r="A339" s="4" t="inlineStr">
        <is>
          <t>C22</t>
        </is>
      </c>
      <c r="B339" s="4" t="inlineStr">
        <is>
          <t>POSTEF 11/2016 (ODF-01 hướng NB)</t>
        </is>
      </c>
      <c r="C339" s="4" t="n">
        <v>4</v>
      </c>
      <c r="D339" s="4" t="inlineStr">
        <is>
          <t>nâu</t>
        </is>
      </c>
      <c r="E339" s="14" t="inlineStr">
        <is>
          <t>HƯ</t>
        </is>
      </c>
      <c r="F339" s="4" t="inlineStr"/>
      <c r="G339" s="4" t="inlineStr"/>
      <c r="H339" s="4" t="inlineStr"/>
    </row>
    <row r="340">
      <c r="A340" s="4" t="inlineStr">
        <is>
          <t>C22</t>
        </is>
      </c>
      <c r="B340" s="4" t="inlineStr">
        <is>
          <t>POSTEF 11/2016 (ODF-01 hướng NB)</t>
        </is>
      </c>
      <c r="C340" s="4" t="n">
        <v>5</v>
      </c>
      <c r="D340" s="4" t="inlineStr">
        <is>
          <t>xám</t>
        </is>
      </c>
      <c r="E340" s="11"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1"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12"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12"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12"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12"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1"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1"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12"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12"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14"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12"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12"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12"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1"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1"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14"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12"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12"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12"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1"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1"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1"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1"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1"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1"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1"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1"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1"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1"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1"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1"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1"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1"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3"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3"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1"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1"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1"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1"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3"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3"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3"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3"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3"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3"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1"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1"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1"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1"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3"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3"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3"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3"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1"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1"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1"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1"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1"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1"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1"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1"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3"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3"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1"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1"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1"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1"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1"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1"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1"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1"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1"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1"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3"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3"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1"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1"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1"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1"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1"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1"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1"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1"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3"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3"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1"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1"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3"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3"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1"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1"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1"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1"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1"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1"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12"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12"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1"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1"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12"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12"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12"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12"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12"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12"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12"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12"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1"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1"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12"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12"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12"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12"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1"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1"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1"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1"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1"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1"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3"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3"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3"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3"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1"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1"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1"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1"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1"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1"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3"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3"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3"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3"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3"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3"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1"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1"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1"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1"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3"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3"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3"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3"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3"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3"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1"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1"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1"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1"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1"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1"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3"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3"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3"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3"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3"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3"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1"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1"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1"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1"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1"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1"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1"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1"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1"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1"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3"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3"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1"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1"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1"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1"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1"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1"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1"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1"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1"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1"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1"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1"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1"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1"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3"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3"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3"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3"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1"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1"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1"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1"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1"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1"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1"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1"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1"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1"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1"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1"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1"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1"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1"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1"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1"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1"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3"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3"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3"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3"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3"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3"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1"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1"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1"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1"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1"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1"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1"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1"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1"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1"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1"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1"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1"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1"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1"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1"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1"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1"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1"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1"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1"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1"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1"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1"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1"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1"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1"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1"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1"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1"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1"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1"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3"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3"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1"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1"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3"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3"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3"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3"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3"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3"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1"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1"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1"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1"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1"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1"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3"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3"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1"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1"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1"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1"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4" t="inlineStr">
        <is>
          <t>R1</t>
        </is>
      </c>
      <c r="B5" s="4" t="inlineStr">
        <is>
          <t>NBE12 ─ HNB059 ─ HNB060 ─ HNB048 ─ NBE22</t>
        </is>
      </c>
      <c r="C5" s="4" t="n">
        <v>3</v>
      </c>
      <c r="D5" s="4">
        <f>COUNTIFS('Đoạn &amp; quỹ suy hao'!$B$5:$B$41,A5,'Đoạn &amp; quỹ suy hao'!$E$5:$E$41,"ring")</f>
        <v/>
      </c>
      <c r="E5" s="25">
        <f>SUMIFS('Đoạn &amp; quỹ suy hao'!$K$5:$K$41,'Đoạn &amp; quỹ suy hao'!$B$5:$B$41,A5,'Đoạn &amp; quỹ suy hao'!$E$5:$E$41,"ring")</f>
        <v/>
      </c>
      <c r="F5" s="25">
        <f>_xlfn.MAXIFS('Đoạn &amp; quỹ suy hao'!$K$5:$K$41,'Đoạn &amp; quỹ suy hao'!$B$5:$B$41,A5,'Đoạn &amp; quỹ suy hao'!$E$5:$E$41,"ring")</f>
        <v/>
      </c>
      <c r="G5" s="25">
        <f>_xlfn.MINIFS('Đoạn &amp; quỹ suy hao'!$P$5:$P$41,'Đoạn &amp; quỹ suy hao'!$B$5:$B$41,A5,'Đoạn &amp; quỹ suy hao'!$E$5:$E$41,"ring")</f>
        <v/>
      </c>
      <c r="H5" s="4">
        <f>COUNTIFS('Đoạn &amp; quỹ suy hao'!$B$5:$B$41,A5,'Đoạn &amp; quỹ suy hao'!$R$5:$R$41,"Cảnh báo")</f>
        <v/>
      </c>
      <c r="I5" s="4" t="inlineStr">
        <is>
          <t>—</t>
        </is>
      </c>
    </row>
    <row r="6">
      <c r="A6" s="26" t="inlineStr">
        <is>
          <t>R2</t>
        </is>
      </c>
      <c r="B6" s="4" t="inlineStr">
        <is>
          <t>NBE12 ─ HNB054 ─ HNB006 ─ HNB091 ─ NBE22</t>
        </is>
      </c>
      <c r="C6" s="4" t="n">
        <v>3</v>
      </c>
      <c r="D6" s="4">
        <f>COUNTIFS('Đoạn &amp; quỹ suy hao'!$B$5:$B$41,A6,'Đoạn &amp; quỹ suy hao'!$E$5:$E$41,"ring")</f>
        <v/>
      </c>
      <c r="E6" s="25">
        <f>SUMIFS('Đoạn &amp; quỹ suy hao'!$K$5:$K$41,'Đoạn &amp; quỹ suy hao'!$B$5:$B$41,A6,'Đoạn &amp; quỹ suy hao'!$E$5:$E$41,"ring")</f>
        <v/>
      </c>
      <c r="F6" s="25">
        <f>_xlfn.MAXIFS('Đoạn &amp; quỹ suy hao'!$K$5:$K$41,'Đoạn &amp; quỹ suy hao'!$B$5:$B$41,A6,'Đoạn &amp; quỹ suy hao'!$E$5:$E$41,"ring")</f>
        <v/>
      </c>
      <c r="G6" s="25">
        <f>_xlfn.MINIFS('Đoạn &amp; quỹ suy hao'!$P$5:$P$41,'Đoạn &amp; quỹ suy hao'!$B$5:$B$41,A6,'Đoạn &amp; quỹ suy hao'!$E$5:$E$41,"ring")</f>
        <v/>
      </c>
      <c r="H6" s="4">
        <f>COUNTIFS('Đoạn &amp; quỹ suy hao'!$B$5:$B$41,A6,'Đoạn &amp; quỹ suy hao'!$R$5:$R$41,"Cảnh báo")</f>
        <v/>
      </c>
      <c r="I6" s="4" t="inlineStr">
        <is>
          <t>—</t>
        </is>
      </c>
    </row>
    <row r="7">
      <c r="A7" s="27" t="inlineStr">
        <is>
          <t>R3</t>
        </is>
      </c>
      <c r="B7" s="4" t="inlineStr">
        <is>
          <t>NBE12 ─ HNB055 ─ HNB065 ─ HNB094 ─ NBE22</t>
        </is>
      </c>
      <c r="C7" s="4" t="n">
        <v>3</v>
      </c>
      <c r="D7" s="4">
        <f>COUNTIFS('Đoạn &amp; quỹ suy hao'!$B$5:$B$41,A7,'Đoạn &amp; quỹ suy hao'!$E$5:$E$41,"ring")</f>
        <v/>
      </c>
      <c r="E7" s="25">
        <f>SUMIFS('Đoạn &amp; quỹ suy hao'!$K$5:$K$41,'Đoạn &amp; quỹ suy hao'!$B$5:$B$41,A7,'Đoạn &amp; quỹ suy hao'!$E$5:$E$41,"ring")</f>
        <v/>
      </c>
      <c r="F7" s="25">
        <f>_xlfn.MAXIFS('Đoạn &amp; quỹ suy hao'!$K$5:$K$41,'Đoạn &amp; quỹ suy hao'!$B$5:$B$41,A7,'Đoạn &amp; quỹ suy hao'!$E$5:$E$41,"ring")</f>
        <v/>
      </c>
      <c r="G7" s="25">
        <f>_xlfn.MINIFS('Đoạn &amp; quỹ suy hao'!$P$5:$P$41,'Đoạn &amp; quỹ suy hao'!$B$5:$B$41,A7,'Đoạn &amp; quỹ suy hao'!$E$5:$E$41,"ring")</f>
        <v/>
      </c>
      <c r="H7" s="4">
        <f>COUNTIFS('Đoạn &amp; quỹ suy hao'!$B$5:$B$41,A7,'Đoạn &amp; quỹ suy hao'!$R$5:$R$41,"Cảnh báo")</f>
        <v/>
      </c>
      <c r="I7" s="4" t="inlineStr">
        <is>
          <t>HNB018</t>
        </is>
      </c>
    </row>
    <row r="8">
      <c r="A8" s="28" t="inlineStr">
        <is>
          <t>R4</t>
        </is>
      </c>
      <c r="B8" s="4" t="inlineStr">
        <is>
          <t>NBE12 ─ HNB011 ─ HNB056 ─ HNB071 ─ HNB073 ─ NBE22</t>
        </is>
      </c>
      <c r="C8" s="4" t="n">
        <v>4</v>
      </c>
      <c r="D8" s="4">
        <f>COUNTIFS('Đoạn &amp; quỹ suy hao'!$B$5:$B$41,A8,'Đoạn &amp; quỹ suy hao'!$E$5:$E$41,"ring")</f>
        <v/>
      </c>
      <c r="E8" s="25">
        <f>SUMIFS('Đoạn &amp; quỹ suy hao'!$K$5:$K$41,'Đoạn &amp; quỹ suy hao'!$B$5:$B$41,A8,'Đoạn &amp; quỹ suy hao'!$E$5:$E$41,"ring")</f>
        <v/>
      </c>
      <c r="F8" s="25">
        <f>_xlfn.MAXIFS('Đoạn &amp; quỹ suy hao'!$K$5:$K$41,'Đoạn &amp; quỹ suy hao'!$B$5:$B$41,A8,'Đoạn &amp; quỹ suy hao'!$E$5:$E$41,"ring")</f>
        <v/>
      </c>
      <c r="G8" s="25">
        <f>_xlfn.MINIFS('Đoạn &amp; quỹ suy hao'!$P$5:$P$41,'Đoạn &amp; quỹ suy hao'!$B$5:$B$41,A8,'Đoạn &amp; quỹ suy hao'!$E$5:$E$41,"ring")</f>
        <v/>
      </c>
      <c r="H8" s="4">
        <f>COUNTIFS('Đoạn &amp; quỹ suy hao'!$B$5:$B$41,A8,'Đoạn &amp; quỹ suy hao'!$R$5:$R$41,"Cảnh báo")</f>
        <v/>
      </c>
      <c r="I8" s="4" t="inlineStr">
        <is>
          <t>—</t>
        </is>
      </c>
    </row>
    <row r="9">
      <c r="A9" s="29" t="inlineStr">
        <is>
          <t>R5</t>
        </is>
      </c>
      <c r="B9" s="4" t="inlineStr">
        <is>
          <t>NBE12 ─ HNB012 ─ HNB014 ─ HNB075 ─ NBE22</t>
        </is>
      </c>
      <c r="C9" s="4" t="n">
        <v>3</v>
      </c>
      <c r="D9" s="4">
        <f>COUNTIFS('Đoạn &amp; quỹ suy hao'!$B$5:$B$41,A9,'Đoạn &amp; quỹ suy hao'!$E$5:$E$41,"ring")</f>
        <v/>
      </c>
      <c r="E9" s="25">
        <f>SUMIFS('Đoạn &amp; quỹ suy hao'!$K$5:$K$41,'Đoạn &amp; quỹ suy hao'!$B$5:$B$41,A9,'Đoạn &amp; quỹ suy hao'!$E$5:$E$41,"ring")</f>
        <v/>
      </c>
      <c r="F9" s="25">
        <f>_xlfn.MAXIFS('Đoạn &amp; quỹ suy hao'!$K$5:$K$41,'Đoạn &amp; quỹ suy hao'!$B$5:$B$41,A9,'Đoạn &amp; quỹ suy hao'!$E$5:$E$41,"ring")</f>
        <v/>
      </c>
      <c r="G9" s="25">
        <f>_xlfn.MINIFS('Đoạn &amp; quỹ suy hao'!$P$5:$P$41,'Đoạn &amp; quỹ suy hao'!$B$5:$B$41,A9,'Đoạn &amp; quỹ suy hao'!$E$5:$E$41,"ring")</f>
        <v/>
      </c>
      <c r="H9" s="4">
        <f>COUNTIFS('Đoạn &amp; quỹ suy hao'!$B$5:$B$41,A9,'Đoạn &amp; quỹ suy hao'!$R$5:$R$41,"Cảnh báo")</f>
        <v/>
      </c>
      <c r="I9" s="4" t="inlineStr">
        <is>
          <t>—</t>
        </is>
      </c>
    </row>
    <row r="10">
      <c r="A10" s="30" t="inlineStr">
        <is>
          <t>R6</t>
        </is>
      </c>
      <c r="B10" s="4" t="inlineStr">
        <is>
          <t>NBE12 ─ HNB086 ─ HNB024 ─ HNB027 ─ HNB031 ─ HNB020 ─ NBE22</t>
        </is>
      </c>
      <c r="C10" s="4" t="n">
        <v>5</v>
      </c>
      <c r="D10" s="4">
        <f>COUNTIFS('Đoạn &amp; quỹ suy hao'!$B$5:$B$41,A10,'Đoạn &amp; quỹ suy hao'!$E$5:$E$41,"ring")</f>
        <v/>
      </c>
      <c r="E10" s="25">
        <f>SUMIFS('Đoạn &amp; quỹ suy hao'!$K$5:$K$41,'Đoạn &amp; quỹ suy hao'!$B$5:$B$41,A10,'Đoạn &amp; quỹ suy hao'!$E$5:$E$41,"ring")</f>
        <v/>
      </c>
      <c r="F10" s="25">
        <f>_xlfn.MAXIFS('Đoạn &amp; quỹ suy hao'!$K$5:$K$41,'Đoạn &amp; quỹ suy hao'!$B$5:$B$41,A10,'Đoạn &amp; quỹ suy hao'!$E$5:$E$41,"ring")</f>
        <v/>
      </c>
      <c r="G10" s="25">
        <f>_xlfn.MINIFS('Đoạn &amp; quỹ suy hao'!$P$5:$P$41,'Đoạn &amp; quỹ suy hao'!$B$5:$B$41,A10,'Đoạn &amp; quỹ suy hao'!$E$5:$E$41,"ring")</f>
        <v/>
      </c>
      <c r="H10" s="4">
        <f>COUNTIFS('Đoạn &amp; quỹ suy hao'!$B$5:$B$41,A10,'Đoạn &amp; quỹ suy hao'!$R$5:$R$41,"Cảnh báo")</f>
        <v/>
      </c>
      <c r="I10" s="4" t="inlineStr">
        <is>
          <t>—</t>
        </is>
      </c>
    </row>
    <row r="11">
      <c r="A11" s="31" t="inlineStr">
        <is>
          <t>R7</t>
        </is>
      </c>
      <c r="B11" s="4" t="inlineStr">
        <is>
          <t>NBE12 ─ HNB005 ─ HNB062 ─ HNB021 ─ HNB013 ─ NBE22</t>
        </is>
      </c>
      <c r="C11" s="4" t="n">
        <v>4</v>
      </c>
      <c r="D11" s="4">
        <f>COUNTIFS('Đoạn &amp; quỹ suy hao'!$B$5:$B$41,A11,'Đoạn &amp; quỹ suy hao'!$E$5:$E$41,"ring")</f>
        <v/>
      </c>
      <c r="E11" s="25">
        <f>SUMIFS('Đoạn &amp; quỹ suy hao'!$K$5:$K$41,'Đoạn &amp; quỹ suy hao'!$B$5:$B$41,A11,'Đoạn &amp; quỹ suy hao'!$E$5:$E$41,"ring")</f>
        <v/>
      </c>
      <c r="F11" s="25">
        <f>_xlfn.MAXIFS('Đoạn &amp; quỹ suy hao'!$K$5:$K$41,'Đoạn &amp; quỹ suy hao'!$B$5:$B$41,A11,'Đoạn &amp; quỹ suy hao'!$E$5:$E$41,"ring")</f>
        <v/>
      </c>
      <c r="G11" s="25">
        <f>_xlfn.MINIFS('Đoạn &amp; quỹ suy hao'!$P$5:$P$41,'Đoạn &amp; quỹ suy hao'!$B$5:$B$41,A11,'Đoạn &amp; quỹ suy hao'!$E$5:$E$41,"ring")</f>
        <v/>
      </c>
      <c r="H11" s="4">
        <f>COUNTIFS('Đoạn &amp; quỹ suy hao'!$B$5:$B$41,A11,'Đoạn &amp; quỹ suy hao'!$R$5:$R$41,"Cảnh báo")</f>
        <v/>
      </c>
      <c r="I11" s="4" t="inlineStr">
        <is>
          <t>—</t>
        </is>
      </c>
    </row>
    <row r="12">
      <c r="A12" s="32" t="inlineStr">
        <is>
          <t>R8</t>
        </is>
      </c>
      <c r="B12" s="4" t="inlineStr">
        <is>
          <t>NBE12 ─ HNB066 ─ HNB016 ─ HNB038 ─ NBE22</t>
        </is>
      </c>
      <c r="C12" s="4" t="n">
        <v>3</v>
      </c>
      <c r="D12" s="4">
        <f>COUNTIFS('Đoạn &amp; quỹ suy hao'!$B$5:$B$41,A12,'Đoạn &amp; quỹ suy hao'!$E$5:$E$41,"ring")</f>
        <v/>
      </c>
      <c r="E12" s="25">
        <f>SUMIFS('Đoạn &amp; quỹ suy hao'!$K$5:$K$41,'Đoạn &amp; quỹ suy hao'!$B$5:$B$41,A12,'Đoạn &amp; quỹ suy hao'!$E$5:$E$41,"ring")</f>
        <v/>
      </c>
      <c r="F12" s="25">
        <f>_xlfn.MAXIFS('Đoạn &amp; quỹ suy hao'!$K$5:$K$41,'Đoạn &amp; quỹ suy hao'!$B$5:$B$41,A12,'Đoạn &amp; quỹ suy hao'!$E$5:$E$41,"ring")</f>
        <v/>
      </c>
      <c r="G12" s="25">
        <f>_xlfn.MINIFS('Đoạn &amp; quỹ suy hao'!$P$5:$P$41,'Đoạn &amp; quỹ suy hao'!$B$5:$B$41,A12,'Đoạn &amp; quỹ suy hao'!$E$5:$E$41,"ring")</f>
        <v/>
      </c>
      <c r="H12" s="4">
        <f>COUNTIFS('Đoạn &amp; quỹ suy hao'!$B$5:$B$41,A12,'Đoạn &amp; quỹ suy hao'!$R$5:$R$41,"Cảnh báo")</f>
        <v/>
      </c>
      <c r="I12" s="4" t="inlineStr">
        <is>
          <t>—</t>
        </is>
      </c>
    </row>
    <row r="15">
      <c r="A15" s="18" t="inlineStr">
        <is>
          <t>Sơ đồ (số trên mũi tên = km tính; ■ AGG, ○ CSG)</t>
        </is>
      </c>
    </row>
    <row r="16">
      <c r="A16" s="33" t="inlineStr">
        <is>
          <t>R1</t>
        </is>
      </c>
      <c r="B16" s="34" t="inlineStr">
        <is>
          <t>■ NBE12</t>
        </is>
      </c>
      <c r="C16" s="35">
        <f>'Đoạn &amp; quỹ suy hao'!K5</f>
        <v/>
      </c>
      <c r="D16" s="36" t="inlineStr">
        <is>
          <t>○ HNB059</t>
        </is>
      </c>
      <c r="E16" s="35">
        <f>'Đoạn &amp; quỹ suy hao'!K6</f>
        <v/>
      </c>
      <c r="F16" s="36" t="inlineStr">
        <is>
          <t>○ HNB060</t>
        </is>
      </c>
      <c r="G16" s="35">
        <f>'Đoạn &amp; quỹ suy hao'!K7</f>
        <v/>
      </c>
      <c r="H16" s="36" t="inlineStr">
        <is>
          <t>○ HNB048</t>
        </is>
      </c>
      <c r="I16" s="35">
        <f>'Đoạn &amp; quỹ suy hao'!K8</f>
        <v/>
      </c>
      <c r="J16" s="34" t="inlineStr">
        <is>
          <t>■ NBE22</t>
        </is>
      </c>
    </row>
    <row r="17">
      <c r="C17" s="37" t="inlineStr">
        <is>
          <t>lề trái</t>
        </is>
      </c>
      <c r="E17" s="37" t="inlineStr">
        <is>
          <t>lề trái</t>
        </is>
      </c>
      <c r="G17" s="37" t="inlineStr">
        <is>
          <t>lề phải</t>
        </is>
      </c>
      <c r="I17" s="37" t="inlineStr">
        <is>
          <t>lề phải</t>
        </is>
      </c>
    </row>
    <row r="18">
      <c r="A18" s="38" t="inlineStr">
        <is>
          <t>R2</t>
        </is>
      </c>
      <c r="B18" s="34" t="inlineStr">
        <is>
          <t>■ NBE12</t>
        </is>
      </c>
      <c r="C18" s="35">
        <f>'Đoạn &amp; quỹ suy hao'!K9</f>
        <v/>
      </c>
      <c r="D18" s="39" t="inlineStr">
        <is>
          <t>○ HNB054</t>
        </is>
      </c>
      <c r="E18" s="35">
        <f>'Đoạn &amp; quỹ suy hao'!K10</f>
        <v/>
      </c>
      <c r="F18" s="39" t="inlineStr">
        <is>
          <t>○ HNB006</t>
        </is>
      </c>
      <c r="G18" s="35">
        <f>'Đoạn &amp; quỹ suy hao'!K11</f>
        <v/>
      </c>
      <c r="H18" s="39" t="inlineStr">
        <is>
          <t>○ HNB091</t>
        </is>
      </c>
      <c r="I18" s="35">
        <f>'Đoạn &amp; quỹ suy hao'!K12</f>
        <v/>
      </c>
      <c r="J18" s="34" t="inlineStr">
        <is>
          <t>■ NBE22</t>
        </is>
      </c>
    </row>
    <row r="19">
      <c r="C19" s="37" t="inlineStr">
        <is>
          <t>lề trái</t>
        </is>
      </c>
      <c r="E19" s="37" t="inlineStr">
        <is>
          <t>lề trái</t>
        </is>
      </c>
      <c r="G19" s="37" t="inlineStr">
        <is>
          <t>lề trái</t>
        </is>
      </c>
      <c r="I19" s="37" t="inlineStr">
        <is>
          <t>lề phải</t>
        </is>
      </c>
    </row>
    <row r="20">
      <c r="A20" s="40" t="inlineStr">
        <is>
          <t>R3</t>
        </is>
      </c>
      <c r="B20" s="34" t="inlineStr">
        <is>
          <t>■ NBE12</t>
        </is>
      </c>
      <c r="C20" s="35">
        <f>'Đoạn &amp; quỹ suy hao'!K13</f>
        <v/>
      </c>
      <c r="D20" s="41" t="inlineStr">
        <is>
          <t>○ HNB055</t>
        </is>
      </c>
      <c r="E20" s="35">
        <f>'Đoạn &amp; quỹ suy hao'!K14</f>
        <v/>
      </c>
      <c r="F20" s="41" t="inlineStr">
        <is>
          <t>○ HNB065</t>
        </is>
      </c>
      <c r="G20" s="35">
        <f>'Đoạn &amp; quỹ suy hao'!K15</f>
        <v/>
      </c>
      <c r="H20" s="41" t="inlineStr">
        <is>
          <t>○ HNB094</t>
        </is>
      </c>
      <c r="I20" s="35">
        <f>'Đoạn &amp; quỹ suy hao'!K16</f>
        <v/>
      </c>
      <c r="J20" s="34" t="inlineStr">
        <is>
          <t>■ NBE22</t>
        </is>
      </c>
    </row>
    <row r="22">
      <c r="A22" s="42" t="inlineStr">
        <is>
          <t>R4</t>
        </is>
      </c>
      <c r="B22" s="34" t="inlineStr">
        <is>
          <t>■ NBE12</t>
        </is>
      </c>
      <c r="C22" s="35">
        <f>'Đoạn &amp; quỹ suy hao'!K18</f>
        <v/>
      </c>
      <c r="D22" s="43" t="inlineStr">
        <is>
          <t>○ HNB011</t>
        </is>
      </c>
      <c r="E22" s="35">
        <f>'Đoạn &amp; quỹ suy hao'!K19</f>
        <v/>
      </c>
      <c r="F22" s="43" t="inlineStr">
        <is>
          <t>○ HNB056</t>
        </is>
      </c>
      <c r="G22" s="35">
        <f>'Đoạn &amp; quỹ suy hao'!K20</f>
        <v/>
      </c>
      <c r="H22" s="43" t="inlineStr">
        <is>
          <t>○ HNB071</t>
        </is>
      </c>
      <c r="I22" s="35">
        <f>'Đoạn &amp; quỹ suy hao'!K21</f>
        <v/>
      </c>
      <c r="J22" s="43" t="inlineStr">
        <is>
          <t>○ HNB073</t>
        </is>
      </c>
      <c r="K22" s="35">
        <f>'Đoạn &amp; quỹ suy hao'!K22</f>
        <v/>
      </c>
      <c r="L22" s="34" t="inlineStr">
        <is>
          <t>■ NBE22</t>
        </is>
      </c>
    </row>
    <row r="24">
      <c r="A24" s="44" t="inlineStr">
        <is>
          <t>R5</t>
        </is>
      </c>
      <c r="B24" s="34" t="inlineStr">
        <is>
          <t>■ NBE12</t>
        </is>
      </c>
      <c r="C24" s="35">
        <f>'Đoạn &amp; quỹ suy hao'!K23</f>
        <v/>
      </c>
      <c r="D24" s="45" t="inlineStr">
        <is>
          <t>○ HNB012</t>
        </is>
      </c>
      <c r="E24" s="35">
        <f>'Đoạn &amp; quỹ suy hao'!K24</f>
        <v/>
      </c>
      <c r="F24" s="45" t="inlineStr">
        <is>
          <t>○ HNB014</t>
        </is>
      </c>
      <c r="G24" s="35">
        <f>'Đoạn &amp; quỹ suy hao'!K25</f>
        <v/>
      </c>
      <c r="H24" s="45" t="inlineStr">
        <is>
          <t>○ HNB075</t>
        </is>
      </c>
      <c r="I24" s="35">
        <f>'Đoạn &amp; quỹ suy hao'!K26</f>
        <v/>
      </c>
      <c r="J24" s="34" t="inlineStr">
        <is>
          <t>■ NBE22</t>
        </is>
      </c>
    </row>
    <row r="26">
      <c r="A26" s="46" t="inlineStr">
        <is>
          <t>R6</t>
        </is>
      </c>
      <c r="B26" s="34" t="inlineStr">
        <is>
          <t>■ NBE12</t>
        </is>
      </c>
      <c r="C26" s="35">
        <f>'Đoạn &amp; quỹ suy hao'!K27</f>
        <v/>
      </c>
      <c r="D26" s="47" t="inlineStr">
        <is>
          <t>○ HNB086</t>
        </is>
      </c>
      <c r="E26" s="35">
        <f>'Đoạn &amp; quỹ suy hao'!K28</f>
        <v/>
      </c>
      <c r="F26" s="47" t="inlineStr">
        <is>
          <t>○ HNB024</t>
        </is>
      </c>
      <c r="G26" s="35">
        <f>'Đoạn &amp; quỹ suy hao'!K29</f>
        <v/>
      </c>
      <c r="H26" s="47" t="inlineStr">
        <is>
          <t>○ HNB027</t>
        </is>
      </c>
      <c r="I26" s="35">
        <f>'Đoạn &amp; quỹ suy hao'!K30</f>
        <v/>
      </c>
      <c r="J26" s="47" t="inlineStr">
        <is>
          <t>○ HNB031</t>
        </is>
      </c>
      <c r="K26" s="35">
        <f>'Đoạn &amp; quỹ suy hao'!K31</f>
        <v/>
      </c>
      <c r="L26" s="47" t="inlineStr">
        <is>
          <t>○ HNB020</t>
        </is>
      </c>
      <c r="M26" s="35">
        <f>'Đoạn &amp; quỹ suy hao'!K32</f>
        <v/>
      </c>
      <c r="N26" s="34" t="inlineStr">
        <is>
          <t>■ NBE22</t>
        </is>
      </c>
    </row>
    <row r="27">
      <c r="K27" s="37" t="inlineStr">
        <is>
          <t>lề hai</t>
        </is>
      </c>
    </row>
    <row r="28">
      <c r="A28" s="48" t="inlineStr">
        <is>
          <t>R7</t>
        </is>
      </c>
      <c r="B28" s="34" t="inlineStr">
        <is>
          <t>■ NBE12</t>
        </is>
      </c>
      <c r="C28" s="35">
        <f>'Đoạn &amp; quỹ suy hao'!K33</f>
        <v/>
      </c>
      <c r="D28" s="49" t="inlineStr">
        <is>
          <t>○ HNB005</t>
        </is>
      </c>
      <c r="E28" s="35">
        <f>'Đoạn &amp; quỹ suy hao'!K34</f>
        <v/>
      </c>
      <c r="F28" s="49" t="inlineStr">
        <is>
          <t>○ HNB062</t>
        </is>
      </c>
      <c r="G28" s="35">
        <f>'Đoạn &amp; quỹ suy hao'!K35</f>
        <v/>
      </c>
      <c r="H28" s="49" t="inlineStr">
        <is>
          <t>○ HNB021</t>
        </is>
      </c>
      <c r="I28" s="35">
        <f>'Đoạn &amp; quỹ suy hao'!K36</f>
        <v/>
      </c>
      <c r="J28" s="49" t="inlineStr">
        <is>
          <t>○ HNB013</t>
        </is>
      </c>
      <c r="K28" s="35">
        <f>'Đoạn &amp; quỹ suy hao'!K37</f>
        <v/>
      </c>
      <c r="L28" s="34" t="inlineStr">
        <is>
          <t>■ NBE22</t>
        </is>
      </c>
    </row>
    <row r="30">
      <c r="A30" s="50" t="inlineStr">
        <is>
          <t>R8</t>
        </is>
      </c>
      <c r="B30" s="34" t="inlineStr">
        <is>
          <t>■ NBE12</t>
        </is>
      </c>
      <c r="C30" s="35">
        <f>'Đoạn &amp; quỹ suy hao'!K38</f>
        <v/>
      </c>
      <c r="D30" s="51" t="inlineStr">
        <is>
          <t>○ HNB066</t>
        </is>
      </c>
      <c r="E30" s="35">
        <f>'Đoạn &amp; quỹ suy hao'!K39</f>
        <v/>
      </c>
      <c r="F30" s="51" t="inlineStr">
        <is>
          <t>○ HNB016</t>
        </is>
      </c>
      <c r="G30" s="35">
        <f>'Đoạn &amp; quỹ suy hao'!K40</f>
        <v/>
      </c>
      <c r="H30" s="51" t="inlineStr">
        <is>
          <t>○ HNB038</t>
        </is>
      </c>
      <c r="I30" s="35">
        <f>'Đoạn &amp; quỹ suy hao'!K41</f>
        <v/>
      </c>
      <c r="J30" s="34"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4"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2">
        <f>IF(J5="Có",I5*'Tham số'!$B$10,IF(H5="",I5*'Tham số'!$B$10,H5))</f>
        <v/>
      </c>
      <c r="L5" s="4" t="n">
        <v>1.664</v>
      </c>
      <c r="M5" s="4" t="n">
        <v>3.069</v>
      </c>
      <c r="N5" s="52">
        <f>IF(L5="","",MAX(L5,M5)*IF(J5="Có",K5/H5,1))</f>
        <v/>
      </c>
      <c r="O5" s="4">
        <f>IF(K5&lt;'Tham số'!$B$7,'Tham số'!$B$4,IF(K5&lt;='Tham số'!$B$8,'Tham số'!$B$5,'Tham số'!$B$6))</f>
        <v/>
      </c>
      <c r="P5" s="52">
        <f>IF(N5="","",O5-N5)</f>
        <v/>
      </c>
      <c r="Q5" s="52">
        <f>IF(L5="","",ABS(L5-M5))</f>
        <v/>
      </c>
      <c r="R5" s="4">
        <f>IF(N5="","Chưa đo",IF(AND(N5&lt;=O5,Q5&lt;='Tham số'!$B$9),"Đạt","Cảnh báo"))</f>
        <v/>
      </c>
      <c r="S5" s="52">
        <f>IF(OR(H5="",I5=""),"",H5/I5)</f>
        <v/>
      </c>
      <c r="T5" s="21">
        <f>IF(OR(G5="",H5=""),"",ABS(H5-G5)/G5)</f>
        <v/>
      </c>
      <c r="U5" s="4" t="n">
        <v>34</v>
      </c>
    </row>
    <row r="6">
      <c r="A6" s="24"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2">
        <f>IF(J6="Có",I6*'Tham số'!$B$10,IF(H6="",I6*'Tham số'!$B$10,H6))</f>
        <v/>
      </c>
      <c r="L6" s="4" t="n">
        <v>1.024</v>
      </c>
      <c r="M6" s="4" t="n">
        <v>1.024</v>
      </c>
      <c r="N6" s="52">
        <f>IF(L6="","",MAX(L6,M6)*IF(J6="Có",K6/H6,1))</f>
        <v/>
      </c>
      <c r="O6" s="4">
        <f>IF(K6&lt;'Tham số'!$B$7,'Tham số'!$B$4,IF(K6&lt;='Tham số'!$B$8,'Tham số'!$B$5,'Tham số'!$B$6))</f>
        <v/>
      </c>
      <c r="P6" s="52">
        <f>IF(N6="","",O6-N6)</f>
        <v/>
      </c>
      <c r="Q6" s="52">
        <f>IF(L6="","",ABS(L6-M6))</f>
        <v/>
      </c>
      <c r="R6" s="4">
        <f>IF(N6="","Chưa đo",IF(AND(N6&lt;=O6,Q6&lt;='Tham số'!$B$9),"Đạt","Cảnh báo"))</f>
        <v/>
      </c>
      <c r="S6" s="52">
        <f>IF(OR(H6="",I6=""),"",H6/I6)</f>
        <v/>
      </c>
      <c r="T6" s="21">
        <f>IF(OR(G6="",H6=""),"",ABS(H6-G6)/G6)</f>
        <v/>
      </c>
      <c r="U6" s="4" t="n">
        <v>37</v>
      </c>
    </row>
    <row r="7">
      <c r="A7" s="24"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2">
        <f>IF(J7="Có",I7*'Tham số'!$B$10,IF(H7="",I7*'Tham số'!$B$10,H7))</f>
        <v/>
      </c>
      <c r="L7" s="4" t="n">
        <v>1.469</v>
      </c>
      <c r="M7" s="4" t="n">
        <v>1.473</v>
      </c>
      <c r="N7" s="52">
        <f>IF(L7="","",MAX(L7,M7)*IF(J7="Có",K7/H7,1))</f>
        <v/>
      </c>
      <c r="O7" s="4">
        <f>IF(K7&lt;'Tham số'!$B$7,'Tham số'!$B$4,IF(K7&lt;='Tham số'!$B$8,'Tham số'!$B$5,'Tham số'!$B$6))</f>
        <v/>
      </c>
      <c r="P7" s="52">
        <f>IF(N7="","",O7-N7)</f>
        <v/>
      </c>
      <c r="Q7" s="52">
        <f>IF(L7="","",ABS(L7-M7))</f>
        <v/>
      </c>
      <c r="R7" s="4">
        <f>IF(N7="","Chưa đo",IF(AND(N7&lt;=O7,Q7&lt;='Tham số'!$B$9),"Đạt","Cảnh báo"))</f>
        <v/>
      </c>
      <c r="S7" s="52">
        <f>IF(OR(H7="",I7=""),"",H7/I7)</f>
        <v/>
      </c>
      <c r="T7" s="21">
        <f>IF(OR(G7="",H7=""),"",ABS(H7-G7)/G7)</f>
        <v/>
      </c>
      <c r="U7" s="4" t="n">
        <v>36</v>
      </c>
    </row>
    <row r="8">
      <c r="A8" s="24"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2">
        <f>IF(J8="Có",I8*'Tham số'!$B$10,IF(H8="",I8*'Tham số'!$B$10,H8))</f>
        <v/>
      </c>
      <c r="L8" s="4" t="n">
        <v>8.118</v>
      </c>
      <c r="M8" s="4" t="n">
        <v>8.118</v>
      </c>
      <c r="N8" s="52">
        <f>IF(L8="","",MAX(L8,M8)*IF(J8="Có",K8/H8,1))</f>
        <v/>
      </c>
      <c r="O8" s="4">
        <f>IF(K8&lt;'Tham số'!$B$7,'Tham số'!$B$4,IF(K8&lt;='Tham số'!$B$8,'Tham số'!$B$5,'Tham số'!$B$6))</f>
        <v/>
      </c>
      <c r="P8" s="52">
        <f>IF(N8="","",O8-N8)</f>
        <v/>
      </c>
      <c r="Q8" s="52">
        <f>IF(L8="","",ABS(L8-M8))</f>
        <v/>
      </c>
      <c r="R8" s="4">
        <f>IF(N8="","Chưa đo",IF(AND(N8&lt;=O8,Q8&lt;='Tham số'!$B$9),"Đạt","Cảnh báo"))</f>
        <v/>
      </c>
      <c r="S8" s="52">
        <f>IF(OR(H8="",I8=""),"",H8/I8)</f>
        <v/>
      </c>
      <c r="T8" s="21">
        <f>IF(OR(G8="",H8=""),"",ABS(H8-G8)/G8)</f>
        <v/>
      </c>
      <c r="U8" s="4" t="n">
        <v>35</v>
      </c>
    </row>
    <row r="9">
      <c r="A9" s="26"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2">
        <f>IF(J9="Có",I9*'Tham số'!$B$10,IF(H9="",I9*'Tham số'!$B$10,H9))</f>
        <v/>
      </c>
      <c r="L9" s="4" t="n">
        <v>0.703</v>
      </c>
      <c r="M9" s="4" t="n">
        <v>0.468</v>
      </c>
      <c r="N9" s="52">
        <f>IF(L9="","",MAX(L9,M9)*IF(J9="Có",K9/H9,1))</f>
        <v/>
      </c>
      <c r="O9" s="4">
        <f>IF(K9&lt;'Tham số'!$B$7,'Tham số'!$B$4,IF(K9&lt;='Tham số'!$B$8,'Tham số'!$B$5,'Tham số'!$B$6))</f>
        <v/>
      </c>
      <c r="P9" s="52">
        <f>IF(N9="","",O9-N9)</f>
        <v/>
      </c>
      <c r="Q9" s="52">
        <f>IF(L9="","",ABS(L9-M9))</f>
        <v/>
      </c>
      <c r="R9" s="4">
        <f>IF(N9="","Chưa đo",IF(AND(N9&lt;=O9,Q9&lt;='Tham số'!$B$9),"Đạt","Cảnh báo"))</f>
        <v/>
      </c>
      <c r="S9" s="52">
        <f>IF(OR(H9="",I9=""),"",H9/I9)</f>
        <v/>
      </c>
      <c r="T9" s="21">
        <f>IF(OR(G9="",H9=""),"",ABS(H9-G9)/G9)</f>
        <v/>
      </c>
      <c r="U9" s="4" t="n">
        <v>30</v>
      </c>
    </row>
    <row r="10">
      <c r="A10" s="26"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2">
        <f>IF(J10="Có",I10*'Tham số'!$B$10,IF(H10="",I10*'Tham số'!$B$10,H10))</f>
        <v/>
      </c>
      <c r="L10" s="4" t="n">
        <v>2.359</v>
      </c>
      <c r="M10" s="4" t="n">
        <v>0.336</v>
      </c>
      <c r="N10" s="52">
        <f>IF(L10="","",MAX(L10,M10)*IF(J10="Có",K10/H10,1))</f>
        <v/>
      </c>
      <c r="O10" s="4">
        <f>IF(K10&lt;'Tham số'!$B$7,'Tham số'!$B$4,IF(K10&lt;='Tham số'!$B$8,'Tham số'!$B$5,'Tham số'!$B$6))</f>
        <v/>
      </c>
      <c r="P10" s="52">
        <f>IF(N10="","",O10-N10)</f>
        <v/>
      </c>
      <c r="Q10" s="52">
        <f>IF(L10="","",ABS(L10-M10))</f>
        <v/>
      </c>
      <c r="R10" s="4">
        <f>IF(N10="","Chưa đo",IF(AND(N10&lt;=O10,Q10&lt;='Tham số'!$B$9),"Đạt","Cảnh báo"))</f>
        <v/>
      </c>
      <c r="S10" s="52">
        <f>IF(OR(H10="",I10=""),"",H10/I10)</f>
        <v/>
      </c>
      <c r="T10" s="21">
        <f>IF(OR(G10="",H10=""),"",ABS(H10-G10)/G10)</f>
        <v/>
      </c>
      <c r="U10" s="4" t="n">
        <v>31</v>
      </c>
    </row>
    <row r="11">
      <c r="A11" s="26"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2">
        <f>IF(J11="Có",I11*'Tham số'!$B$10,IF(H11="",I11*'Tham số'!$B$10,H11))</f>
        <v/>
      </c>
      <c r="L11" s="4" t="n">
        <v>0.549</v>
      </c>
      <c r="M11" s="4" t="n">
        <v>0.549</v>
      </c>
      <c r="N11" s="52">
        <f>IF(L11="","",MAX(L11,M11)*IF(J11="Có",K11/H11,1))</f>
        <v/>
      </c>
      <c r="O11" s="4">
        <f>IF(K11&lt;'Tham số'!$B$7,'Tham số'!$B$4,IF(K11&lt;='Tham số'!$B$8,'Tham số'!$B$5,'Tham số'!$B$6))</f>
        <v/>
      </c>
      <c r="P11" s="52">
        <f>IF(N11="","",O11-N11)</f>
        <v/>
      </c>
      <c r="Q11" s="52">
        <f>IF(L11="","",ABS(L11-M11))</f>
        <v/>
      </c>
      <c r="R11" s="4">
        <f>IF(N11="","Chưa đo",IF(AND(N11&lt;=O11,Q11&lt;='Tham số'!$B$9),"Đạt","Cảnh báo"))</f>
        <v/>
      </c>
      <c r="S11" s="52">
        <f>IF(OR(H11="",I11=""),"",H11/I11)</f>
        <v/>
      </c>
      <c r="T11" s="21">
        <f>IF(OR(G11="",H11=""),"",ABS(H11-G11)/G11)</f>
        <v/>
      </c>
      <c r="U11" s="4" t="n">
        <v>32</v>
      </c>
    </row>
    <row r="12">
      <c r="A12" s="26"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2">
        <f>IF(J12="Có",I12*'Tham số'!$B$10,IF(H12="",I12*'Tham số'!$B$10,H12))</f>
        <v/>
      </c>
      <c r="L12" s="4" t="n">
        <v>7.815</v>
      </c>
      <c r="M12" s="4" t="n">
        <v>5.984</v>
      </c>
      <c r="N12" s="52">
        <f>IF(L12="","",MAX(L12,M12)*IF(J12="Có",K12/H12,1))</f>
        <v/>
      </c>
      <c r="O12" s="4">
        <f>IF(K12&lt;'Tham số'!$B$7,'Tham số'!$B$4,IF(K12&lt;='Tham số'!$B$8,'Tham số'!$B$5,'Tham số'!$B$6))</f>
        <v/>
      </c>
      <c r="P12" s="52">
        <f>IF(N12="","",O12-N12)</f>
        <v/>
      </c>
      <c r="Q12" s="52">
        <f>IF(L12="","",ABS(L12-M12))</f>
        <v/>
      </c>
      <c r="R12" s="4">
        <f>IF(N12="","Chưa đo",IF(AND(N12&lt;=O12,Q12&lt;='Tham số'!$B$9),"Đạt","Cảnh báo"))</f>
        <v/>
      </c>
      <c r="S12" s="52">
        <f>IF(OR(H12="",I12=""),"",H12/I12)</f>
        <v/>
      </c>
      <c r="T12" s="21">
        <f>IF(OR(G12="",H12=""),"",ABS(H12-G12)/G12)</f>
        <v/>
      </c>
      <c r="U12" s="4" t="n">
        <v>33</v>
      </c>
    </row>
    <row r="13">
      <c r="A13" s="27"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2">
        <f>IF(J13="Có",I13*'Tham số'!$B$10,IF(H13="",I13*'Tham số'!$B$10,H13))</f>
        <v/>
      </c>
      <c r="L13" s="4" t="n">
        <v>3.794</v>
      </c>
      <c r="M13" s="4" t="n">
        <v>3.842</v>
      </c>
      <c r="N13" s="52">
        <f>IF(L13="","",MAX(L13,M13)*IF(J13="Có",K13/H13,1))</f>
        <v/>
      </c>
      <c r="O13" s="4">
        <f>IF(K13&lt;'Tham số'!$B$7,'Tham số'!$B$4,IF(K13&lt;='Tham số'!$B$8,'Tham số'!$B$5,'Tham số'!$B$6))</f>
        <v/>
      </c>
      <c r="P13" s="52">
        <f>IF(N13="","",O13-N13)</f>
        <v/>
      </c>
      <c r="Q13" s="52">
        <f>IF(L13="","",ABS(L13-M13))</f>
        <v/>
      </c>
      <c r="R13" s="4">
        <f>IF(N13="","Chưa đo",IF(AND(N13&lt;=O13,Q13&lt;='Tham số'!$B$9),"Đạt","Cảnh báo"))</f>
        <v/>
      </c>
      <c r="S13" s="52">
        <f>IF(OR(H13="",I13=""),"",H13/I13)</f>
        <v/>
      </c>
      <c r="T13" s="21">
        <f>IF(OR(G13="",H13=""),"",ABS(H13-G13)/G13)</f>
        <v/>
      </c>
      <c r="U13" s="4" t="n">
        <v>25</v>
      </c>
    </row>
    <row r="14">
      <c r="A14" s="27"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2">
        <f>IF(J14="Có",I14*'Tham số'!$B$10,IF(H14="",I14*'Tham số'!$B$10,H14))</f>
        <v/>
      </c>
      <c r="L14" s="4" t="n">
        <v>0.247</v>
      </c>
      <c r="M14" s="4" t="n">
        <v>0.248</v>
      </c>
      <c r="N14" s="52">
        <f>IF(L14="","",MAX(L14,M14)*IF(J14="Có",K14/H14,1))</f>
        <v/>
      </c>
      <c r="O14" s="4">
        <f>IF(K14&lt;'Tham số'!$B$7,'Tham số'!$B$4,IF(K14&lt;='Tham số'!$B$8,'Tham số'!$B$5,'Tham số'!$B$6))</f>
        <v/>
      </c>
      <c r="P14" s="52">
        <f>IF(N14="","",O14-N14)</f>
        <v/>
      </c>
      <c r="Q14" s="52">
        <f>IF(L14="","",ABS(L14-M14))</f>
        <v/>
      </c>
      <c r="R14" s="4">
        <f>IF(N14="","Chưa đo",IF(AND(N14&lt;=O14,Q14&lt;='Tham số'!$B$9),"Đạt","Cảnh báo"))</f>
        <v/>
      </c>
      <c r="S14" s="52">
        <f>IF(OR(H14="",I14=""),"",H14/I14)</f>
        <v/>
      </c>
      <c r="T14" s="21">
        <f>IF(OR(G14="",H14=""),"",ABS(H14-G14)/G14)</f>
        <v/>
      </c>
      <c r="U14" s="4" t="n">
        <v>26</v>
      </c>
    </row>
    <row r="15">
      <c r="A15" s="27"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2">
        <f>IF(J15="Có",I15*'Tham số'!$B$10,IF(H15="",I15*'Tham số'!$B$10,H15))</f>
        <v/>
      </c>
      <c r="L15" s="4" t="n">
        <v>0.804</v>
      </c>
      <c r="M15" s="4" t="n">
        <v>0.803</v>
      </c>
      <c r="N15" s="52">
        <f>IF(L15="","",MAX(L15,M15)*IF(J15="Có",K15/H15,1))</f>
        <v/>
      </c>
      <c r="O15" s="4">
        <f>IF(K15&lt;'Tham số'!$B$7,'Tham số'!$B$4,IF(K15&lt;='Tham số'!$B$8,'Tham số'!$B$5,'Tham số'!$B$6))</f>
        <v/>
      </c>
      <c r="P15" s="52">
        <f>IF(N15="","",O15-N15)</f>
        <v/>
      </c>
      <c r="Q15" s="52">
        <f>IF(L15="","",ABS(L15-M15))</f>
        <v/>
      </c>
      <c r="R15" s="4">
        <f>IF(N15="","Chưa đo",IF(AND(N15&lt;=O15,Q15&lt;='Tham số'!$B$9),"Đạt","Cảnh báo"))</f>
        <v/>
      </c>
      <c r="S15" s="52">
        <f>IF(OR(H15="",I15=""),"",H15/I15)</f>
        <v/>
      </c>
      <c r="T15" s="21">
        <f>IF(OR(G15="",H15=""),"",ABS(H15-G15)/G15)</f>
        <v/>
      </c>
      <c r="U15" s="4" t="n">
        <v>27</v>
      </c>
    </row>
    <row r="16">
      <c r="A16" s="27"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2">
        <f>IF(J16="Có",I16*'Tham số'!$B$10,IF(H16="",I16*'Tham số'!$B$10,H16))</f>
        <v/>
      </c>
      <c r="L16" s="4" t="n">
        <v>2.812</v>
      </c>
      <c r="M16" s="4" t="n">
        <v>2.636</v>
      </c>
      <c r="N16" s="52">
        <f>IF(L16="","",MAX(L16,M16)*IF(J16="Có",K16/H16,1))</f>
        <v/>
      </c>
      <c r="O16" s="4">
        <f>IF(K16&lt;'Tham số'!$B$7,'Tham số'!$B$4,IF(K16&lt;='Tham số'!$B$8,'Tham số'!$B$5,'Tham số'!$B$6))</f>
        <v/>
      </c>
      <c r="P16" s="52">
        <f>IF(N16="","",O16-N16)</f>
        <v/>
      </c>
      <c r="Q16" s="52">
        <f>IF(L16="","",ABS(L16-M16))</f>
        <v/>
      </c>
      <c r="R16" s="4">
        <f>IF(N16="","Chưa đo",IF(AND(N16&lt;=O16,Q16&lt;='Tham số'!$B$9),"Đạt","Cảnh báo"))</f>
        <v/>
      </c>
      <c r="S16" s="52">
        <f>IF(OR(H16="",I16=""),"",H16/I16)</f>
        <v/>
      </c>
      <c r="T16" s="21">
        <f>IF(OR(G16="",H16=""),"",ABS(H16-G16)/G16)</f>
        <v/>
      </c>
      <c r="U16" s="4" t="n">
        <v>28</v>
      </c>
    </row>
    <row r="17">
      <c r="A17" s="27"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2">
        <f>IF(J17="Có",I17*'Tham số'!$B$10,IF(H17="",I17*'Tham số'!$B$10,H17))</f>
        <v/>
      </c>
      <c r="L17" s="4" t="n">
        <v>0.62</v>
      </c>
      <c r="M17" s="4" t="n">
        <v>0.621</v>
      </c>
      <c r="N17" s="52">
        <f>IF(L17="","",MAX(L17,M17)*IF(J17="Có",K17/H17,1))</f>
        <v/>
      </c>
      <c r="O17" s="4">
        <f>IF(K17&lt;'Tham số'!$B$7,'Tham số'!$B$4,IF(K17&lt;='Tham số'!$B$8,'Tham số'!$B$5,'Tham số'!$B$6))</f>
        <v/>
      </c>
      <c r="P17" s="52">
        <f>IF(N17="","",O17-N17)</f>
        <v/>
      </c>
      <c r="Q17" s="52">
        <f>IF(L17="","",ABS(L17-M17))</f>
        <v/>
      </c>
      <c r="R17" s="4">
        <f>IF(N17="","Chưa đo",IF(AND(N17&lt;=O17,Q17&lt;='Tham số'!$B$9),"Đạt","Cảnh báo"))</f>
        <v/>
      </c>
      <c r="S17" s="52">
        <f>IF(OR(H17="",I17=""),"",H17/I17)</f>
        <v/>
      </c>
      <c r="T17" s="21">
        <f>IF(OR(G17="",H17=""),"",ABS(H17-G17)/G17)</f>
        <v/>
      </c>
      <c r="U17" s="4" t="n">
        <v>29</v>
      </c>
    </row>
    <row r="18">
      <c r="A18" s="28"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2">
        <f>IF(J18="Có",I18*'Tham số'!$B$10,IF(H18="",I18*'Tham số'!$B$10,H18))</f>
        <v/>
      </c>
      <c r="L18" s="4" t="n">
        <v>3.502</v>
      </c>
      <c r="M18" s="4" t="n">
        <v>3.203</v>
      </c>
      <c r="N18" s="52">
        <f>IF(L18="","",MAX(L18,M18)*IF(J18="Có",K18/H18,1))</f>
        <v/>
      </c>
      <c r="O18" s="4">
        <f>IF(K18&lt;'Tham số'!$B$7,'Tham số'!$B$4,IF(K18&lt;='Tham số'!$B$8,'Tham số'!$B$5,'Tham số'!$B$6))</f>
        <v/>
      </c>
      <c r="P18" s="52">
        <f>IF(N18="","",O18-N18)</f>
        <v/>
      </c>
      <c r="Q18" s="52">
        <f>IF(L18="","",ABS(L18-M18))</f>
        <v/>
      </c>
      <c r="R18" s="4">
        <f>IF(N18="","Chưa đo",IF(AND(N18&lt;=O18,Q18&lt;='Tham số'!$B$9),"Đạt","Cảnh báo"))</f>
        <v/>
      </c>
      <c r="S18" s="52">
        <f>IF(OR(H18="",I18=""),"",H18/I18)</f>
        <v/>
      </c>
      <c r="T18" s="21">
        <f>IF(OR(G18="",H18=""),"",ABS(H18-G18)/G18)</f>
        <v/>
      </c>
      <c r="U18" s="4" t="n">
        <v>20</v>
      </c>
    </row>
    <row r="19">
      <c r="A19" s="28"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2">
        <f>IF(J19="Có",I19*'Tham số'!$B$10,IF(H19="",I19*'Tham số'!$B$10,H19))</f>
        <v/>
      </c>
      <c r="L19" s="4" t="n">
        <v>0.445</v>
      </c>
      <c r="M19" s="4" t="n">
        <v>0.358</v>
      </c>
      <c r="N19" s="52">
        <f>IF(L19="","",MAX(L19,M19)*IF(J19="Có",K19/H19,1))</f>
        <v/>
      </c>
      <c r="O19" s="4">
        <f>IF(K19&lt;'Tham số'!$B$7,'Tham số'!$B$4,IF(K19&lt;='Tham số'!$B$8,'Tham số'!$B$5,'Tham số'!$B$6))</f>
        <v/>
      </c>
      <c r="P19" s="52">
        <f>IF(N19="","",O19-N19)</f>
        <v/>
      </c>
      <c r="Q19" s="52">
        <f>IF(L19="","",ABS(L19-M19))</f>
        <v/>
      </c>
      <c r="R19" s="4">
        <f>IF(N19="","Chưa đo",IF(AND(N19&lt;=O19,Q19&lt;='Tham số'!$B$9),"Đạt","Cảnh báo"))</f>
        <v/>
      </c>
      <c r="S19" s="52">
        <f>IF(OR(H19="",I19=""),"",H19/I19)</f>
        <v/>
      </c>
      <c r="T19" s="21">
        <f>IF(OR(G19="",H19=""),"",ABS(H19-G19)/G19)</f>
        <v/>
      </c>
      <c r="U19" s="4" t="n">
        <v>21</v>
      </c>
    </row>
    <row r="20">
      <c r="A20" s="28"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2">
        <f>IF(J20="Có",I20*'Tham số'!$B$10,IF(H20="",I20*'Tham số'!$B$10,H20))</f>
        <v/>
      </c>
      <c r="L20" s="4" t="n">
        <v>0.341</v>
      </c>
      <c r="M20" s="4" t="n">
        <v>0.343</v>
      </c>
      <c r="N20" s="52">
        <f>IF(L20="","",MAX(L20,M20)*IF(J20="Có",K20/H20,1))</f>
        <v/>
      </c>
      <c r="O20" s="4">
        <f>IF(K20&lt;'Tham số'!$B$7,'Tham số'!$B$4,IF(K20&lt;='Tham số'!$B$8,'Tham số'!$B$5,'Tham số'!$B$6))</f>
        <v/>
      </c>
      <c r="P20" s="52">
        <f>IF(N20="","",O20-N20)</f>
        <v/>
      </c>
      <c r="Q20" s="52">
        <f>IF(L20="","",ABS(L20-M20))</f>
        <v/>
      </c>
      <c r="R20" s="4">
        <f>IF(N20="","Chưa đo",IF(AND(N20&lt;=O20,Q20&lt;='Tham số'!$B$9),"Đạt","Cảnh báo"))</f>
        <v/>
      </c>
      <c r="S20" s="52">
        <f>IF(OR(H20="",I20=""),"",H20/I20)</f>
        <v/>
      </c>
      <c r="T20" s="21">
        <f>IF(OR(G20="",H20=""),"",ABS(H20-G20)/G20)</f>
        <v/>
      </c>
      <c r="U20" s="4" t="n">
        <v>22</v>
      </c>
    </row>
    <row r="21">
      <c r="A21" s="28"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2">
        <f>IF(J21="Có",I21*'Tham số'!$B$10,IF(H21="",I21*'Tham số'!$B$10,H21))</f>
        <v/>
      </c>
      <c r="L21" s="4" t="n">
        <v>0.21</v>
      </c>
      <c r="M21" s="4" t="n">
        <v>0.229</v>
      </c>
      <c r="N21" s="52">
        <f>IF(L21="","",MAX(L21,M21)*IF(J21="Có",K21/H21,1))</f>
        <v/>
      </c>
      <c r="O21" s="4">
        <f>IF(K21&lt;'Tham số'!$B$7,'Tham số'!$B$4,IF(K21&lt;='Tham số'!$B$8,'Tham số'!$B$5,'Tham số'!$B$6))</f>
        <v/>
      </c>
      <c r="P21" s="52">
        <f>IF(N21="","",O21-N21)</f>
        <v/>
      </c>
      <c r="Q21" s="52">
        <f>IF(L21="","",ABS(L21-M21))</f>
        <v/>
      </c>
      <c r="R21" s="4">
        <f>IF(N21="","Chưa đo",IF(AND(N21&lt;=O21,Q21&lt;='Tham số'!$B$9),"Đạt","Cảnh báo"))</f>
        <v/>
      </c>
      <c r="S21" s="52">
        <f>IF(OR(H21="",I21=""),"",H21/I21)</f>
        <v/>
      </c>
      <c r="T21" s="21">
        <f>IF(OR(G21="",H21=""),"",ABS(H21-G21)/G21)</f>
        <v/>
      </c>
      <c r="U21" s="4" t="n">
        <v>23</v>
      </c>
    </row>
    <row r="22">
      <c r="A22" s="28"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2">
        <f>IF(J22="Có",I22*'Tham số'!$B$10,IF(H22="",I22*'Tham số'!$B$10,H22))</f>
        <v/>
      </c>
      <c r="L22" s="4" t="n">
        <v>3.348</v>
      </c>
      <c r="M22" s="4" t="n">
        <v>3.501</v>
      </c>
      <c r="N22" s="52">
        <f>IF(L22="","",MAX(L22,M22)*IF(J22="Có",K22/H22,1))</f>
        <v/>
      </c>
      <c r="O22" s="4">
        <f>IF(K22&lt;'Tham số'!$B$7,'Tham số'!$B$4,IF(K22&lt;='Tham số'!$B$8,'Tham số'!$B$5,'Tham số'!$B$6))</f>
        <v/>
      </c>
      <c r="P22" s="52">
        <f>IF(N22="","",O22-N22)</f>
        <v/>
      </c>
      <c r="Q22" s="52">
        <f>IF(L22="","",ABS(L22-M22))</f>
        <v/>
      </c>
      <c r="R22" s="4">
        <f>IF(N22="","Chưa đo",IF(AND(N22&lt;=O22,Q22&lt;='Tham số'!$B$9),"Đạt","Cảnh báo"))</f>
        <v/>
      </c>
      <c r="S22" s="52">
        <f>IF(OR(H22="",I22=""),"",H22/I22)</f>
        <v/>
      </c>
      <c r="T22" s="21">
        <f>IF(OR(G22="",H22=""),"",ABS(H22-G22)/G22)</f>
        <v/>
      </c>
      <c r="U22" s="4" t="n">
        <v>24</v>
      </c>
    </row>
    <row r="23">
      <c r="A23" s="29"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2">
        <f>IF(J23="Có",I23*'Tham số'!$B$10,IF(H23="",I23*'Tham số'!$B$10,H23))</f>
        <v/>
      </c>
      <c r="L23" s="4" t="n">
        <v>3.149</v>
      </c>
      <c r="M23" s="4" t="n">
        <v>3.149</v>
      </c>
      <c r="N23" s="52">
        <f>IF(L23="","",MAX(L23,M23)*IF(J23="Có",K23/H23,1))</f>
        <v/>
      </c>
      <c r="O23" s="4">
        <f>IF(K23&lt;'Tham số'!$B$7,'Tham số'!$B$4,IF(K23&lt;='Tham số'!$B$8,'Tham số'!$B$5,'Tham số'!$B$6))</f>
        <v/>
      </c>
      <c r="P23" s="52">
        <f>IF(N23="","",O23-N23)</f>
        <v/>
      </c>
      <c r="Q23" s="52">
        <f>IF(L23="","",ABS(L23-M23))</f>
        <v/>
      </c>
      <c r="R23" s="4">
        <f>IF(N23="","Chưa đo",IF(AND(N23&lt;=O23,Q23&lt;='Tham số'!$B$9),"Đạt","Cảnh báo"))</f>
        <v/>
      </c>
      <c r="S23" s="52">
        <f>IF(OR(H23="",I23=""),"",H23/I23)</f>
        <v/>
      </c>
      <c r="T23" s="21">
        <f>IF(OR(G23="",H23=""),"",ABS(H23-G23)/G23)</f>
        <v/>
      </c>
      <c r="U23" s="4" t="n">
        <v>16</v>
      </c>
    </row>
    <row r="24">
      <c r="A24" s="29"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2">
        <f>IF(J24="Có",I24*'Tham số'!$B$10,IF(H24="",I24*'Tham số'!$B$10,H24))</f>
        <v/>
      </c>
      <c r="L24" s="4" t="n">
        <v>1.727</v>
      </c>
      <c r="M24" s="4" t="n">
        <v>2.305</v>
      </c>
      <c r="N24" s="52">
        <f>IF(L24="","",MAX(L24,M24)*IF(J24="Có",K24/H24,1))</f>
        <v/>
      </c>
      <c r="O24" s="4">
        <f>IF(K24&lt;'Tham số'!$B$7,'Tham số'!$B$4,IF(K24&lt;='Tham số'!$B$8,'Tham số'!$B$5,'Tham số'!$B$6))</f>
        <v/>
      </c>
      <c r="P24" s="52">
        <f>IF(N24="","",O24-N24)</f>
        <v/>
      </c>
      <c r="Q24" s="52">
        <f>IF(L24="","",ABS(L24-M24))</f>
        <v/>
      </c>
      <c r="R24" s="4">
        <f>IF(N24="","Chưa đo",IF(AND(N24&lt;=O24,Q24&lt;='Tham số'!$B$9),"Đạt","Cảnh báo"))</f>
        <v/>
      </c>
      <c r="S24" s="52">
        <f>IF(OR(H24="",I24=""),"",H24/I24)</f>
        <v/>
      </c>
      <c r="T24" s="21">
        <f>IF(OR(G24="",H24=""),"",ABS(H24-G24)/G24)</f>
        <v/>
      </c>
      <c r="U24" s="4" t="n">
        <v>17</v>
      </c>
    </row>
    <row r="25">
      <c r="A25" s="29"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2">
        <f>IF(J25="Có",I25*'Tham số'!$B$10,IF(H25="",I25*'Tham số'!$B$10,H25))</f>
        <v/>
      </c>
      <c r="L25" s="4" t="n">
        <v>0.208</v>
      </c>
      <c r="M25" s="4" t="n">
        <v>0.204</v>
      </c>
      <c r="N25" s="52">
        <f>IF(L25="","",MAX(L25,M25)*IF(J25="Có",K25/H25,1))</f>
        <v/>
      </c>
      <c r="O25" s="4">
        <f>IF(K25&lt;'Tham số'!$B$7,'Tham số'!$B$4,IF(K25&lt;='Tham số'!$B$8,'Tham số'!$B$5,'Tham số'!$B$6))</f>
        <v/>
      </c>
      <c r="P25" s="52">
        <f>IF(N25="","",O25-N25)</f>
        <v/>
      </c>
      <c r="Q25" s="52">
        <f>IF(L25="","",ABS(L25-M25))</f>
        <v/>
      </c>
      <c r="R25" s="4">
        <f>IF(N25="","Chưa đo",IF(AND(N25&lt;=O25,Q25&lt;='Tham số'!$B$9),"Đạt","Cảnh báo"))</f>
        <v/>
      </c>
      <c r="S25" s="52">
        <f>IF(OR(H25="",I25=""),"",H25/I25)</f>
        <v/>
      </c>
      <c r="T25" s="21">
        <f>IF(OR(G25="",H25=""),"",ABS(H25-G25)/G25)</f>
        <v/>
      </c>
      <c r="U25" s="4" t="n">
        <v>18</v>
      </c>
    </row>
    <row r="26">
      <c r="A26" s="29"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2">
        <f>IF(J26="Có",I26*'Tham số'!$B$10,IF(H26="",I26*'Tham số'!$B$10,H26))</f>
        <v/>
      </c>
      <c r="L26" s="4" t="n">
        <v>4.169</v>
      </c>
      <c r="M26" s="4" t="n">
        <v>4.138</v>
      </c>
      <c r="N26" s="52">
        <f>IF(L26="","",MAX(L26,M26)*IF(J26="Có",K26/H26,1))</f>
        <v/>
      </c>
      <c r="O26" s="4">
        <f>IF(K26&lt;'Tham số'!$B$7,'Tham số'!$B$4,IF(K26&lt;='Tham số'!$B$8,'Tham số'!$B$5,'Tham số'!$B$6))</f>
        <v/>
      </c>
      <c r="P26" s="52">
        <f>IF(N26="","",O26-N26)</f>
        <v/>
      </c>
      <c r="Q26" s="52">
        <f>IF(L26="","",ABS(L26-M26))</f>
        <v/>
      </c>
      <c r="R26" s="4">
        <f>IF(N26="","Chưa đo",IF(AND(N26&lt;=O26,Q26&lt;='Tham số'!$B$9),"Đạt","Cảnh báo"))</f>
        <v/>
      </c>
      <c r="S26" s="52">
        <f>IF(OR(H26="",I26=""),"",H26/I26)</f>
        <v/>
      </c>
      <c r="T26" s="21">
        <f>IF(OR(G26="",H26=""),"",ABS(H26-G26)/G26)</f>
        <v/>
      </c>
      <c r="U26" s="4" t="n">
        <v>19</v>
      </c>
    </row>
    <row r="27">
      <c r="A27" s="30" t="inlineStr">
        <is>
          <t>R6-01</t>
        </is>
      </c>
      <c r="B27" s="4" t="inlineStr">
        <is>
          <t>R6</t>
        </is>
      </c>
      <c r="C27" s="4" t="inlineStr">
        <is>
          <t>NBE12</t>
        </is>
      </c>
      <c r="D27" s="4" t="inlineStr">
        <is>
          <t>HNB086</t>
        </is>
      </c>
      <c r="E27" s="4" t="inlineStr">
        <is>
          <t>ring</t>
        </is>
      </c>
      <c r="F27" s="4" t="inlineStr"/>
      <c r="G27" s="4" t="n">
        <v>2.843</v>
      </c>
      <c r="H27" s="4" t="n">
        <v>3.084</v>
      </c>
      <c r="I27" s="4" t="n">
        <v>2.73</v>
      </c>
      <c r="J27" s="4" t="inlineStr"/>
      <c r="K27" s="52">
        <f>IF(J27="Có",I27*'Tham số'!$B$10,IF(H27="",I27*'Tham số'!$B$10,H27))</f>
        <v/>
      </c>
      <c r="L27" s="4" t="n">
        <v>0.99</v>
      </c>
      <c r="M27" s="4" t="n">
        <v>0.9429999999999999</v>
      </c>
      <c r="N27" s="52">
        <f>IF(L27="","",MAX(L27,M27)*IF(J27="Có",K27/H27,1))</f>
        <v/>
      </c>
      <c r="O27" s="4">
        <f>IF(K27&lt;'Tham số'!$B$7,'Tham số'!$B$4,IF(K27&lt;='Tham số'!$B$8,'Tham số'!$B$5,'Tham số'!$B$6))</f>
        <v/>
      </c>
      <c r="P27" s="52">
        <f>IF(N27="","",O27-N27)</f>
        <v/>
      </c>
      <c r="Q27" s="52">
        <f>IF(L27="","",ABS(L27-M27))</f>
        <v/>
      </c>
      <c r="R27" s="4">
        <f>IF(N27="","Chưa đo",IF(AND(N27&lt;=O27,Q27&lt;='Tham số'!$B$9),"Đạt","Cảnh báo"))</f>
        <v/>
      </c>
      <c r="S27" s="52">
        <f>IF(OR(H27="",I27=""),"",H27/I27)</f>
        <v/>
      </c>
      <c r="T27" s="21">
        <f>IF(OR(G27="",H27=""),"",ABS(H27-G27)/G27)</f>
        <v/>
      </c>
      <c r="U27" s="4" t="n">
        <v>10</v>
      </c>
    </row>
    <row r="28">
      <c r="A28" s="30" t="inlineStr">
        <is>
          <t>R6-02</t>
        </is>
      </c>
      <c r="B28" s="4" t="inlineStr">
        <is>
          <t>R6</t>
        </is>
      </c>
      <c r="C28" s="4" t="inlineStr">
        <is>
          <t>HNB086</t>
        </is>
      </c>
      <c r="D28" s="4" t="inlineStr">
        <is>
          <t>HNB024</t>
        </is>
      </c>
      <c r="E28" s="4" t="inlineStr">
        <is>
          <t>ring</t>
        </is>
      </c>
      <c r="F28" s="4" t="inlineStr"/>
      <c r="G28" s="4" t="n">
        <v>1.809</v>
      </c>
      <c r="H28" s="4" t="n">
        <v>2.013</v>
      </c>
      <c r="I28" s="4" t="n">
        <v>1.665</v>
      </c>
      <c r="J28" s="4" t="inlineStr"/>
      <c r="K28" s="52">
        <f>IF(J28="Có",I28*'Tham số'!$B$10,IF(H28="",I28*'Tham số'!$B$10,H28))</f>
        <v/>
      </c>
      <c r="L28" s="4" t="n">
        <v>0.616</v>
      </c>
      <c r="M28" s="4" t="n">
        <v>0.578</v>
      </c>
      <c r="N28" s="52">
        <f>IF(L28="","",MAX(L28,M28)*IF(J28="Có",K28/H28,1))</f>
        <v/>
      </c>
      <c r="O28" s="4">
        <f>IF(K28&lt;'Tham số'!$B$7,'Tham số'!$B$4,IF(K28&lt;='Tham số'!$B$8,'Tham số'!$B$5,'Tham số'!$B$6))</f>
        <v/>
      </c>
      <c r="P28" s="52">
        <f>IF(N28="","",O28-N28)</f>
        <v/>
      </c>
      <c r="Q28" s="52">
        <f>IF(L28="","",ABS(L28-M28))</f>
        <v/>
      </c>
      <c r="R28" s="4">
        <f>IF(N28="","Chưa đo",IF(AND(N28&lt;=O28,Q28&lt;='Tham số'!$B$9),"Đạt","Cảnh báo"))</f>
        <v/>
      </c>
      <c r="S28" s="52">
        <f>IF(OR(H28="",I28=""),"",H28/I28)</f>
        <v/>
      </c>
      <c r="T28" s="21">
        <f>IF(OR(G28="",H28=""),"",ABS(H28-G28)/G28)</f>
        <v/>
      </c>
      <c r="U28" s="4" t="n">
        <v>11</v>
      </c>
    </row>
    <row r="29">
      <c r="A29" s="30"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2">
        <f>IF(J29="Có",I29*'Tham số'!$B$10,IF(H29="",I29*'Tham số'!$B$10,H29))</f>
        <v/>
      </c>
      <c r="L29" s="4" t="n">
        <v>0.185</v>
      </c>
      <c r="M29" s="4" t="n">
        <v>0.176</v>
      </c>
      <c r="N29" s="52">
        <f>IF(L29="","",MAX(L29,M29)*IF(J29="Có",K29/H29,1))</f>
        <v/>
      </c>
      <c r="O29" s="4">
        <f>IF(K29&lt;'Tham số'!$B$7,'Tham số'!$B$4,IF(K29&lt;='Tham số'!$B$8,'Tham số'!$B$5,'Tham số'!$B$6))</f>
        <v/>
      </c>
      <c r="P29" s="52">
        <f>IF(N29="","",O29-N29)</f>
        <v/>
      </c>
      <c r="Q29" s="52">
        <f>IF(L29="","",ABS(L29-M29))</f>
        <v/>
      </c>
      <c r="R29" s="4">
        <f>IF(N29="","Chưa đo",IF(AND(N29&lt;=O29,Q29&lt;='Tham số'!$B$9),"Đạt","Cảnh báo"))</f>
        <v/>
      </c>
      <c r="S29" s="52">
        <f>IF(OR(H29="",I29=""),"",H29/I29)</f>
        <v/>
      </c>
      <c r="T29" s="21">
        <f>IF(OR(G29="",H29=""),"",ABS(H29-G29)/G29)</f>
        <v/>
      </c>
      <c r="U29" s="4" t="n">
        <v>12</v>
      </c>
    </row>
    <row r="30">
      <c r="A30" s="30"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2">
        <f>IF(J30="Có",I30*'Tham số'!$B$10,IF(H30="",I30*'Tham số'!$B$10,H30))</f>
        <v/>
      </c>
      <c r="L30" s="4" t="n">
        <v>0.959</v>
      </c>
      <c r="M30" s="4" t="n">
        <v>1.017</v>
      </c>
      <c r="N30" s="52">
        <f>IF(L30="","",MAX(L30,M30)*IF(J30="Có",K30/H30,1))</f>
        <v/>
      </c>
      <c r="O30" s="4">
        <f>IF(K30&lt;'Tham số'!$B$7,'Tham số'!$B$4,IF(K30&lt;='Tham số'!$B$8,'Tham số'!$B$5,'Tham số'!$B$6))</f>
        <v/>
      </c>
      <c r="P30" s="52">
        <f>IF(N30="","",O30-N30)</f>
        <v/>
      </c>
      <c r="Q30" s="52">
        <f>IF(L30="","",ABS(L30-M30))</f>
        <v/>
      </c>
      <c r="R30" s="4">
        <f>IF(N30="","Chưa đo",IF(AND(N30&lt;=O30,Q30&lt;='Tham số'!$B$9),"Đạt","Cảnh báo"))</f>
        <v/>
      </c>
      <c r="S30" s="52">
        <f>IF(OR(H30="",I30=""),"",H30/I30)</f>
        <v/>
      </c>
      <c r="T30" s="21">
        <f>IF(OR(G30="",H30=""),"",ABS(H30-G30)/G30)</f>
        <v/>
      </c>
      <c r="U30" s="4" t="n">
        <v>13</v>
      </c>
    </row>
    <row r="31">
      <c r="A31" s="30"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2">
        <f>IF(J31="Có",I31*'Tham số'!$B$10,IF(H31="",I31*'Tham số'!$B$10,H31))</f>
        <v/>
      </c>
      <c r="L31" s="4" t="n">
        <v>0.291</v>
      </c>
      <c r="M31" s="4" t="n">
        <v>0.298</v>
      </c>
      <c r="N31" s="52">
        <f>IF(L31="","",MAX(L31,M31)*IF(J31="Có",K31/H31,1))</f>
        <v/>
      </c>
      <c r="O31" s="4">
        <f>IF(K31&lt;'Tham số'!$B$7,'Tham số'!$B$4,IF(K31&lt;='Tham số'!$B$8,'Tham số'!$B$5,'Tham số'!$B$6))</f>
        <v/>
      </c>
      <c r="P31" s="52">
        <f>IF(N31="","",O31-N31)</f>
        <v/>
      </c>
      <c r="Q31" s="52">
        <f>IF(L31="","",ABS(L31-M31))</f>
        <v/>
      </c>
      <c r="R31" s="4">
        <f>IF(N31="","Chưa đo",IF(AND(N31&lt;=O31,Q31&lt;='Tham số'!$B$9),"Đạt","Cảnh báo"))</f>
        <v/>
      </c>
      <c r="S31" s="52">
        <f>IF(OR(H31="",I31=""),"",H31/I31)</f>
        <v/>
      </c>
      <c r="T31" s="21">
        <f>IF(OR(G31="",H31=""),"",ABS(H31-G31)/G31)</f>
        <v/>
      </c>
      <c r="U31" s="4" t="n">
        <v>14</v>
      </c>
    </row>
    <row r="32">
      <c r="A32" s="30" t="inlineStr">
        <is>
          <t>R6-06</t>
        </is>
      </c>
      <c r="B32" s="4" t="inlineStr">
        <is>
          <t>R6</t>
        </is>
      </c>
      <c r="C32" s="4" t="inlineStr">
        <is>
          <t>HNB020</t>
        </is>
      </c>
      <c r="D32" s="4" t="inlineStr">
        <is>
          <t>NBE22</t>
        </is>
      </c>
      <c r="E32" s="4" t="inlineStr">
        <is>
          <t>ring</t>
        </is>
      </c>
      <c r="F32" s="4" t="inlineStr"/>
      <c r="G32" s="4" t="n">
        <v>2.068</v>
      </c>
      <c r="H32" s="4" t="n">
        <v>2.186</v>
      </c>
      <c r="I32" s="4" t="n">
        <v>2.029</v>
      </c>
      <c r="J32" s="4" t="inlineStr"/>
      <c r="K32" s="52">
        <f>IF(J32="Có",I32*'Tham số'!$B$10,IF(H32="",I32*'Tham số'!$B$10,H32))</f>
        <v/>
      </c>
      <c r="L32" s="4" t="n">
        <v>0.665</v>
      </c>
      <c r="M32" s="4" t="n">
        <v>0.6909999999999999</v>
      </c>
      <c r="N32" s="52">
        <f>IF(L32="","",MAX(L32,M32)*IF(J32="Có",K32/H32,1))</f>
        <v/>
      </c>
      <c r="O32" s="4">
        <f>IF(K32&lt;'Tham số'!$B$7,'Tham số'!$B$4,IF(K32&lt;='Tham số'!$B$8,'Tham số'!$B$5,'Tham số'!$B$6))</f>
        <v/>
      </c>
      <c r="P32" s="52">
        <f>IF(N32="","",O32-N32)</f>
        <v/>
      </c>
      <c r="Q32" s="52">
        <f>IF(L32="","",ABS(L32-M32))</f>
        <v/>
      </c>
      <c r="R32" s="4">
        <f>IF(N32="","Chưa đo",IF(AND(N32&lt;=O32,Q32&lt;='Tham số'!$B$9),"Đạt","Cảnh báo"))</f>
        <v/>
      </c>
      <c r="S32" s="52">
        <f>IF(OR(H32="",I32=""),"",H32/I32)</f>
        <v/>
      </c>
      <c r="T32" s="21">
        <f>IF(OR(G32="",H32=""),"",ABS(H32-G32)/G32)</f>
        <v/>
      </c>
      <c r="U32" s="4" t="n">
        <v>15</v>
      </c>
    </row>
    <row r="33">
      <c r="A33" s="31" t="inlineStr">
        <is>
          <t>R7-01</t>
        </is>
      </c>
      <c r="B33" s="4" t="inlineStr">
        <is>
          <t>R7</t>
        </is>
      </c>
      <c r="C33" s="4" t="inlineStr">
        <is>
          <t>NBE12</t>
        </is>
      </c>
      <c r="D33" s="4" t="inlineStr">
        <is>
          <t>HNB005</t>
        </is>
      </c>
      <c r="E33" s="4" t="inlineStr">
        <is>
          <t>ring</t>
        </is>
      </c>
      <c r="F33" s="4" t="inlineStr"/>
      <c r="G33" s="4" t="n">
        <v>10.856</v>
      </c>
      <c r="H33" s="4" t="n">
        <v>11.101</v>
      </c>
      <c r="I33" s="4" t="n">
        <v>15.047</v>
      </c>
      <c r="J33" s="4" t="inlineStr">
        <is>
          <t>Có</t>
        </is>
      </c>
      <c r="K33" s="52">
        <f>IF(J33="Có",I33*'Tham số'!$B$10,IF(H33="",I33*'Tham số'!$B$10,H33))</f>
        <v/>
      </c>
      <c r="L33" s="4" t="n">
        <v>4.362</v>
      </c>
      <c r="M33" s="4" t="n">
        <v>4.362</v>
      </c>
      <c r="N33" s="52">
        <f>IF(L33="","",MAX(L33,M33)*IF(J33="Có",K33/H33,1))</f>
        <v/>
      </c>
      <c r="O33" s="4">
        <f>IF(K33&lt;'Tham số'!$B$7,'Tham số'!$B$4,IF(K33&lt;='Tham số'!$B$8,'Tham số'!$B$5,'Tham số'!$B$6))</f>
        <v/>
      </c>
      <c r="P33" s="52">
        <f>IF(N33="","",O33-N33)</f>
        <v/>
      </c>
      <c r="Q33" s="52">
        <f>IF(L33="","",ABS(L33-M33))</f>
        <v/>
      </c>
      <c r="R33" s="4">
        <f>IF(N33="","Chưa đo",IF(AND(N33&lt;=O33,Q33&lt;='Tham số'!$B$9),"Đạt","Cảnh báo"))</f>
        <v/>
      </c>
      <c r="S33" s="52">
        <f>IF(OR(H33="",I33=""),"",H33/I33)</f>
        <v/>
      </c>
      <c r="T33" s="21">
        <f>IF(OR(G33="",H33=""),"",ABS(H33-G33)/G33)</f>
        <v/>
      </c>
      <c r="U33" s="4" t="n">
        <v>5</v>
      </c>
    </row>
    <row r="34">
      <c r="A34" s="31"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2">
        <f>IF(J34="Có",I34*'Tham số'!$B$10,IF(H34="",I34*'Tham số'!$B$10,H34))</f>
        <v/>
      </c>
      <c r="L34" s="4" t="n">
        <v>0.384</v>
      </c>
      <c r="M34" s="4" t="n">
        <v>0.386</v>
      </c>
      <c r="N34" s="52">
        <f>IF(L34="","",MAX(L34,M34)*IF(J34="Có",K34/H34,1))</f>
        <v/>
      </c>
      <c r="O34" s="4">
        <f>IF(K34&lt;'Tham số'!$B$7,'Tham số'!$B$4,IF(K34&lt;='Tham số'!$B$8,'Tham số'!$B$5,'Tham số'!$B$6))</f>
        <v/>
      </c>
      <c r="P34" s="52">
        <f>IF(N34="","",O34-N34)</f>
        <v/>
      </c>
      <c r="Q34" s="52">
        <f>IF(L34="","",ABS(L34-M34))</f>
        <v/>
      </c>
      <c r="R34" s="4">
        <f>IF(N34="","Chưa đo",IF(AND(N34&lt;=O34,Q34&lt;='Tham số'!$B$9),"Đạt","Cảnh báo"))</f>
        <v/>
      </c>
      <c r="S34" s="52">
        <f>IF(OR(H34="",I34=""),"",H34/I34)</f>
        <v/>
      </c>
      <c r="T34" s="21">
        <f>IF(OR(G34="",H34=""),"",ABS(H34-G34)/G34)</f>
        <v/>
      </c>
      <c r="U34" s="4" t="n">
        <v>6</v>
      </c>
    </row>
    <row r="35">
      <c r="A35" s="31" t="inlineStr">
        <is>
          <t>R7-03</t>
        </is>
      </c>
      <c r="B35" s="4" t="inlineStr">
        <is>
          <t>R7</t>
        </is>
      </c>
      <c r="C35" s="4" t="inlineStr">
        <is>
          <t>HNB062</t>
        </is>
      </c>
      <c r="D35" s="4" t="inlineStr">
        <is>
          <t>HNB021</t>
        </is>
      </c>
      <c r="E35" s="4" t="inlineStr">
        <is>
          <t>ring</t>
        </is>
      </c>
      <c r="F35" s="4" t="inlineStr"/>
      <c r="G35" s="4" t="n">
        <v>0.827</v>
      </c>
      <c r="H35" s="4" t="n">
        <v>1.035</v>
      </c>
      <c r="I35" s="4" t="n">
        <v>0.798</v>
      </c>
      <c r="J35" s="4" t="inlineStr"/>
      <c r="K35" s="52">
        <f>IF(J35="Có",I35*'Tham số'!$B$10,IF(H35="",I35*'Tham số'!$B$10,H35))</f>
        <v/>
      </c>
      <c r="L35" s="4" t="n">
        <v>0.222</v>
      </c>
      <c r="M35" s="4" t="n">
        <v>0.201</v>
      </c>
      <c r="N35" s="52">
        <f>IF(L35="","",MAX(L35,M35)*IF(J35="Có",K35/H35,1))</f>
        <v/>
      </c>
      <c r="O35" s="4">
        <f>IF(K35&lt;'Tham số'!$B$7,'Tham số'!$B$4,IF(K35&lt;='Tham số'!$B$8,'Tham số'!$B$5,'Tham số'!$B$6))</f>
        <v/>
      </c>
      <c r="P35" s="52">
        <f>IF(N35="","",O35-N35)</f>
        <v/>
      </c>
      <c r="Q35" s="52">
        <f>IF(L35="","",ABS(L35-M35))</f>
        <v/>
      </c>
      <c r="R35" s="4">
        <f>IF(N35="","Chưa đo",IF(AND(N35&lt;=O35,Q35&lt;='Tham số'!$B$9),"Đạt","Cảnh báo"))</f>
        <v/>
      </c>
      <c r="S35" s="52">
        <f>IF(OR(H35="",I35=""),"",H35/I35)</f>
        <v/>
      </c>
      <c r="T35" s="21">
        <f>IF(OR(G35="",H35=""),"",ABS(H35-G35)/G35)</f>
        <v/>
      </c>
      <c r="U35" s="4" t="n">
        <v>7</v>
      </c>
    </row>
    <row r="36">
      <c r="A36" s="31" t="inlineStr">
        <is>
          <t>R7-04</t>
        </is>
      </c>
      <c r="B36" s="4" t="inlineStr">
        <is>
          <t>R7</t>
        </is>
      </c>
      <c r="C36" s="4" t="inlineStr">
        <is>
          <t>HNB021</t>
        </is>
      </c>
      <c r="D36" s="4" t="inlineStr">
        <is>
          <t>HNB013</t>
        </is>
      </c>
      <c r="E36" s="4" t="inlineStr">
        <is>
          <t>ring</t>
        </is>
      </c>
      <c r="F36" s="4" t="inlineStr"/>
      <c r="G36" s="4" t="n">
        <v>0.827</v>
      </c>
      <c r="H36" s="4" t="n">
        <v>0.977</v>
      </c>
      <c r="I36" s="4" t="n">
        <v>0.761</v>
      </c>
      <c r="J36" s="4" t="inlineStr"/>
      <c r="K36" s="52">
        <f>IF(J36="Có",I36*'Tham số'!$B$10,IF(H36="",I36*'Tham số'!$B$10,H36))</f>
        <v/>
      </c>
      <c r="L36" s="4" t="n">
        <v>0.422</v>
      </c>
      <c r="M36" s="4" t="n">
        <v>0.366</v>
      </c>
      <c r="N36" s="52">
        <f>IF(L36="","",MAX(L36,M36)*IF(J36="Có",K36/H36,1))</f>
        <v/>
      </c>
      <c r="O36" s="4">
        <f>IF(K36&lt;'Tham số'!$B$7,'Tham số'!$B$4,IF(K36&lt;='Tham số'!$B$8,'Tham số'!$B$5,'Tham số'!$B$6))</f>
        <v/>
      </c>
      <c r="P36" s="52">
        <f>IF(N36="","",O36-N36)</f>
        <v/>
      </c>
      <c r="Q36" s="52">
        <f>IF(L36="","",ABS(L36-M36))</f>
        <v/>
      </c>
      <c r="R36" s="4">
        <f>IF(N36="","Chưa đo",IF(AND(N36&lt;=O36,Q36&lt;='Tham số'!$B$9),"Đạt","Cảnh báo"))</f>
        <v/>
      </c>
      <c r="S36" s="52">
        <f>IF(OR(H36="",I36=""),"",H36/I36)</f>
        <v/>
      </c>
      <c r="T36" s="21">
        <f>IF(OR(G36="",H36=""),"",ABS(H36-G36)/G36)</f>
        <v/>
      </c>
      <c r="U36" s="4" t="n">
        <v>8</v>
      </c>
    </row>
    <row r="37">
      <c r="A37" s="31"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2">
        <f>IF(J37="Có",I37*'Tham số'!$B$10,IF(H37="",I37*'Tham số'!$B$10,H37))</f>
        <v/>
      </c>
      <c r="L37" s="4" t="n">
        <v>0.227</v>
      </c>
      <c r="M37" s="4" t="n">
        <v>0.604</v>
      </c>
      <c r="N37" s="52">
        <f>IF(L37="","",MAX(L37,M37)*IF(J37="Có",K37/H37,1))</f>
        <v/>
      </c>
      <c r="O37" s="4">
        <f>IF(K37&lt;'Tham số'!$B$7,'Tham số'!$B$4,IF(K37&lt;='Tham số'!$B$8,'Tham số'!$B$5,'Tham số'!$B$6))</f>
        <v/>
      </c>
      <c r="P37" s="52">
        <f>IF(N37="","",O37-N37)</f>
        <v/>
      </c>
      <c r="Q37" s="52">
        <f>IF(L37="","",ABS(L37-M37))</f>
        <v/>
      </c>
      <c r="R37" s="4">
        <f>IF(N37="","Chưa đo",IF(AND(N37&lt;=O37,Q37&lt;='Tham số'!$B$9),"Đạt","Cảnh báo"))</f>
        <v/>
      </c>
      <c r="S37" s="52">
        <f>IF(OR(H37="",I37=""),"",H37/I37)</f>
        <v/>
      </c>
      <c r="T37" s="21">
        <f>IF(OR(G37="",H37=""),"",ABS(H37-G37)/G37)</f>
        <v/>
      </c>
      <c r="U37" s="4" t="n">
        <v>9</v>
      </c>
    </row>
    <row r="38">
      <c r="A38" s="32" t="inlineStr">
        <is>
          <t>R8-01</t>
        </is>
      </c>
      <c r="B38" s="4" t="inlineStr">
        <is>
          <t>R8</t>
        </is>
      </c>
      <c r="C38" s="4" t="inlineStr">
        <is>
          <t>NBE12</t>
        </is>
      </c>
      <c r="D38" s="4" t="inlineStr">
        <is>
          <t>HNB066</t>
        </is>
      </c>
      <c r="E38" s="4" t="inlineStr">
        <is>
          <t>ring</t>
        </is>
      </c>
      <c r="F38" s="4" t="inlineStr"/>
      <c r="G38" s="4" t="n">
        <v>10.236</v>
      </c>
      <c r="H38" s="4" t="n">
        <v>15.404</v>
      </c>
      <c r="I38" s="4" t="n">
        <v>14.348</v>
      </c>
      <c r="J38" s="4" t="inlineStr">
        <is>
          <t>Có</t>
        </is>
      </c>
      <c r="K38" s="52">
        <f>IF(J38="Có",I38*'Tham số'!$B$10,IF(H38="",I38*'Tham số'!$B$10,H38))</f>
        <v/>
      </c>
      <c r="L38" s="4" t="n">
        <v>6.031</v>
      </c>
      <c r="M38" s="4" t="n">
        <v>6.138</v>
      </c>
      <c r="N38" s="52">
        <f>IF(L38="","",MAX(L38,M38)*IF(J38="Có",K38/H38,1))</f>
        <v/>
      </c>
      <c r="O38" s="4">
        <f>IF(K38&lt;'Tham số'!$B$7,'Tham số'!$B$4,IF(K38&lt;='Tham số'!$B$8,'Tham số'!$B$5,'Tham số'!$B$6))</f>
        <v/>
      </c>
      <c r="P38" s="52">
        <f>IF(N38="","",O38-N38)</f>
        <v/>
      </c>
      <c r="Q38" s="52">
        <f>IF(L38="","",ABS(L38-M38))</f>
        <v/>
      </c>
      <c r="R38" s="4">
        <f>IF(N38="","Chưa đo",IF(AND(N38&lt;=O38,Q38&lt;='Tham số'!$B$9),"Đạt","Cảnh báo"))</f>
        <v/>
      </c>
      <c r="S38" s="52">
        <f>IF(OR(H38="",I38=""),"",H38/I38)</f>
        <v/>
      </c>
      <c r="T38" s="21">
        <f>IF(OR(G38="",H38=""),"",ABS(H38-G38)/G38)</f>
        <v/>
      </c>
      <c r="U38" s="4" t="n">
        <v>1</v>
      </c>
    </row>
    <row r="39">
      <c r="A39" s="32" t="inlineStr">
        <is>
          <t>R8-02</t>
        </is>
      </c>
      <c r="B39" s="4" t="inlineStr">
        <is>
          <t>R8</t>
        </is>
      </c>
      <c r="C39" s="4" t="inlineStr">
        <is>
          <t>HNB066</t>
        </is>
      </c>
      <c r="D39" s="4" t="inlineStr">
        <is>
          <t>HNB016</t>
        </is>
      </c>
      <c r="E39" s="4" t="inlineStr">
        <is>
          <t>ring</t>
        </is>
      </c>
      <c r="F39" s="4" t="inlineStr"/>
      <c r="G39" s="4" t="n">
        <v>0.456</v>
      </c>
      <c r="H39" s="4" t="n">
        <v>0.501</v>
      </c>
      <c r="I39" s="4" t="n">
        <v>0.6919999999999999</v>
      </c>
      <c r="J39" s="4" t="inlineStr"/>
      <c r="K39" s="52">
        <f>IF(J39="Có",I39*'Tham số'!$B$10,IF(H39="",I39*'Tham số'!$B$10,H39))</f>
        <v/>
      </c>
      <c r="L39" s="4" t="n">
        <v>0.104</v>
      </c>
      <c r="M39" s="4" t="n">
        <v>0.202</v>
      </c>
      <c r="N39" s="52">
        <f>IF(L39="","",MAX(L39,M39)*IF(J39="Có",K39/H39,1))</f>
        <v/>
      </c>
      <c r="O39" s="4">
        <f>IF(K39&lt;'Tham số'!$B$7,'Tham số'!$B$4,IF(K39&lt;='Tham số'!$B$8,'Tham số'!$B$5,'Tham số'!$B$6))</f>
        <v/>
      </c>
      <c r="P39" s="52">
        <f>IF(N39="","",O39-N39)</f>
        <v/>
      </c>
      <c r="Q39" s="52">
        <f>IF(L39="","",ABS(L39-M39))</f>
        <v/>
      </c>
      <c r="R39" s="4">
        <f>IF(N39="","Chưa đo",IF(AND(N39&lt;=O39,Q39&lt;='Tham số'!$B$9),"Đạt","Cảnh báo"))</f>
        <v/>
      </c>
      <c r="S39" s="52">
        <f>IF(OR(H39="",I39=""),"",H39/I39)</f>
        <v/>
      </c>
      <c r="T39" s="21">
        <f>IF(OR(G39="",H39=""),"",ABS(H39-G39)/G39)</f>
        <v/>
      </c>
      <c r="U39" s="4" t="n">
        <v>2</v>
      </c>
    </row>
    <row r="40">
      <c r="A40" s="32" t="inlineStr">
        <is>
          <t>R8-03</t>
        </is>
      </c>
      <c r="B40" s="4" t="inlineStr">
        <is>
          <t>R8</t>
        </is>
      </c>
      <c r="C40" s="4" t="inlineStr">
        <is>
          <t>HNB016</t>
        </is>
      </c>
      <c r="D40" s="4" t="inlineStr">
        <is>
          <t>HNB038</t>
        </is>
      </c>
      <c r="E40" s="4" t="inlineStr">
        <is>
          <t>ring</t>
        </is>
      </c>
      <c r="F40" s="4" t="inlineStr"/>
      <c r="G40" s="4" t="n">
        <v>0.517</v>
      </c>
      <c r="H40" s="4" t="n">
        <v>0.618</v>
      </c>
      <c r="I40" s="4" t="n">
        <v>0.271</v>
      </c>
      <c r="J40" s="4" t="inlineStr"/>
      <c r="K40" s="52">
        <f>IF(J40="Có",I40*'Tham số'!$B$10,IF(H40="",I40*'Tham số'!$B$10,H40))</f>
        <v/>
      </c>
      <c r="L40" s="4" t="n">
        <v>0.204</v>
      </c>
      <c r="M40" s="4" t="n">
        <v>0.204</v>
      </c>
      <c r="N40" s="52">
        <f>IF(L40="","",MAX(L40,M40)*IF(J40="Có",K40/H40,1))</f>
        <v/>
      </c>
      <c r="O40" s="4">
        <f>IF(K40&lt;'Tham số'!$B$7,'Tham số'!$B$4,IF(K40&lt;='Tham số'!$B$8,'Tham số'!$B$5,'Tham số'!$B$6))</f>
        <v/>
      </c>
      <c r="P40" s="52">
        <f>IF(N40="","",O40-N40)</f>
        <v/>
      </c>
      <c r="Q40" s="52">
        <f>IF(L40="","",ABS(L40-M40))</f>
        <v/>
      </c>
      <c r="R40" s="4">
        <f>IF(N40="","Chưa đo",IF(AND(N40&lt;=O40,Q40&lt;='Tham số'!$B$9),"Đạt","Cảnh báo"))</f>
        <v/>
      </c>
      <c r="S40" s="52">
        <f>IF(OR(H40="",I40=""),"",H40/I40)</f>
        <v/>
      </c>
      <c r="T40" s="21">
        <f>IF(OR(G40="",H40=""),"",ABS(H40-G40)/G40)</f>
        <v/>
      </c>
      <c r="U40" s="4" t="n">
        <v>3</v>
      </c>
    </row>
    <row r="41">
      <c r="A41" s="32" t="inlineStr">
        <is>
          <t>R8-04</t>
        </is>
      </c>
      <c r="B41" s="4" t="inlineStr">
        <is>
          <t>R8</t>
        </is>
      </c>
      <c r="C41" s="4" t="inlineStr">
        <is>
          <t>HNB038</t>
        </is>
      </c>
      <c r="D41" s="4" t="inlineStr">
        <is>
          <t>NBE22</t>
        </is>
      </c>
      <c r="E41" s="4" t="inlineStr">
        <is>
          <t>ring</t>
        </is>
      </c>
      <c r="F41" s="4" t="inlineStr"/>
      <c r="G41" s="4" t="n">
        <v>2.275</v>
      </c>
      <c r="H41" s="4" t="n">
        <v>2.645</v>
      </c>
      <c r="I41" s="4" t="n">
        <v>2.285</v>
      </c>
      <c r="J41" s="4" t="inlineStr"/>
      <c r="K41" s="52">
        <f>IF(J41="Có",I41*'Tham số'!$B$10,IF(H41="",I41*'Tham số'!$B$10,H41))</f>
        <v/>
      </c>
      <c r="L41" s="4" t="n">
        <v>0.899</v>
      </c>
      <c r="M41" s="4" t="n">
        <v>0.598</v>
      </c>
      <c r="N41" s="52">
        <f>IF(L41="","",MAX(L41,M41)*IF(J41="Có",K41/H41,1))</f>
        <v/>
      </c>
      <c r="O41" s="4">
        <f>IF(K41&lt;'Tham số'!$B$7,'Tham số'!$B$4,IF(K41&lt;='Tham số'!$B$8,'Tham số'!$B$5,'Tham số'!$B$6))</f>
        <v/>
      </c>
      <c r="P41" s="52">
        <f>IF(N41="","",O41-N41)</f>
        <v/>
      </c>
      <c r="Q41" s="52">
        <f>IF(L41="","",ABS(L41-M41))</f>
        <v/>
      </c>
      <c r="R41" s="4">
        <f>IF(N41="","Chưa đo",IF(AND(N41&lt;=O41,Q41&lt;='Tham số'!$B$9),"Đạt","Cảnh báo"))</f>
        <v/>
      </c>
      <c r="S41" s="52">
        <f>IF(OR(H41="",I41=""),"",H41/I41)</f>
        <v/>
      </c>
      <c r="T41" s="21">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4"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3"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3"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3" t="inlineStr">
        <is>
          <t>CẦN KIỂM TRA: hai đoạn chung hành lang</t>
        </is>
      </c>
    </row>
    <row r="48">
      <c r="A48" s="4" t="inlineStr">
        <is>
          <t>R1-02</t>
        </is>
      </c>
      <c r="B48" s="4" t="inlineStr">
        <is>
          <t>R1</t>
        </is>
      </c>
      <c r="C48" s="4" t="inlineStr">
        <is>
          <t>R1-03</t>
        </is>
      </c>
      <c r="D48" s="4" t="n">
        <v>1.24</v>
      </c>
      <c r="E48" s="4" t="inlineStr">
        <is>
          <t>HNB060</t>
        </is>
      </c>
      <c r="F48" s="4" t="inlineStr"/>
      <c r="G48" s="13"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3" t="inlineStr">
        <is>
          <t>CẦN KIỂM TRA: hai đoạn chung hành lang</t>
        </is>
      </c>
    </row>
    <row r="56">
      <c r="A56" s="4" t="inlineStr">
        <is>
          <t>R2-03</t>
        </is>
      </c>
      <c r="B56" s="4" t="inlineStr">
        <is>
          <t>R2</t>
        </is>
      </c>
      <c r="C56" s="4" t="inlineStr">
        <is>
          <t>R2-04</t>
        </is>
      </c>
      <c r="D56" s="4" t="n">
        <v>0.63</v>
      </c>
      <c r="E56" s="4" t="inlineStr">
        <is>
          <t>HNB091</t>
        </is>
      </c>
      <c r="F56" s="4" t="inlineStr"/>
      <c r="G56" s="13" t="inlineStr">
        <is>
          <t>CẦN KIỂM TRA: hai đoạn chung hành lang</t>
        </is>
      </c>
    </row>
    <row r="57">
      <c r="A57" s="4" t="inlineStr">
        <is>
          <t>R3-01</t>
        </is>
      </c>
      <c r="B57" s="4" t="inlineStr">
        <is>
          <t>R3</t>
        </is>
      </c>
      <c r="C57" s="4" t="inlineStr">
        <is>
          <t>R3-02</t>
        </is>
      </c>
      <c r="D57" s="4" t="n">
        <v>0.32</v>
      </c>
      <c r="E57" s="4" t="inlineStr">
        <is>
          <t>HNB055</t>
        </is>
      </c>
      <c r="F57" s="4" t="inlineStr"/>
      <c r="G57" s="13"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3"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3"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3"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3" t="inlineStr">
        <is>
          <t>CẦN KIỂM TRA: hai đoạn chung hành lang</t>
        </is>
      </c>
    </row>
    <row r="79">
      <c r="A79" s="4" t="inlineStr">
        <is>
          <t>R6-01</t>
        </is>
      </c>
      <c r="B79" s="4" t="inlineStr">
        <is>
          <t>R6</t>
        </is>
      </c>
      <c r="C79" s="4" t="inlineStr">
        <is>
          <t>R6-02</t>
        </is>
      </c>
      <c r="D79" s="4" t="n">
        <v>0.78</v>
      </c>
      <c r="E79" s="4" t="inlineStr">
        <is>
          <t>HNB086</t>
        </is>
      </c>
      <c r="F79" s="4" t="inlineStr"/>
      <c r="G79" s="13"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3"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3"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3"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3"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3"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3">
        <f>HYPERLINK("https://maps.google.com/?q="&amp;E5&amp;","&amp;F5,"Mở bản đồ")</f>
        <v/>
      </c>
    </row>
    <row r="6">
      <c r="A6" s="4" t="inlineStr">
        <is>
          <t>NBE22</t>
        </is>
      </c>
      <c r="B6" s="4" t="inlineStr">
        <is>
          <t>AGG</t>
        </is>
      </c>
      <c r="C6" s="4" t="inlineStr"/>
      <c r="D6" s="4" t="inlineStr">
        <is>
          <t>trạm cấp 1 (AGG)</t>
        </is>
      </c>
      <c r="E6" s="4" t="n">
        <v>10.685521</v>
      </c>
      <c r="F6" s="4" t="n">
        <v>106.74529</v>
      </c>
      <c r="G6" s="53">
        <f>HYPERLINK("https://maps.google.com/?q="&amp;E6&amp;","&amp;F6,"Mở bản đồ")</f>
        <v/>
      </c>
    </row>
    <row r="7">
      <c r="A7" s="4" t="inlineStr">
        <is>
          <t>HNB048</t>
        </is>
      </c>
      <c r="B7" s="4" t="inlineStr">
        <is>
          <t>CSG</t>
        </is>
      </c>
      <c r="C7" s="4" t="inlineStr">
        <is>
          <t>R1</t>
        </is>
      </c>
      <c r="D7" s="4" t="inlineStr">
        <is>
          <t>ring</t>
        </is>
      </c>
      <c r="E7" s="4" t="n">
        <v>10.64111</v>
      </c>
      <c r="F7" s="4" t="n">
        <v>106.72634</v>
      </c>
      <c r="G7" s="53">
        <f>HYPERLINK("https://maps.google.com/?q="&amp;E7&amp;","&amp;F7,"Mở bản đồ")</f>
        <v/>
      </c>
    </row>
    <row r="8">
      <c r="A8" s="4" t="inlineStr">
        <is>
          <t>HNB059</t>
        </is>
      </c>
      <c r="B8" s="4" t="inlineStr">
        <is>
          <t>CSG</t>
        </is>
      </c>
      <c r="C8" s="4" t="inlineStr">
        <is>
          <t>R1</t>
        </is>
      </c>
      <c r="D8" s="4" t="inlineStr">
        <is>
          <t>ring</t>
        </is>
      </c>
      <c r="E8" s="4" t="n">
        <v>10.63649</v>
      </c>
      <c r="F8" s="4" t="n">
        <v>106.73631</v>
      </c>
      <c r="G8" s="53">
        <f>HYPERLINK("https://maps.google.com/?q="&amp;E8&amp;","&amp;F8,"Mở bản đồ")</f>
        <v/>
      </c>
    </row>
    <row r="9">
      <c r="A9" s="4" t="inlineStr">
        <is>
          <t>HNB060</t>
        </is>
      </c>
      <c r="B9" s="4" t="inlineStr">
        <is>
          <t>CSG</t>
        </is>
      </c>
      <c r="C9" s="4" t="inlineStr">
        <is>
          <t>R1</t>
        </is>
      </c>
      <c r="D9" s="4" t="inlineStr">
        <is>
          <t>ring</t>
        </is>
      </c>
      <c r="E9" s="4" t="n">
        <v>10.61486</v>
      </c>
      <c r="F9" s="4" t="n">
        <v>106.73873</v>
      </c>
      <c r="G9" s="53">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3">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3">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3">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3">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3">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3">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3">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3">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3">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3">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3">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3">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3">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3">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3">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3">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3">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3">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3">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3">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3">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3">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3">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3">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3">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3">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3">
        <f>HYPERLINK("https://maps.google.com/?q="&amp;E36&amp;","&amp;F36,"Mở bản đồ")</f>
        <v/>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20" t="inlineStr">
        <is>
          <t>ODF-HNB066</t>
        </is>
      </c>
      <c r="B5" s="54" t="inlineStr">
        <is>
          <t>NBE12</t>
        </is>
      </c>
      <c r="C5" s="54" t="inlineStr">
        <is>
          <t>NBE12</t>
        </is>
      </c>
      <c r="D5" s="54" t="inlineStr">
        <is>
          <t>NBE12</t>
        </is>
      </c>
      <c r="E5" s="54" t="inlineStr">
        <is>
          <t>NBE12</t>
        </is>
      </c>
      <c r="F5" s="54" t="inlineStr">
        <is>
          <t>NBE12</t>
        </is>
      </c>
      <c r="G5" s="54" t="inlineStr">
        <is>
          <t>NBE12</t>
        </is>
      </c>
      <c r="H5" s="55" t="inlineStr">
        <is>
          <t>HNB016</t>
        </is>
      </c>
      <c r="I5" s="55" t="inlineStr">
        <is>
          <t>HNB016</t>
        </is>
      </c>
      <c r="J5" s="55" t="inlineStr">
        <is>
          <t>HNB016</t>
        </is>
      </c>
      <c r="K5" s="55" t="inlineStr">
        <is>
          <t>HNB016</t>
        </is>
      </c>
      <c r="L5" s="55" t="inlineStr">
        <is>
          <t>HNB016</t>
        </is>
      </c>
      <c r="M5" s="55" t="inlineStr">
        <is>
          <t>HNB016</t>
        </is>
      </c>
      <c r="N5" s="4">
        <f>12-COUNTBLANK(B5:M5)</f>
        <v/>
      </c>
      <c r="O5" s="4" t="inlineStr">
        <is>
          <t>NBE12</t>
        </is>
      </c>
      <c r="P5" s="4" t="inlineStr">
        <is>
          <t>HNB016</t>
        </is>
      </c>
    </row>
    <row r="6">
      <c r="A6" s="20" t="inlineStr">
        <is>
          <t>ODF-HNB016</t>
        </is>
      </c>
      <c r="B6" s="56" t="inlineStr">
        <is>
          <t>HNB066</t>
        </is>
      </c>
      <c r="C6" s="56" t="inlineStr">
        <is>
          <t>HNB066</t>
        </is>
      </c>
      <c r="D6" s="56" t="inlineStr">
        <is>
          <t>HNB066</t>
        </is>
      </c>
      <c r="E6" s="56" t="inlineStr">
        <is>
          <t>HNB066</t>
        </is>
      </c>
      <c r="F6" s="56" t="inlineStr">
        <is>
          <t>HNB066</t>
        </is>
      </c>
      <c r="G6" s="56" t="inlineStr">
        <is>
          <t>HNB066</t>
        </is>
      </c>
      <c r="H6" s="56" t="inlineStr">
        <is>
          <t>HNB066</t>
        </is>
      </c>
      <c r="I6" s="56" t="inlineStr">
        <is>
          <t>HNB066</t>
        </is>
      </c>
      <c r="J6" s="57" t="inlineStr">
        <is>
          <t>HNB038</t>
        </is>
      </c>
      <c r="K6" s="57" t="inlineStr">
        <is>
          <t>HNB038</t>
        </is>
      </c>
      <c r="L6" s="57" t="inlineStr">
        <is>
          <t>HNB038</t>
        </is>
      </c>
      <c r="M6" s="57" t="inlineStr">
        <is>
          <t>HNB038</t>
        </is>
      </c>
      <c r="N6" s="4">
        <f>12-COUNTBLANK(B6:M6)</f>
        <v/>
      </c>
      <c r="O6" s="4" t="inlineStr">
        <is>
          <t>HNB066</t>
        </is>
      </c>
      <c r="P6" s="4" t="inlineStr">
        <is>
          <t>HNB038</t>
        </is>
      </c>
    </row>
    <row r="7">
      <c r="A7" s="20" t="inlineStr">
        <is>
          <t>ODF-HNB038</t>
        </is>
      </c>
      <c r="B7" s="58" t="inlineStr">
        <is>
          <t>NBE22</t>
        </is>
      </c>
      <c r="C7" s="58" t="inlineStr">
        <is>
          <t>NBE22</t>
        </is>
      </c>
      <c r="D7" s="58" t="inlineStr">
        <is>
          <t>NBE22</t>
        </is>
      </c>
      <c r="E7" s="58" t="inlineStr">
        <is>
          <t>NBE22</t>
        </is>
      </c>
      <c r="F7" s="58" t="inlineStr">
        <is>
          <t>NBE22</t>
        </is>
      </c>
      <c r="G7" s="58" t="inlineStr">
        <is>
          <t>NBE22</t>
        </is>
      </c>
      <c r="H7" s="58" t="inlineStr">
        <is>
          <t>NBE22</t>
        </is>
      </c>
      <c r="I7" s="58" t="inlineStr">
        <is>
          <t>NBE22</t>
        </is>
      </c>
      <c r="J7" s="55" t="inlineStr">
        <is>
          <t>HNB016</t>
        </is>
      </c>
      <c r="K7" s="55" t="inlineStr">
        <is>
          <t>HNB016</t>
        </is>
      </c>
      <c r="L7" s="55" t="inlineStr">
        <is>
          <t>HNB016</t>
        </is>
      </c>
      <c r="M7" s="55" t="inlineStr">
        <is>
          <t>HNB016</t>
        </is>
      </c>
      <c r="N7" s="4">
        <f>12-COUNTBLANK(B7:M7)</f>
        <v/>
      </c>
      <c r="O7" s="4" t="inlineStr">
        <is>
          <t>NBE22</t>
        </is>
      </c>
      <c r="P7" s="4" t="inlineStr">
        <is>
          <t>HNB016</t>
        </is>
      </c>
    </row>
    <row r="8">
      <c r="A8" s="20" t="inlineStr">
        <is>
          <t>ODF-HNB005</t>
        </is>
      </c>
      <c r="B8" s="54" t="inlineStr">
        <is>
          <t>NBE12</t>
        </is>
      </c>
      <c r="C8" s="54" t="inlineStr">
        <is>
          <t>NBE12</t>
        </is>
      </c>
      <c r="D8" s="54" t="inlineStr">
        <is>
          <t>NBE12</t>
        </is>
      </c>
      <c r="E8" s="54" t="inlineStr">
        <is>
          <t>NBE12</t>
        </is>
      </c>
      <c r="F8" s="54" t="inlineStr">
        <is>
          <t>NBE12</t>
        </is>
      </c>
      <c r="G8" s="54" t="inlineStr">
        <is>
          <t>NBE12</t>
        </is>
      </c>
      <c r="H8" s="59" t="inlineStr">
        <is>
          <t>HNB062</t>
        </is>
      </c>
      <c r="I8" s="59" t="inlineStr">
        <is>
          <t>HNB062</t>
        </is>
      </c>
      <c r="J8" s="59" t="inlineStr">
        <is>
          <t>HNB062</t>
        </is>
      </c>
      <c r="K8" s="59" t="inlineStr">
        <is>
          <t>HNB062</t>
        </is>
      </c>
      <c r="L8" s="59" t="inlineStr">
        <is>
          <t>HNB062</t>
        </is>
      </c>
      <c r="M8" s="59" t="inlineStr">
        <is>
          <t>HNB062</t>
        </is>
      </c>
      <c r="N8" s="4">
        <f>12-COUNTBLANK(B8:M8)</f>
        <v/>
      </c>
      <c r="O8" s="4" t="inlineStr">
        <is>
          <t>NBE12</t>
        </is>
      </c>
      <c r="P8" s="4" t="inlineStr">
        <is>
          <t>HNB062</t>
        </is>
      </c>
    </row>
    <row r="9">
      <c r="A9" s="20" t="inlineStr">
        <is>
          <t>ODF-HNB062</t>
        </is>
      </c>
      <c r="B9" s="60" t="inlineStr">
        <is>
          <t>HNB021</t>
        </is>
      </c>
      <c r="C9" s="60" t="inlineStr">
        <is>
          <t>HNB021</t>
        </is>
      </c>
      <c r="D9" s="60" t="inlineStr">
        <is>
          <t>HNB021</t>
        </is>
      </c>
      <c r="E9" s="60" t="inlineStr">
        <is>
          <t>HNB021</t>
        </is>
      </c>
      <c r="F9" s="60" t="inlineStr">
        <is>
          <t>HNB021</t>
        </is>
      </c>
      <c r="G9" s="60" t="inlineStr">
        <is>
          <t>HNB021</t>
        </is>
      </c>
      <c r="H9" s="61" t="inlineStr">
        <is>
          <t>HNB005</t>
        </is>
      </c>
      <c r="I9" s="61" t="inlineStr">
        <is>
          <t>HNB005</t>
        </is>
      </c>
      <c r="J9" s="61" t="inlineStr">
        <is>
          <t>HNB005</t>
        </is>
      </c>
      <c r="K9" s="61" t="inlineStr">
        <is>
          <t>HNB005</t>
        </is>
      </c>
      <c r="L9" s="61" t="inlineStr">
        <is>
          <t>HNB005</t>
        </is>
      </c>
      <c r="M9" s="61" t="inlineStr">
        <is>
          <t>HNB005</t>
        </is>
      </c>
      <c r="N9" s="4">
        <f>12-COUNTBLANK(B9:M9)</f>
        <v/>
      </c>
      <c r="O9" s="4" t="inlineStr">
        <is>
          <t>HNB021</t>
        </is>
      </c>
      <c r="P9" s="4" t="inlineStr">
        <is>
          <t>HNB005</t>
        </is>
      </c>
    </row>
    <row r="10">
      <c r="A10" s="20" t="inlineStr">
        <is>
          <t>ODF-HNB021</t>
        </is>
      </c>
      <c r="B10" s="59" t="inlineStr">
        <is>
          <t>HNB062</t>
        </is>
      </c>
      <c r="C10" s="59" t="inlineStr">
        <is>
          <t>HNB062</t>
        </is>
      </c>
      <c r="D10" s="59" t="inlineStr">
        <is>
          <t>HNB062</t>
        </is>
      </c>
      <c r="E10" s="59" t="inlineStr">
        <is>
          <t>HNB062</t>
        </is>
      </c>
      <c r="F10" s="59" t="inlineStr">
        <is>
          <t>HNB062</t>
        </is>
      </c>
      <c r="G10" s="59" t="inlineStr">
        <is>
          <t>HNB062</t>
        </is>
      </c>
      <c r="H10" s="54" t="inlineStr">
        <is>
          <t>HNB013</t>
        </is>
      </c>
      <c r="I10" s="54" t="inlineStr">
        <is>
          <t>HNB013</t>
        </is>
      </c>
      <c r="J10" s="54" t="inlineStr">
        <is>
          <t>HNB013</t>
        </is>
      </c>
      <c r="K10" s="54" t="inlineStr">
        <is>
          <t>HNB013</t>
        </is>
      </c>
      <c r="L10" s="54" t="inlineStr">
        <is>
          <t>HNB013</t>
        </is>
      </c>
      <c r="M10" s="54" t="inlineStr">
        <is>
          <t>HNB013</t>
        </is>
      </c>
      <c r="N10" s="4">
        <f>12-COUNTBLANK(B10:M10)</f>
        <v/>
      </c>
      <c r="O10" s="4" t="inlineStr">
        <is>
          <t>HNB062</t>
        </is>
      </c>
      <c r="P10" s="4" t="inlineStr">
        <is>
          <t>HNB013</t>
        </is>
      </c>
    </row>
    <row r="11">
      <c r="A11" s="20" t="inlineStr">
        <is>
          <t>ODF-HNB013</t>
        </is>
      </c>
      <c r="B11" s="60" t="inlineStr">
        <is>
          <t>HNB021</t>
        </is>
      </c>
      <c r="C11" s="60" t="inlineStr">
        <is>
          <t>HNB021</t>
        </is>
      </c>
      <c r="D11" s="60" t="inlineStr">
        <is>
          <t>HNB021</t>
        </is>
      </c>
      <c r="E11" s="60" t="inlineStr">
        <is>
          <t>HNB021</t>
        </is>
      </c>
      <c r="F11" s="60" t="inlineStr">
        <is>
          <t>HNB021</t>
        </is>
      </c>
      <c r="G11" s="60" t="inlineStr">
        <is>
          <t>HNB021</t>
        </is>
      </c>
      <c r="H11" s="58" t="inlineStr">
        <is>
          <t>NBE22</t>
        </is>
      </c>
      <c r="I11" s="58" t="inlineStr">
        <is>
          <t>NBE22</t>
        </is>
      </c>
      <c r="J11" s="58" t="inlineStr">
        <is>
          <t>NBE22</t>
        </is>
      </c>
      <c r="K11" s="58" t="inlineStr">
        <is>
          <t>NBE22</t>
        </is>
      </c>
      <c r="L11" s="58" t="inlineStr">
        <is>
          <t>NBE22</t>
        </is>
      </c>
      <c r="M11" s="58" t="inlineStr">
        <is>
          <t>NBE22</t>
        </is>
      </c>
      <c r="N11" s="4">
        <f>12-COUNTBLANK(B11:M11)</f>
        <v/>
      </c>
      <c r="O11" s="4" t="inlineStr">
        <is>
          <t>HNB021</t>
        </is>
      </c>
      <c r="P11" s="4" t="inlineStr">
        <is>
          <t>NBE22</t>
        </is>
      </c>
    </row>
    <row r="12">
      <c r="A12" s="20" t="inlineStr">
        <is>
          <t>ODF-HNB011</t>
        </is>
      </c>
      <c r="B12" s="54" t="inlineStr">
        <is>
          <t>NBE12</t>
        </is>
      </c>
      <c r="C12" s="54" t="inlineStr">
        <is>
          <t>NBE12</t>
        </is>
      </c>
      <c r="D12" s="54" t="inlineStr">
        <is>
          <t>NBE12</t>
        </is>
      </c>
      <c r="E12" s="54" t="inlineStr">
        <is>
          <t>NBE12</t>
        </is>
      </c>
      <c r="F12" s="54" t="inlineStr">
        <is>
          <t>NBE12</t>
        </is>
      </c>
      <c r="G12" s="54" t="inlineStr">
        <is>
          <t>NBE12</t>
        </is>
      </c>
      <c r="H12" s="55" t="inlineStr">
        <is>
          <t>HNB056</t>
        </is>
      </c>
      <c r="I12" s="55" t="inlineStr">
        <is>
          <t>HNB056</t>
        </is>
      </c>
      <c r="J12" s="55" t="inlineStr">
        <is>
          <t>HNB056</t>
        </is>
      </c>
      <c r="K12" s="55" t="inlineStr">
        <is>
          <t>HNB056</t>
        </is>
      </c>
      <c r="L12" s="55" t="inlineStr">
        <is>
          <t>HNB056</t>
        </is>
      </c>
      <c r="M12" s="55" t="inlineStr">
        <is>
          <t>HNB056</t>
        </is>
      </c>
      <c r="N12" s="4">
        <f>12-COUNTBLANK(B12:M12)</f>
        <v/>
      </c>
      <c r="O12" s="4" t="inlineStr">
        <is>
          <t>NBE12</t>
        </is>
      </c>
      <c r="P12" s="4" t="inlineStr">
        <is>
          <t>HNB056</t>
        </is>
      </c>
    </row>
    <row r="13">
      <c r="A13" s="20" t="inlineStr">
        <is>
          <t>ODF-HNB056</t>
        </is>
      </c>
      <c r="B13" s="56" t="inlineStr">
        <is>
          <t>HNB011</t>
        </is>
      </c>
      <c r="C13" s="56" t="inlineStr">
        <is>
          <t>HNB011</t>
        </is>
      </c>
      <c r="D13" s="56" t="inlineStr">
        <is>
          <t>HNB011</t>
        </is>
      </c>
      <c r="E13" s="56" t="inlineStr">
        <is>
          <t>HNB011</t>
        </is>
      </c>
      <c r="F13" s="56" t="inlineStr">
        <is>
          <t>HNB011</t>
        </is>
      </c>
      <c r="G13" s="56" t="inlineStr">
        <is>
          <t>HNB011</t>
        </is>
      </c>
      <c r="H13" s="57" t="inlineStr">
        <is>
          <t>HNB071</t>
        </is>
      </c>
      <c r="I13" s="57" t="inlineStr">
        <is>
          <t>HNB071</t>
        </is>
      </c>
      <c r="J13" s="57" t="inlineStr">
        <is>
          <t>HNB071</t>
        </is>
      </c>
      <c r="K13" s="57" t="inlineStr">
        <is>
          <t>HNB071</t>
        </is>
      </c>
      <c r="L13" s="57" t="inlineStr">
        <is>
          <t>HNB071</t>
        </is>
      </c>
      <c r="M13" s="57" t="inlineStr">
        <is>
          <t>HNB071</t>
        </is>
      </c>
      <c r="N13" s="4">
        <f>12-COUNTBLANK(B13:M13)</f>
        <v/>
      </c>
      <c r="O13" s="4" t="inlineStr">
        <is>
          <t>HNB011</t>
        </is>
      </c>
      <c r="P13" s="4" t="inlineStr">
        <is>
          <t>HNB071</t>
        </is>
      </c>
    </row>
    <row r="14">
      <c r="A14" s="20" t="inlineStr">
        <is>
          <t>ODF-HNB071</t>
        </is>
      </c>
      <c r="B14" s="55" t="inlineStr">
        <is>
          <t>HNB056</t>
        </is>
      </c>
      <c r="C14" s="55" t="inlineStr">
        <is>
          <t>HNB056</t>
        </is>
      </c>
      <c r="D14" s="55" t="inlineStr">
        <is>
          <t>HNB056</t>
        </is>
      </c>
      <c r="E14" s="55" t="inlineStr">
        <is>
          <t>HNB056</t>
        </is>
      </c>
      <c r="F14" s="55" t="inlineStr">
        <is>
          <t>HNB056</t>
        </is>
      </c>
      <c r="G14" s="55" t="inlineStr">
        <is>
          <t>HNB056</t>
        </is>
      </c>
      <c r="H14" s="58" t="inlineStr">
        <is>
          <t>HNB073</t>
        </is>
      </c>
      <c r="I14" s="58" t="inlineStr">
        <is>
          <t>HNB073</t>
        </is>
      </c>
      <c r="J14" s="58" t="inlineStr">
        <is>
          <t>HNB073</t>
        </is>
      </c>
      <c r="K14" s="58" t="inlineStr">
        <is>
          <t>HNB073</t>
        </is>
      </c>
      <c r="L14" s="58" t="inlineStr">
        <is>
          <t>HNB073</t>
        </is>
      </c>
      <c r="M14" s="58" t="inlineStr">
        <is>
          <t>HNB073</t>
        </is>
      </c>
      <c r="N14" s="4">
        <f>12-COUNTBLANK(B14:M14)</f>
        <v/>
      </c>
      <c r="O14" s="4" t="inlineStr">
        <is>
          <t>HNB056</t>
        </is>
      </c>
      <c r="P14" s="4" t="inlineStr">
        <is>
          <t>HNB073</t>
        </is>
      </c>
    </row>
    <row r="15">
      <c r="A15" s="20" t="inlineStr">
        <is>
          <t>ODF-HNB073</t>
        </is>
      </c>
      <c r="B15" s="57" t="inlineStr">
        <is>
          <t>HNB071</t>
        </is>
      </c>
      <c r="C15" s="57" t="inlineStr">
        <is>
          <t>HNB071</t>
        </is>
      </c>
      <c r="D15" s="57" t="inlineStr">
        <is>
          <t>HNB071</t>
        </is>
      </c>
      <c r="E15" s="57" t="inlineStr">
        <is>
          <t>HNB071</t>
        </is>
      </c>
      <c r="F15" s="57" t="inlineStr">
        <is>
          <t>HNB071</t>
        </is>
      </c>
      <c r="G15" s="57" t="inlineStr">
        <is>
          <t>HNB071</t>
        </is>
      </c>
      <c r="H15" s="58" t="inlineStr">
        <is>
          <t>NBE22</t>
        </is>
      </c>
      <c r="I15" s="58" t="inlineStr">
        <is>
          <t>NBE22</t>
        </is>
      </c>
      <c r="J15" s="58" t="inlineStr">
        <is>
          <t>NBE22</t>
        </is>
      </c>
      <c r="K15" s="58" t="inlineStr">
        <is>
          <t>NBE22</t>
        </is>
      </c>
      <c r="L15" s="58" t="inlineStr">
        <is>
          <t>NBE22</t>
        </is>
      </c>
      <c r="M15" s="58" t="inlineStr">
        <is>
          <t>NBE22</t>
        </is>
      </c>
      <c r="N15" s="4">
        <f>12-COUNTBLANK(B15:M15)</f>
        <v/>
      </c>
      <c r="O15" s="4" t="inlineStr">
        <is>
          <t>HNB071</t>
        </is>
      </c>
      <c r="P15" s="4" t="inlineStr">
        <is>
          <t>NBE22</t>
        </is>
      </c>
    </row>
    <row r="16">
      <c r="A16" s="20" t="inlineStr">
        <is>
          <t>ODF-HNB055</t>
        </is>
      </c>
      <c r="B16" s="59" t="inlineStr">
        <is>
          <t>HNB065</t>
        </is>
      </c>
      <c r="C16" s="59" t="inlineStr">
        <is>
          <t>HNB065</t>
        </is>
      </c>
      <c r="D16" s="59" t="inlineStr">
        <is>
          <t>HNB065</t>
        </is>
      </c>
      <c r="E16" s="59" t="inlineStr">
        <is>
          <t>HNB065</t>
        </is>
      </c>
      <c r="F16" s="59" t="inlineStr">
        <is>
          <t>HNB065</t>
        </is>
      </c>
      <c r="G16" s="59" t="inlineStr">
        <is>
          <t>HNB065</t>
        </is>
      </c>
      <c r="H16" s="54" t="inlineStr">
        <is>
          <t>NBE12</t>
        </is>
      </c>
      <c r="I16" s="54" t="inlineStr">
        <is>
          <t>NBE12</t>
        </is>
      </c>
      <c r="J16" s="54" t="inlineStr">
        <is>
          <t>NBE12</t>
        </is>
      </c>
      <c r="K16" s="54" t="inlineStr">
        <is>
          <t>NBE12</t>
        </is>
      </c>
      <c r="L16" s="54" t="inlineStr">
        <is>
          <t>NBE12</t>
        </is>
      </c>
      <c r="M16" s="54" t="inlineStr">
        <is>
          <t>NBE12</t>
        </is>
      </c>
      <c r="N16" s="4">
        <f>12-COUNTBLANK(B16:M16)</f>
        <v/>
      </c>
      <c r="O16" s="4" t="inlineStr">
        <is>
          <t>HNB065</t>
        </is>
      </c>
      <c r="P16" s="4" t="inlineStr">
        <is>
          <t>NBE12</t>
        </is>
      </c>
    </row>
    <row r="17">
      <c r="A17" s="20" t="inlineStr">
        <is>
          <t>ODF-HNB065</t>
        </is>
      </c>
      <c r="B17" s="60" t="inlineStr">
        <is>
          <t>HNB055</t>
        </is>
      </c>
      <c r="C17" s="60" t="inlineStr">
        <is>
          <t>HNB055</t>
        </is>
      </c>
      <c r="D17" s="60" t="inlineStr">
        <is>
          <t>HNB055</t>
        </is>
      </c>
      <c r="E17" s="60" t="inlineStr">
        <is>
          <t>HNB055</t>
        </is>
      </c>
      <c r="F17" s="60" t="inlineStr">
        <is>
          <t>HNB055</t>
        </is>
      </c>
      <c r="G17" s="60" t="inlineStr">
        <is>
          <t>HNB055</t>
        </is>
      </c>
      <c r="H17" s="61" t="inlineStr">
        <is>
          <t>HNB094</t>
        </is>
      </c>
      <c r="I17" s="61" t="inlineStr">
        <is>
          <t>HNB094</t>
        </is>
      </c>
      <c r="J17" s="61" t="inlineStr">
        <is>
          <t>HNB094</t>
        </is>
      </c>
      <c r="K17" s="61" t="inlineStr">
        <is>
          <t>HNB094</t>
        </is>
      </c>
      <c r="L17" s="61" t="inlineStr">
        <is>
          <t>HNB094</t>
        </is>
      </c>
      <c r="M17" s="61" t="inlineStr">
        <is>
          <t>HNB094</t>
        </is>
      </c>
      <c r="N17" s="4">
        <f>12-COUNTBLANK(B17:M17)</f>
        <v/>
      </c>
      <c r="O17" s="4" t="inlineStr">
        <is>
          <t>HNB055</t>
        </is>
      </c>
      <c r="P17" s="4" t="inlineStr">
        <is>
          <t>HNB094</t>
        </is>
      </c>
    </row>
    <row r="18">
      <c r="A18" s="20" t="inlineStr">
        <is>
          <t>ODF-HNB094</t>
        </is>
      </c>
      <c r="B18" s="54" t="inlineStr">
        <is>
          <t>HNB018</t>
        </is>
      </c>
      <c r="C18" s="54" t="inlineStr">
        <is>
          <t>HNB018</t>
        </is>
      </c>
      <c r="D18" s="59" t="inlineStr">
        <is>
          <t>HNB065</t>
        </is>
      </c>
      <c r="E18" s="59" t="inlineStr">
        <is>
          <t>HNB065</t>
        </is>
      </c>
      <c r="F18" s="58" t="inlineStr">
        <is>
          <t>NBE22</t>
        </is>
      </c>
      <c r="G18" s="58" t="inlineStr">
        <is>
          <t>NBE22</t>
        </is>
      </c>
      <c r="H18" s="55" t="inlineStr">
        <is>
          <t>MX_LVL-03</t>
        </is>
      </c>
      <c r="I18" s="55" t="inlineStr">
        <is>
          <t>MX_LVL-03</t>
        </is>
      </c>
      <c r="J18" s="55" t="inlineStr">
        <is>
          <t>MX_LVL-03</t>
        </is>
      </c>
      <c r="K18" s="55" t="inlineStr">
        <is>
          <t>MX_LVL-03</t>
        </is>
      </c>
      <c r="L18" s="55" t="inlineStr">
        <is>
          <t>MX_LVL-03</t>
        </is>
      </c>
      <c r="M18" s="55" t="inlineStr">
        <is>
          <t>MX_LVL-03</t>
        </is>
      </c>
      <c r="N18" s="4">
        <f>12-COUNTBLANK(B18:M18)</f>
        <v/>
      </c>
      <c r="O18" s="4" t="inlineStr">
        <is>
          <t>HNB018</t>
        </is>
      </c>
      <c r="P18" s="4" t="inlineStr">
        <is>
          <t>HNB065</t>
        </is>
      </c>
    </row>
    <row r="19">
      <c r="A19" s="20" t="inlineStr">
        <is>
          <t>ODF-HNB018</t>
        </is>
      </c>
      <c r="B19" s="61" t="inlineStr">
        <is>
          <t>HNB094</t>
        </is>
      </c>
      <c r="C19" s="61" t="inlineStr">
        <is>
          <t>HNB094</t>
        </is>
      </c>
      <c r="D19" s="61" t="inlineStr">
        <is>
          <t>HNB094</t>
        </is>
      </c>
      <c r="E19" s="61" t="inlineStr">
        <is>
          <t>HNB094</t>
        </is>
      </c>
      <c r="F19" s="61" t="inlineStr">
        <is>
          <t>HNB094</t>
        </is>
      </c>
      <c r="G19" s="61" t="inlineStr">
        <is>
          <t>HNB094</t>
        </is>
      </c>
      <c r="H19" s="4" t="n"/>
      <c r="I19" s="4" t="n"/>
      <c r="J19" s="4" t="n"/>
      <c r="K19" s="4" t="n"/>
      <c r="L19" s="4" t="n"/>
      <c r="M19" s="4" t="n"/>
      <c r="N19" s="4">
        <f>6-COUNTBLANK(B19:G19)</f>
        <v/>
      </c>
      <c r="O19" s="4" t="inlineStr">
        <is>
          <t>HNB094</t>
        </is>
      </c>
      <c r="P19" s="4" t="inlineStr"/>
    </row>
    <row r="20">
      <c r="A20" s="20" t="inlineStr">
        <is>
          <t>ODF-HNB086</t>
        </is>
      </c>
      <c r="B20" s="54" t="inlineStr">
        <is>
          <t>NBE12</t>
        </is>
      </c>
      <c r="C20" s="54" t="inlineStr">
        <is>
          <t>NBE12</t>
        </is>
      </c>
      <c r="D20" s="54" t="inlineStr">
        <is>
          <t>NBE12</t>
        </is>
      </c>
      <c r="E20" s="54" t="inlineStr">
        <is>
          <t>NBE12</t>
        </is>
      </c>
      <c r="F20" s="54" t="inlineStr">
        <is>
          <t>NBE12</t>
        </is>
      </c>
      <c r="G20" s="54" t="inlineStr">
        <is>
          <t>NBE12</t>
        </is>
      </c>
      <c r="H20" s="56" t="inlineStr">
        <is>
          <t>HNB024</t>
        </is>
      </c>
      <c r="I20" s="56" t="inlineStr">
        <is>
          <t>HNB024</t>
        </is>
      </c>
      <c r="J20" s="56" t="inlineStr">
        <is>
          <t>HNB024</t>
        </is>
      </c>
      <c r="K20" s="56" t="inlineStr">
        <is>
          <t>HNB024</t>
        </is>
      </c>
      <c r="L20" s="56" t="inlineStr">
        <is>
          <t>HNB024</t>
        </is>
      </c>
      <c r="M20" s="56" t="inlineStr">
        <is>
          <t>HNB024</t>
        </is>
      </c>
      <c r="N20" s="4">
        <f>12-COUNTBLANK(B20:M20)</f>
        <v/>
      </c>
      <c r="O20" s="4" t="inlineStr">
        <is>
          <t>NBE12</t>
        </is>
      </c>
      <c r="P20" s="4" t="inlineStr">
        <is>
          <t>HNB024</t>
        </is>
      </c>
    </row>
    <row r="21">
      <c r="A21" s="20" t="inlineStr">
        <is>
          <t>ODF-HNB024</t>
        </is>
      </c>
      <c r="B21" s="57" t="inlineStr">
        <is>
          <t>HNB086</t>
        </is>
      </c>
      <c r="C21" s="57" t="inlineStr">
        <is>
          <t>HNB086</t>
        </is>
      </c>
      <c r="D21" s="57" t="inlineStr">
        <is>
          <t>HNB086</t>
        </is>
      </c>
      <c r="E21" s="57" t="inlineStr">
        <is>
          <t>HNB086</t>
        </is>
      </c>
      <c r="F21" s="57" t="inlineStr">
        <is>
          <t>HNB086</t>
        </is>
      </c>
      <c r="G21" s="57" t="inlineStr">
        <is>
          <t>HNB086</t>
        </is>
      </c>
      <c r="H21" s="58" t="inlineStr">
        <is>
          <t>HNB027</t>
        </is>
      </c>
      <c r="I21" s="58" t="inlineStr">
        <is>
          <t>HNB027</t>
        </is>
      </c>
      <c r="J21" s="58" t="inlineStr">
        <is>
          <t>HNB027</t>
        </is>
      </c>
      <c r="K21" s="58" t="inlineStr">
        <is>
          <t>HNB027</t>
        </is>
      </c>
      <c r="L21" s="58" t="inlineStr">
        <is>
          <t>HNB027</t>
        </is>
      </c>
      <c r="M21" s="58" t="inlineStr">
        <is>
          <t>HNB027</t>
        </is>
      </c>
      <c r="N21" s="4">
        <f>12-COUNTBLANK(B21:M21)</f>
        <v/>
      </c>
      <c r="O21" s="4" t="inlineStr">
        <is>
          <t>HNB086</t>
        </is>
      </c>
      <c r="P21" s="4" t="inlineStr">
        <is>
          <t>HNB027</t>
        </is>
      </c>
    </row>
    <row r="22">
      <c r="A22" s="20" t="inlineStr">
        <is>
          <t>ODF-HNB027</t>
        </is>
      </c>
      <c r="B22" s="56" t="inlineStr">
        <is>
          <t>HNB024</t>
        </is>
      </c>
      <c r="C22" s="56" t="inlineStr">
        <is>
          <t>HNB024</t>
        </is>
      </c>
      <c r="D22" s="56" t="inlineStr">
        <is>
          <t>HNB024</t>
        </is>
      </c>
      <c r="E22" s="56" t="inlineStr">
        <is>
          <t>HNB024</t>
        </is>
      </c>
      <c r="F22" s="56" t="inlineStr">
        <is>
          <t>HNB024</t>
        </is>
      </c>
      <c r="G22" s="56" t="inlineStr">
        <is>
          <t>HNB024</t>
        </is>
      </c>
      <c r="H22" s="59" t="inlineStr">
        <is>
          <t>HNB031</t>
        </is>
      </c>
      <c r="I22" s="59" t="inlineStr">
        <is>
          <t>HNB031</t>
        </is>
      </c>
      <c r="J22" s="59" t="inlineStr">
        <is>
          <t>HNB031</t>
        </is>
      </c>
      <c r="K22" s="59" t="inlineStr">
        <is>
          <t>HNB031</t>
        </is>
      </c>
      <c r="L22" s="59" t="inlineStr">
        <is>
          <t>HNB031</t>
        </is>
      </c>
      <c r="M22" s="59" t="inlineStr">
        <is>
          <t>HNB031</t>
        </is>
      </c>
      <c r="N22" s="4">
        <f>12-COUNTBLANK(B22:M22)</f>
        <v/>
      </c>
      <c r="O22" s="4" t="inlineStr">
        <is>
          <t>HNB024</t>
        </is>
      </c>
      <c r="P22" s="4" t="inlineStr">
        <is>
          <t>HNB031</t>
        </is>
      </c>
    </row>
    <row r="23">
      <c r="A23" s="20" t="inlineStr">
        <is>
          <t>ODF-HNB031</t>
        </is>
      </c>
      <c r="B23" s="58" t="inlineStr">
        <is>
          <t>HNB027</t>
        </is>
      </c>
      <c r="C23" s="58" t="inlineStr">
        <is>
          <t>HNB027</t>
        </is>
      </c>
      <c r="D23" s="58" t="inlineStr">
        <is>
          <t>HNB027</t>
        </is>
      </c>
      <c r="E23" s="58" t="inlineStr">
        <is>
          <t>HNB027</t>
        </is>
      </c>
      <c r="F23" s="58" t="inlineStr">
        <is>
          <t>HNB027</t>
        </is>
      </c>
      <c r="G23" s="58" t="inlineStr">
        <is>
          <t>HNB027</t>
        </is>
      </c>
      <c r="H23" s="60" t="inlineStr">
        <is>
          <t>HNB020</t>
        </is>
      </c>
      <c r="I23" s="60" t="inlineStr">
        <is>
          <t>HNB020</t>
        </is>
      </c>
      <c r="J23" s="60" t="inlineStr">
        <is>
          <t>HNB020</t>
        </is>
      </c>
      <c r="K23" s="60" t="inlineStr">
        <is>
          <t>HNB020</t>
        </is>
      </c>
      <c r="L23" s="60" t="inlineStr">
        <is>
          <t>HNB020</t>
        </is>
      </c>
      <c r="M23" s="60" t="inlineStr">
        <is>
          <t>HNB020</t>
        </is>
      </c>
      <c r="N23" s="4">
        <f>12-COUNTBLANK(B23:M23)</f>
        <v/>
      </c>
      <c r="O23" s="4" t="inlineStr">
        <is>
          <t>HNB027</t>
        </is>
      </c>
      <c r="P23" s="4" t="inlineStr">
        <is>
          <t>HNB020</t>
        </is>
      </c>
    </row>
    <row r="24">
      <c r="A24" s="20" t="inlineStr">
        <is>
          <t>ODF-HNB020</t>
        </is>
      </c>
      <c r="B24" s="58" t="inlineStr">
        <is>
          <t>HNB027</t>
        </is>
      </c>
      <c r="C24" s="58" t="inlineStr">
        <is>
          <t>HNB027</t>
        </is>
      </c>
      <c r="D24" s="58" t="inlineStr">
        <is>
          <t>HNB027</t>
        </is>
      </c>
      <c r="E24" s="58" t="inlineStr">
        <is>
          <t>HNB027</t>
        </is>
      </c>
      <c r="F24" s="58" t="inlineStr">
        <is>
          <t>HNB027</t>
        </is>
      </c>
      <c r="G24" s="58" t="inlineStr">
        <is>
          <t>HNB027</t>
        </is>
      </c>
      <c r="H24" s="60" t="inlineStr">
        <is>
          <t>HNB020</t>
        </is>
      </c>
      <c r="I24" s="60" t="inlineStr">
        <is>
          <t>HNB020</t>
        </is>
      </c>
      <c r="J24" s="60" t="inlineStr">
        <is>
          <t>HNB020</t>
        </is>
      </c>
      <c r="K24" s="60" t="inlineStr">
        <is>
          <t>HNB020</t>
        </is>
      </c>
      <c r="L24" s="60" t="inlineStr">
        <is>
          <t>HNB020</t>
        </is>
      </c>
      <c r="M24" s="60" t="inlineStr">
        <is>
          <t>HNB020</t>
        </is>
      </c>
      <c r="N24" s="4">
        <f>12-COUNTBLANK(B24:M24)</f>
        <v/>
      </c>
      <c r="O24" s="4" t="inlineStr">
        <is>
          <t>HNB027</t>
        </is>
      </c>
      <c r="P24" s="4" t="inlineStr">
        <is>
          <t>HNB020</t>
        </is>
      </c>
    </row>
    <row r="25">
      <c r="A25" s="20" t="inlineStr">
        <is>
          <t>ODF-HNB075</t>
        </is>
      </c>
      <c r="B25" s="61" t="inlineStr">
        <is>
          <t>HNB014</t>
        </is>
      </c>
      <c r="C25" s="61" t="inlineStr">
        <is>
          <t>HNB014</t>
        </is>
      </c>
      <c r="D25" s="61" t="inlineStr">
        <is>
          <t>HNB014</t>
        </is>
      </c>
      <c r="E25" s="61" t="inlineStr">
        <is>
          <t>HNB014</t>
        </is>
      </c>
      <c r="F25" s="61" t="inlineStr">
        <is>
          <t>HNB014</t>
        </is>
      </c>
      <c r="G25" s="61" t="inlineStr">
        <is>
          <t>HNB014</t>
        </is>
      </c>
      <c r="H25" s="58" t="inlineStr">
        <is>
          <t>NBE22</t>
        </is>
      </c>
      <c r="I25" s="58" t="inlineStr">
        <is>
          <t>NBE22</t>
        </is>
      </c>
      <c r="J25" s="58" t="inlineStr">
        <is>
          <t>NBE22</t>
        </is>
      </c>
      <c r="K25" s="58" t="inlineStr">
        <is>
          <t>NBE22</t>
        </is>
      </c>
      <c r="L25" s="58" t="inlineStr">
        <is>
          <t>NBE22</t>
        </is>
      </c>
      <c r="M25" s="58" t="inlineStr">
        <is>
          <t>NBE22</t>
        </is>
      </c>
      <c r="N25" s="4">
        <f>12-COUNTBLANK(B25:M25)</f>
        <v/>
      </c>
      <c r="O25" s="4" t="inlineStr">
        <is>
          <t>HNB014</t>
        </is>
      </c>
      <c r="P25" s="4" t="inlineStr">
        <is>
          <t>NBE22</t>
        </is>
      </c>
    </row>
    <row r="26">
      <c r="A26" s="20" t="inlineStr">
        <is>
          <t>ODF-HNB014</t>
        </is>
      </c>
      <c r="B26" s="62" t="inlineStr"/>
      <c r="C26" s="62" t="inlineStr"/>
      <c r="D26" s="62" t="inlineStr"/>
      <c r="E26" s="62" t="inlineStr"/>
      <c r="F26" s="62" t="inlineStr"/>
      <c r="G26" s="62" t="inlineStr"/>
      <c r="H26" s="62" t="inlineStr"/>
      <c r="I26" s="62" t="inlineStr"/>
      <c r="J26" s="62" t="inlineStr"/>
      <c r="K26" s="62" t="inlineStr"/>
      <c r="L26" s="62" t="inlineStr"/>
      <c r="M26" s="62" t="inlineStr"/>
      <c r="N26" s="4">
        <f>12-COUNTBLANK(B26:M26)</f>
        <v/>
      </c>
      <c r="O26" s="4" t="inlineStr"/>
      <c r="P26" s="4" t="inlineStr"/>
    </row>
    <row r="27">
      <c r="A27" s="20" t="inlineStr">
        <is>
          <t>ODF-HNB012</t>
        </is>
      </c>
      <c r="B27" s="58" t="inlineStr">
        <is>
          <t>NBE22</t>
        </is>
      </c>
      <c r="C27" s="58" t="inlineStr">
        <is>
          <t>NBE22</t>
        </is>
      </c>
      <c r="D27" s="58" t="inlineStr">
        <is>
          <t>NBE22</t>
        </is>
      </c>
      <c r="E27" s="58" t="inlineStr">
        <is>
          <t>NBE22</t>
        </is>
      </c>
      <c r="F27" s="54" t="inlineStr">
        <is>
          <t>MX_Phạm Hùng</t>
        </is>
      </c>
      <c r="G27" s="54" t="inlineStr">
        <is>
          <t>MX_Phạm Hùng</t>
        </is>
      </c>
      <c r="H27" s="54" t="inlineStr">
        <is>
          <t>MX_Phạm Hùng</t>
        </is>
      </c>
      <c r="I27" s="54" t="inlineStr">
        <is>
          <t>MX_Phạm Hùng</t>
        </is>
      </c>
      <c r="J27" s="54" t="inlineStr">
        <is>
          <t>MX_Phạm Hùng</t>
        </is>
      </c>
      <c r="K27" s="54" t="inlineStr">
        <is>
          <t>MX_Phạm Hùng</t>
        </is>
      </c>
      <c r="L27" s="54" t="inlineStr">
        <is>
          <t>MX_Phạm Hùng</t>
        </is>
      </c>
      <c r="M27" s="54" t="inlineStr">
        <is>
          <t>MX_Phạm Hùng</t>
        </is>
      </c>
      <c r="N27" s="4">
        <f>12-COUNTBLANK(B27:M27)</f>
        <v/>
      </c>
      <c r="O27" s="4" t="inlineStr">
        <is>
          <t>NBE22</t>
        </is>
      </c>
      <c r="P27" s="4" t="inlineStr">
        <is>
          <t>MX_Phạm Hùng</t>
        </is>
      </c>
    </row>
    <row r="28">
      <c r="A28" s="20" t="inlineStr">
        <is>
          <t>ODF-HNB113</t>
        </is>
      </c>
      <c r="B28" s="55" t="inlineStr">
        <is>
          <t>HNB012</t>
        </is>
      </c>
      <c r="C28" s="55" t="inlineStr">
        <is>
          <t>HNB012</t>
        </is>
      </c>
      <c r="D28" s="55" t="inlineStr">
        <is>
          <t>HNB012</t>
        </is>
      </c>
      <c r="E28" s="55" t="inlineStr">
        <is>
          <t>HNB012</t>
        </is>
      </c>
      <c r="F28" s="55" t="inlineStr">
        <is>
          <t>HNB012</t>
        </is>
      </c>
      <c r="G28" s="55" t="inlineStr">
        <is>
          <t>HNB012</t>
        </is>
      </c>
      <c r="H28" s="4" t="n"/>
      <c r="I28" s="4" t="n"/>
      <c r="J28" s="4" t="n"/>
      <c r="K28" s="4" t="n"/>
      <c r="L28" s="4" t="n"/>
      <c r="M28" s="4" t="n"/>
      <c r="N28" s="4">
        <f>6-COUNTBLANK(B28:G28)</f>
        <v/>
      </c>
      <c r="O28" s="4" t="inlineStr">
        <is>
          <t>HNB012</t>
        </is>
      </c>
      <c r="P28" s="4" t="inlineStr"/>
    </row>
    <row r="29">
      <c r="A29" s="20" t="inlineStr">
        <is>
          <t>ODF-HNB054</t>
        </is>
      </c>
      <c r="B29" s="62" t="inlineStr"/>
      <c r="C29" s="62" t="inlineStr"/>
      <c r="D29" s="62" t="inlineStr"/>
      <c r="E29" s="62" t="inlineStr"/>
      <c r="F29" s="62" t="inlineStr"/>
      <c r="G29" s="62" t="inlineStr"/>
      <c r="H29" s="62" t="inlineStr"/>
      <c r="I29" s="62" t="inlineStr"/>
      <c r="J29" s="62" t="inlineStr"/>
      <c r="K29" s="62" t="inlineStr"/>
      <c r="L29" s="62" t="inlineStr"/>
      <c r="M29" s="62" t="inlineStr"/>
      <c r="N29" s="4">
        <f>12-COUNTBLANK(B29:M29)</f>
        <v/>
      </c>
      <c r="O29" s="4" t="inlineStr"/>
      <c r="P29" s="4" t="inlineStr"/>
    </row>
    <row r="30">
      <c r="A30" s="20" t="inlineStr">
        <is>
          <t>ODF-HNB006</t>
        </is>
      </c>
      <c r="B30" s="62" t="inlineStr"/>
      <c r="C30" s="62" t="inlineStr"/>
      <c r="D30" s="62" t="inlineStr"/>
      <c r="E30" s="62" t="inlineStr"/>
      <c r="F30" s="62" t="inlineStr"/>
      <c r="G30" s="62" t="inlineStr"/>
      <c r="H30" s="62" t="inlineStr"/>
      <c r="I30" s="62" t="inlineStr"/>
      <c r="J30" s="62" t="inlineStr"/>
      <c r="K30" s="62" t="inlineStr"/>
      <c r="L30" s="62" t="inlineStr"/>
      <c r="M30" s="62" t="inlineStr"/>
      <c r="N30" s="4">
        <f>12-COUNTBLANK(B30:M30)</f>
        <v/>
      </c>
      <c r="O30" s="4" t="inlineStr"/>
      <c r="P30" s="4" t="inlineStr"/>
    </row>
    <row r="31">
      <c r="A31" s="20" t="inlineStr">
        <is>
          <t>ODF-HNB091</t>
        </is>
      </c>
      <c r="B31" s="62" t="inlineStr"/>
      <c r="C31" s="62" t="inlineStr"/>
      <c r="D31" s="62" t="inlineStr"/>
      <c r="E31" s="62" t="inlineStr"/>
      <c r="F31" s="62" t="inlineStr"/>
      <c r="G31" s="62" t="inlineStr"/>
      <c r="H31" s="62" t="inlineStr"/>
      <c r="I31" s="62" t="inlineStr"/>
      <c r="J31" s="62" t="inlineStr"/>
      <c r="K31" s="62" t="inlineStr"/>
      <c r="L31" s="62" t="inlineStr"/>
      <c r="M31" s="62" t="inlineStr"/>
      <c r="N31" s="4">
        <f>12-COUNTBLANK(B31:M31)</f>
        <v/>
      </c>
      <c r="O31" s="4" t="inlineStr"/>
      <c r="P31" s="4" t="inlineStr"/>
    </row>
    <row r="32">
      <c r="A32" s="20" t="inlineStr">
        <is>
          <t>ODF-HNB048</t>
        </is>
      </c>
      <c r="B32" s="62" t="inlineStr"/>
      <c r="C32" s="62" t="inlineStr"/>
      <c r="D32" s="62" t="inlineStr"/>
      <c r="E32" s="62" t="inlineStr"/>
      <c r="F32" s="62" t="inlineStr"/>
      <c r="G32" s="62" t="inlineStr"/>
      <c r="H32" s="62" t="inlineStr"/>
      <c r="I32" s="62" t="inlineStr"/>
      <c r="J32" s="62" t="inlineStr"/>
      <c r="K32" s="62" t="inlineStr"/>
      <c r="L32" s="62" t="inlineStr"/>
      <c r="M32" s="62" t="inlineStr"/>
      <c r="N32" s="4">
        <f>12-COUNTBLANK(B32:M32)</f>
        <v/>
      </c>
      <c r="O32" s="4" t="inlineStr"/>
      <c r="P32" s="4" t="inlineStr"/>
    </row>
    <row r="33">
      <c r="A33" s="20" t="inlineStr">
        <is>
          <t>ODF-HNB060</t>
        </is>
      </c>
      <c r="B33" s="62" t="inlineStr"/>
      <c r="C33" s="62" t="inlineStr"/>
      <c r="D33" s="62" t="inlineStr"/>
      <c r="E33" s="62" t="inlineStr"/>
      <c r="F33" s="62" t="inlineStr"/>
      <c r="G33" s="62" t="inlineStr"/>
      <c r="H33" s="62" t="inlineStr"/>
      <c r="I33" s="62" t="inlineStr"/>
      <c r="J33" s="62" t="inlineStr"/>
      <c r="K33" s="62" t="inlineStr"/>
      <c r="L33" s="62" t="inlineStr"/>
      <c r="M33" s="62" t="inlineStr"/>
      <c r="N33" s="4">
        <f>12-COUNTBLANK(B33:M33)</f>
        <v/>
      </c>
      <c r="O33" s="4" t="inlineStr"/>
      <c r="P33" s="4" t="inlineStr"/>
    </row>
    <row r="34">
      <c r="A34" s="20" t="inlineStr">
        <is>
          <t>ODF-HNB059</t>
        </is>
      </c>
      <c r="B34" s="62" t="inlineStr"/>
      <c r="C34" s="62" t="inlineStr"/>
      <c r="D34" s="62" t="inlineStr"/>
      <c r="E34" s="62" t="inlineStr"/>
      <c r="F34" s="62" t="inlineStr"/>
      <c r="G34" s="62" t="inlineStr"/>
      <c r="H34" s="62" t="inlineStr"/>
      <c r="I34" s="62" t="inlineStr"/>
      <c r="J34" s="62" t="inlineStr"/>
      <c r="K34" s="62" t="inlineStr"/>
      <c r="L34" s="62" t="inlineStr"/>
      <c r="M34" s="62" t="inlineStr"/>
      <c r="N34" s="4">
        <f>12-COUNTBLANK(B34:M34)</f>
        <v/>
      </c>
      <c r="O34" s="4" t="inlineStr"/>
      <c r="P34" s="4" t="inlineStr"/>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3" t="n">
        <v>7</v>
      </c>
      <c r="C5" s="4" t="inlineStr">
        <is>
          <t>ống 1, xanh dương</t>
        </is>
      </c>
      <c r="D5" s="4" t="inlineStr">
        <is>
          <t>ống 2, xanh dương</t>
        </is>
      </c>
      <c r="E5" s="4" t="inlineStr">
        <is>
          <t>LACG43 TTC</t>
        </is>
      </c>
      <c r="F5" s="4" t="inlineStr"/>
      <c r="G5" s="4" t="inlineStr">
        <is>
          <t>phối cáp ttc tại mx hem 1534 lvl</t>
        </is>
      </c>
    </row>
    <row r="6">
      <c r="A6" s="4" t="n">
        <v>2</v>
      </c>
      <c r="B6" s="13" t="n">
        <v>8</v>
      </c>
      <c r="C6" s="4" t="inlineStr">
        <is>
          <t>ống 1, cam</t>
        </is>
      </c>
      <c r="D6" s="4" t="inlineStr">
        <is>
          <t>ống 2, cam</t>
        </is>
      </c>
      <c r="E6" s="4" t="inlineStr">
        <is>
          <t>LACG43 TTC</t>
        </is>
      </c>
      <c r="F6" s="4" t="inlineStr"/>
      <c r="G6" s="4" t="inlineStr"/>
    </row>
    <row r="7">
      <c r="A7" s="4" t="n">
        <v>3</v>
      </c>
      <c r="B7" s="13" t="n">
        <v>9</v>
      </c>
      <c r="C7" s="4" t="inlineStr">
        <is>
          <t>ống 1, xanh lá</t>
        </is>
      </c>
      <c r="D7" s="4" t="inlineStr">
        <is>
          <t>ống 2, xanh lá</t>
        </is>
      </c>
      <c r="E7" s="4" t="inlineStr"/>
      <c r="F7" s="4" t="inlineStr"/>
      <c r="G7" s="4" t="inlineStr"/>
    </row>
    <row r="8">
      <c r="A8" s="4" t="n">
        <v>4</v>
      </c>
      <c r="B8" s="13" t="n">
        <v>10</v>
      </c>
      <c r="C8" s="4" t="inlineStr">
        <is>
          <t>ống 1, nâu</t>
        </is>
      </c>
      <c r="D8" s="4" t="inlineStr">
        <is>
          <t>ống 2, nâu</t>
        </is>
      </c>
      <c r="E8" s="4" t="inlineStr"/>
      <c r="F8" s="4" t="inlineStr"/>
      <c r="G8" s="4" t="inlineStr"/>
    </row>
    <row r="9">
      <c r="A9" s="4" t="n">
        <v>5</v>
      </c>
      <c r="B9" s="13" t="n">
        <v>11</v>
      </c>
      <c r="C9" s="4" t="inlineStr">
        <is>
          <t>ống 1, xám</t>
        </is>
      </c>
      <c r="D9" s="4" t="inlineStr">
        <is>
          <t>ống 2, xám</t>
        </is>
      </c>
      <c r="E9" s="4" t="inlineStr">
        <is>
          <t>HNB011 ring 4</t>
        </is>
      </c>
      <c r="F9" s="4" t="inlineStr">
        <is>
          <t>R4-01</t>
        </is>
      </c>
      <c r="G9" s="4" t="inlineStr"/>
    </row>
    <row r="10">
      <c r="A10" s="4" t="n">
        <v>6</v>
      </c>
      <c r="B10" s="13" t="n">
        <v>12</v>
      </c>
      <c r="C10" s="4" t="inlineStr">
        <is>
          <t>ống 1, trắng</t>
        </is>
      </c>
      <c r="D10" s="4" t="inlineStr">
        <is>
          <t>ống 2, trắng</t>
        </is>
      </c>
      <c r="E10" s="4" t="inlineStr">
        <is>
          <t>HNB011 ring 4</t>
        </is>
      </c>
      <c r="F10" s="4" t="inlineStr">
        <is>
          <t>R4-01</t>
        </is>
      </c>
      <c r="G10" s="4" t="inlineStr"/>
    </row>
    <row r="11">
      <c r="A11" s="4" t="n">
        <v>7</v>
      </c>
      <c r="B11" s="13" t="n">
        <v>1</v>
      </c>
      <c r="C11" s="4" t="inlineStr">
        <is>
          <t>ống 2, xanh dương</t>
        </is>
      </c>
      <c r="D11" s="4" t="inlineStr">
        <is>
          <t>ống 1, xanh dương</t>
        </is>
      </c>
      <c r="E11" s="4" t="inlineStr">
        <is>
          <t>HNB012 ring 5</t>
        </is>
      </c>
      <c r="F11" s="4" t="inlineStr">
        <is>
          <t>R5-01</t>
        </is>
      </c>
      <c r="G11" s="4" t="inlineStr"/>
    </row>
    <row r="12">
      <c r="A12" s="4" t="n">
        <v>8</v>
      </c>
      <c r="B12" s="13" t="n">
        <v>2</v>
      </c>
      <c r="C12" s="4" t="inlineStr">
        <is>
          <t>ống 2, cam</t>
        </is>
      </c>
      <c r="D12" s="4" t="inlineStr">
        <is>
          <t>ống 1, cam</t>
        </is>
      </c>
      <c r="E12" s="4" t="inlineStr">
        <is>
          <t>HNB012 ring 5</t>
        </is>
      </c>
      <c r="F12" s="4" t="inlineStr">
        <is>
          <t>R5-01</t>
        </is>
      </c>
      <c r="G12" s="4" t="inlineStr"/>
    </row>
    <row r="13">
      <c r="A13" s="4" t="n">
        <v>9</v>
      </c>
      <c r="B13" s="13" t="n">
        <v>3</v>
      </c>
      <c r="C13" s="4" t="inlineStr">
        <is>
          <t>ống 2, xanh lá</t>
        </is>
      </c>
      <c r="D13" s="4" t="inlineStr">
        <is>
          <t>ống 1, xanh lá</t>
        </is>
      </c>
      <c r="E13" s="4" t="inlineStr">
        <is>
          <t>Hư</t>
        </is>
      </c>
      <c r="F13" s="4" t="inlineStr"/>
      <c r="G13" s="4" t="inlineStr"/>
    </row>
    <row r="14">
      <c r="A14" s="4" t="n">
        <v>10</v>
      </c>
      <c r="B14" s="13" t="n">
        <v>4</v>
      </c>
      <c r="C14" s="4" t="inlineStr">
        <is>
          <t>ống 2, nâu</t>
        </is>
      </c>
      <c r="D14" s="4" t="inlineStr">
        <is>
          <t>ống 1, nâu</t>
        </is>
      </c>
      <c r="E14" s="4" t="inlineStr">
        <is>
          <t>Hư</t>
        </is>
      </c>
      <c r="F14" s="4" t="inlineStr"/>
      <c r="G14" s="4" t="inlineStr"/>
    </row>
    <row r="15">
      <c r="A15" s="4" t="n">
        <v>11</v>
      </c>
      <c r="B15" s="13" t="n">
        <v>5</v>
      </c>
      <c r="C15" s="4" t="inlineStr">
        <is>
          <t>ống 2, xám</t>
        </is>
      </c>
      <c r="D15" s="4" t="inlineStr">
        <is>
          <t>ống 1, xám</t>
        </is>
      </c>
      <c r="E15" s="4" t="inlineStr">
        <is>
          <t>HNB055 ring 3</t>
        </is>
      </c>
      <c r="F15" s="4" t="inlineStr">
        <is>
          <t>R3-01</t>
        </is>
      </c>
      <c r="G15" s="4" t="inlineStr"/>
    </row>
    <row r="16">
      <c r="A16" s="4" t="n">
        <v>12</v>
      </c>
      <c r="B16" s="13"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8" t="inlineStr">
        <is>
          <t>Tổng (m)</t>
        </is>
      </c>
      <c r="H81" s="18">
        <f>SUM(H5:H80)</f>
        <v/>
      </c>
    </row>
    <row r="82">
      <c r="G82" t="inlineStr">
        <is>
          <t>Tổng (km)</t>
        </is>
      </c>
      <c r="H82" s="63">
        <f>H81/1000</f>
        <v/>
      </c>
    </row>
  </sheetData>
  <autoFilter ref="A4:I80"/>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3">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3">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3">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3">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3">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3">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3">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3">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3">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3">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3">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3">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3">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3">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3">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3">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3">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3">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3">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3">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3">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3">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3">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3">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3">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3">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3">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3">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3">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3">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3">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3">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3">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3">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3">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3">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3">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3">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3">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3">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3">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3">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3">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3">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3">
        <f>HYPERLINK("https://maps.google.com/?q="&amp;C49&amp;","&amp;D49,"Mở bản đồ")</f>
        <v/>
      </c>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4" t="inlineStr">
        <is>
          <t>(VÍ DỤ) cảnh báo: nhãn C: chỉ có ở một đầu cáp (Cáp 12FO (A))</t>
        </is>
      </c>
    </row>
    <row r="10"/>
    <row r="11"/>
    <row r="12"/>
    <row r="13"/>
    <row r="14"/>
    <row r="15"/>
    <row r="16"/>
    <row r="17"/>
    <row r="18"/>
    <row r="19"/>
    <row r="20"/>
    <row r="21">
      <c r="A21" s="19" t="n"/>
      <c r="B21" s="19" t="n"/>
      <c r="C21" s="19" t="n"/>
      <c r="D21" s="19" t="n"/>
      <c r="E21" s="19" t="n"/>
      <c r="F21" s="19" t="n"/>
      <c r="G21" s="19" t="n"/>
      <c r="H21" s="19" t="n"/>
    </row>
    <row r="22">
      <c r="A22" s="19" t="n"/>
      <c r="B22" s="19" t="n"/>
      <c r="C22" s="19" t="n"/>
      <c r="D22" s="19" t="n"/>
      <c r="E22" s="19" t="n"/>
      <c r="F22" s="19" t="n"/>
      <c r="G22" s="19" t="n"/>
      <c r="H22" s="19" t="n"/>
    </row>
    <row r="23">
      <c r="A23" s="19" t="n"/>
      <c r="B23" s="19" t="n"/>
      <c r="C23" s="19" t="n"/>
      <c r="D23" s="19" t="n"/>
      <c r="E23" s="19" t="n"/>
      <c r="F23" s="19" t="n"/>
      <c r="G23" s="19" t="n"/>
      <c r="H23" s="19" t="n"/>
    </row>
    <row r="24">
      <c r="A24" s="19" t="n"/>
      <c r="B24" s="19" t="n"/>
      <c r="C24" s="19" t="n"/>
      <c r="D24" s="19" t="n"/>
      <c r="E24" s="19" t="n"/>
      <c r="F24" s="19" t="n"/>
      <c r="G24" s="19" t="n"/>
      <c r="H24" s="19" t="n"/>
    </row>
    <row r="25">
      <c r="A25" s="19" t="n"/>
      <c r="B25" s="19" t="n"/>
      <c r="C25" s="19" t="n"/>
      <c r="D25" s="19" t="n"/>
      <c r="E25" s="19" t="n"/>
      <c r="F25" s="19" t="n"/>
      <c r="G25" s="19" t="n"/>
      <c r="H25" s="19" t="n"/>
    </row>
    <row r="26">
      <c r="A26" s="19" t="n"/>
      <c r="B26" s="19" t="n"/>
      <c r="C26" s="19" t="n"/>
      <c r="D26" s="19" t="n"/>
      <c r="E26" s="19" t="n"/>
      <c r="F26" s="19" t="n"/>
      <c r="G26" s="19" t="n"/>
      <c r="H26" s="19" t="n"/>
    </row>
    <row r="27">
      <c r="A27" s="19" t="n"/>
      <c r="B27" s="19" t="n"/>
      <c r="C27" s="19" t="n"/>
      <c r="D27" s="19" t="n"/>
      <c r="E27" s="19" t="n"/>
      <c r="F27" s="19" t="n"/>
      <c r="G27" s="19" t="n"/>
      <c r="H27" s="19" t="n"/>
    </row>
    <row r="28">
      <c r="A28" s="19" t="n"/>
      <c r="B28" s="19" t="n"/>
      <c r="C28" s="19" t="n"/>
      <c r="D28" s="19" t="n"/>
      <c r="E28" s="19" t="n"/>
      <c r="F28" s="19" t="n"/>
      <c r="G28" s="19" t="n"/>
      <c r="H28" s="19" t="n"/>
    </row>
    <row r="29">
      <c r="A29" s="19" t="n"/>
      <c r="B29" s="19" t="n"/>
      <c r="C29" s="19" t="n"/>
      <c r="D29" s="19" t="n"/>
      <c r="E29" s="19" t="n"/>
      <c r="F29" s="19" t="n"/>
      <c r="G29" s="19" t="n"/>
      <c r="H29" s="19" t="n"/>
    </row>
    <row r="30">
      <c r="A30" s="19" t="n"/>
      <c r="B30" s="19" t="n"/>
      <c r="C30" s="19" t="n"/>
      <c r="D30" s="19" t="n"/>
      <c r="E30" s="19" t="n"/>
      <c r="F30" s="19" t="n"/>
      <c r="G30" s="19" t="n"/>
      <c r="H30" s="19" t="n"/>
    </row>
    <row r="31">
      <c r="A31" s="19" t="n"/>
      <c r="B31" s="19" t="n"/>
      <c r="C31" s="19" t="n"/>
      <c r="D31" s="19" t="n"/>
      <c r="E31" s="19" t="n"/>
      <c r="F31" s="19" t="n"/>
      <c r="G31" s="19" t="n"/>
      <c r="H31" s="19" t="n"/>
    </row>
    <row r="32">
      <c r="A32" s="19" t="n"/>
      <c r="B32" s="19" t="n"/>
      <c r="C32" s="19" t="n"/>
      <c r="D32" s="19" t="n"/>
      <c r="E32" s="19" t="n"/>
      <c r="F32" s="19" t="n"/>
      <c r="G32" s="19" t="n"/>
      <c r="H32" s="19" t="n"/>
    </row>
    <row r="33">
      <c r="A33" s="19" t="n"/>
      <c r="B33" s="19" t="n"/>
      <c r="C33" s="19" t="n"/>
      <c r="D33" s="19" t="n"/>
      <c r="E33" s="19" t="n"/>
      <c r="F33" s="19" t="n"/>
      <c r="G33" s="19" t="n"/>
      <c r="H33" s="19" t="n"/>
    </row>
    <row r="34">
      <c r="A34" s="19" t="n"/>
      <c r="B34" s="19" t="n"/>
      <c r="C34" s="19" t="n"/>
      <c r="D34" s="19" t="n"/>
      <c r="E34" s="19" t="n"/>
      <c r="F34" s="19" t="n"/>
      <c r="G34" s="19" t="n"/>
      <c r="H34" s="19" t="n"/>
    </row>
    <row r="35">
      <c r="A35" s="19" t="n"/>
      <c r="B35" s="19" t="n"/>
      <c r="C35" s="19" t="n"/>
      <c r="D35" s="19" t="n"/>
      <c r="E35" s="19" t="n"/>
      <c r="F35" s="19" t="n"/>
      <c r="G35" s="19" t="n"/>
      <c r="H35" s="19" t="n"/>
    </row>
    <row r="36">
      <c r="A36" s="19" t="n"/>
      <c r="B36" s="19" t="n"/>
      <c r="C36" s="19" t="n"/>
      <c r="D36" s="19" t="n"/>
      <c r="E36" s="19" t="n"/>
      <c r="F36" s="19" t="n"/>
      <c r="G36" s="19" t="n"/>
      <c r="H36" s="19" t="n"/>
    </row>
    <row r="37">
      <c r="A37" s="19" t="n"/>
      <c r="B37" s="19" t="n"/>
      <c r="C37" s="19" t="n"/>
      <c r="D37" s="19" t="n"/>
      <c r="E37" s="19" t="n"/>
      <c r="F37" s="19" t="n"/>
      <c r="G37" s="19" t="n"/>
      <c r="H37" s="19" t="n"/>
    </row>
    <row r="38">
      <c r="A38" s="19" t="n"/>
      <c r="B38" s="19" t="n"/>
      <c r="C38" s="19" t="n"/>
      <c r="D38" s="19" t="n"/>
      <c r="E38" s="19" t="n"/>
      <c r="F38" s="19" t="n"/>
      <c r="G38" s="19" t="n"/>
      <c r="H38" s="19" t="n"/>
    </row>
    <row r="39">
      <c r="A39" s="19" t="n"/>
      <c r="B39" s="19" t="n"/>
      <c r="C39" s="19" t="n"/>
      <c r="D39" s="19" t="n"/>
      <c r="E39" s="19" t="n"/>
      <c r="F39" s="19" t="n"/>
      <c r="G39" s="19" t="n"/>
      <c r="H39" s="19" t="n"/>
    </row>
    <row r="40">
      <c r="A40" s="19" t="n"/>
      <c r="B40" s="19" t="n"/>
      <c r="C40" s="19" t="n"/>
      <c r="D40" s="19" t="n"/>
      <c r="E40" s="19" t="n"/>
      <c r="F40" s="19" t="n"/>
      <c r="G40" s="19" t="n"/>
      <c r="H40" s="19" t="n"/>
    </row>
    <row r="41">
      <c r="A41" s="19" t="n"/>
      <c r="B41" s="19" t="n"/>
      <c r="C41" s="19" t="n"/>
      <c r="D41" s="19" t="n"/>
      <c r="E41" s="19" t="n"/>
      <c r="F41" s="19" t="n"/>
      <c r="G41" s="19" t="n"/>
      <c r="H41" s="19" t="n"/>
    </row>
    <row r="42">
      <c r="A42" s="19" t="n"/>
      <c r="B42" s="19" t="n"/>
      <c r="C42" s="19" t="n"/>
      <c r="D42" s="19" t="n"/>
      <c r="E42" s="19" t="n"/>
      <c r="F42" s="19" t="n"/>
      <c r="G42" s="19" t="n"/>
      <c r="H42" s="19" t="n"/>
    </row>
    <row r="43">
      <c r="A43" s="19" t="n"/>
      <c r="B43" s="19" t="n"/>
      <c r="C43" s="19" t="n"/>
      <c r="D43" s="19" t="n"/>
      <c r="E43" s="19" t="n"/>
      <c r="F43" s="19" t="n"/>
      <c r="G43" s="19" t="n"/>
      <c r="H43" s="19" t="n"/>
    </row>
    <row r="44">
      <c r="A44" s="19" t="n"/>
      <c r="B44" s="19" t="n"/>
      <c r="C44" s="19" t="n"/>
      <c r="D44" s="19" t="n"/>
      <c r="E44" s="19" t="n"/>
      <c r="F44" s="19" t="n"/>
      <c r="G44" s="19" t="n"/>
      <c r="H44" s="19" t="n"/>
    </row>
    <row r="45">
      <c r="A45" s="19" t="n"/>
      <c r="B45" s="19" t="n"/>
      <c r="C45" s="19" t="n"/>
      <c r="D45" s="19" t="n"/>
      <c r="E45" s="19" t="n"/>
      <c r="F45" s="19" t="n"/>
      <c r="G45" s="19" t="n"/>
      <c r="H45" s="19" t="n"/>
    </row>
    <row r="46">
      <c r="A46" s="19" t="n"/>
      <c r="B46" s="19" t="n"/>
      <c r="C46" s="19" t="n"/>
      <c r="D46" s="19" t="n"/>
      <c r="E46" s="19" t="n"/>
      <c r="F46" s="19" t="n"/>
      <c r="G46" s="19" t="n"/>
      <c r="H46" s="19" t="n"/>
    </row>
    <row r="47">
      <c r="A47" s="19" t="n"/>
      <c r="B47" s="19" t="n"/>
      <c r="C47" s="19" t="n"/>
      <c r="D47" s="19" t="n"/>
      <c r="E47" s="19" t="n"/>
      <c r="F47" s="19" t="n"/>
      <c r="G47" s="19" t="n"/>
      <c r="H47" s="19" t="n"/>
    </row>
    <row r="48">
      <c r="A48" s="19" t="n"/>
      <c r="B48" s="19" t="n"/>
      <c r="C48" s="19" t="n"/>
      <c r="D48" s="19" t="n"/>
      <c r="E48" s="19" t="n"/>
      <c r="F48" s="19" t="n"/>
      <c r="G48" s="19" t="n"/>
      <c r="H48" s="19" t="n"/>
    </row>
    <row r="49">
      <c r="A49" s="19" t="n"/>
      <c r="B49" s="19" t="n"/>
      <c r="C49" s="19" t="n"/>
      <c r="D49" s="19" t="n"/>
      <c r="E49" s="19" t="n"/>
      <c r="F49" s="19" t="n"/>
      <c r="G49" s="19" t="n"/>
      <c r="H49" s="19" t="n"/>
    </row>
    <row r="50">
      <c r="A50" s="19" t="n"/>
      <c r="B50" s="19" t="n"/>
      <c r="C50" s="19" t="n"/>
      <c r="D50" s="19" t="n"/>
      <c r="E50" s="19" t="n"/>
      <c r="F50" s="19" t="n"/>
      <c r="G50" s="19" t="n"/>
      <c r="H50" s="19" t="n"/>
    </row>
    <row r="51">
      <c r="A51" s="19" t="n"/>
      <c r="B51" s="19" t="n"/>
      <c r="C51" s="19" t="n"/>
      <c r="D51" s="19" t="n"/>
      <c r="E51" s="19" t="n"/>
      <c r="F51" s="19" t="n"/>
      <c r="G51" s="19" t="n"/>
      <c r="H51" s="19" t="n"/>
    </row>
    <row r="52">
      <c r="A52" s="19" t="n"/>
      <c r="B52" s="19" t="n"/>
      <c r="C52" s="19" t="n"/>
      <c r="D52" s="19" t="n"/>
      <c r="E52" s="19" t="n"/>
      <c r="F52" s="19" t="n"/>
      <c r="G52" s="19" t="n"/>
      <c r="H52" s="19" t="n"/>
    </row>
    <row r="53">
      <c r="A53" s="19" t="n"/>
      <c r="B53" s="19" t="n"/>
      <c r="C53" s="19" t="n"/>
      <c r="D53" s="19" t="n"/>
      <c r="E53" s="19" t="n"/>
      <c r="F53" s="19" t="n"/>
      <c r="G53" s="19" t="n"/>
      <c r="H53" s="19" t="n"/>
    </row>
    <row r="54">
      <c r="A54" s="19" t="n"/>
      <c r="B54" s="19" t="n"/>
      <c r="C54" s="19" t="n"/>
      <c r="D54" s="19" t="n"/>
      <c r="E54" s="19" t="n"/>
      <c r="F54" s="19" t="n"/>
      <c r="G54" s="19" t="n"/>
      <c r="H54" s="19" t="n"/>
    </row>
    <row r="55">
      <c r="A55" s="19" t="n"/>
      <c r="B55" s="19" t="n"/>
      <c r="C55" s="19" t="n"/>
      <c r="D55" s="19" t="n"/>
      <c r="E55" s="19" t="n"/>
      <c r="F55" s="19" t="n"/>
      <c r="G55" s="19" t="n"/>
      <c r="H55" s="19" t="n"/>
    </row>
    <row r="56">
      <c r="A56" s="19" t="n"/>
      <c r="B56" s="19" t="n"/>
      <c r="C56" s="19" t="n"/>
      <c r="D56" s="19" t="n"/>
      <c r="E56" s="19" t="n"/>
      <c r="F56" s="19" t="n"/>
      <c r="G56" s="19" t="n"/>
      <c r="H56" s="19" t="n"/>
    </row>
    <row r="57">
      <c r="A57" s="19" t="n"/>
      <c r="B57" s="19" t="n"/>
      <c r="C57" s="19" t="n"/>
      <c r="D57" s="19" t="n"/>
      <c r="E57" s="19" t="n"/>
      <c r="F57" s="19" t="n"/>
      <c r="G57" s="19" t="n"/>
      <c r="H57" s="19" t="n"/>
    </row>
    <row r="58">
      <c r="A58" s="19" t="n"/>
      <c r="B58" s="19" t="n"/>
      <c r="C58" s="19" t="n"/>
      <c r="D58" s="19" t="n"/>
      <c r="E58" s="19" t="n"/>
      <c r="F58" s="19" t="n"/>
      <c r="G58" s="19" t="n"/>
      <c r="H58" s="19" t="n"/>
    </row>
    <row r="59">
      <c r="A59" s="19" t="n"/>
      <c r="B59" s="19" t="n"/>
      <c r="C59" s="19" t="n"/>
      <c r="D59" s="19" t="n"/>
      <c r="E59" s="19" t="n"/>
      <c r="F59" s="19" t="n"/>
      <c r="G59" s="19" t="n"/>
      <c r="H59" s="19" t="n"/>
    </row>
    <row r="60">
      <c r="A60" s="19" t="n"/>
      <c r="B60" s="19" t="n"/>
      <c r="C60" s="19" t="n"/>
      <c r="D60" s="19" t="n"/>
      <c r="E60" s="19" t="n"/>
      <c r="F60" s="19" t="n"/>
      <c r="G60" s="19" t="n"/>
      <c r="H60" s="19" t="n"/>
    </row>
    <row r="61">
      <c r="A61" s="19" t="n"/>
      <c r="B61" s="19" t="n"/>
      <c r="C61" s="19" t="n"/>
      <c r="D61" s="19" t="n"/>
      <c r="E61" s="19" t="n"/>
      <c r="F61" s="19" t="n"/>
      <c r="G61" s="19" t="n"/>
      <c r="H61" s="19" t="n"/>
    </row>
    <row r="62">
      <c r="A62" s="19" t="n"/>
      <c r="B62" s="19" t="n"/>
      <c r="C62" s="19" t="n"/>
      <c r="D62" s="19" t="n"/>
      <c r="E62" s="19" t="n"/>
      <c r="F62" s="19" t="n"/>
      <c r="G62" s="19" t="n"/>
      <c r="H62" s="19" t="n"/>
    </row>
    <row r="63">
      <c r="A63" s="19" t="n"/>
      <c r="B63" s="19" t="n"/>
      <c r="C63" s="19" t="n"/>
      <c r="D63" s="19" t="n"/>
      <c r="E63" s="19" t="n"/>
      <c r="F63" s="19" t="n"/>
      <c r="G63" s="19" t="n"/>
      <c r="H63" s="19" t="n"/>
    </row>
    <row r="64">
      <c r="A64" s="19" t="n"/>
      <c r="B64" s="19" t="n"/>
      <c r="C64" s="19" t="n"/>
      <c r="D64" s="19" t="n"/>
      <c r="E64" s="19" t="n"/>
      <c r="F64" s="19" t="n"/>
      <c r="G64" s="19" t="n"/>
      <c r="H64" s="19" t="n"/>
    </row>
    <row r="65">
      <c r="A65" s="19" t="n"/>
      <c r="B65" s="19" t="n"/>
      <c r="C65" s="19" t="n"/>
      <c r="D65" s="19" t="n"/>
      <c r="E65" s="19" t="n"/>
      <c r="F65" s="19" t="n"/>
      <c r="G65" s="19" t="n"/>
      <c r="H65" s="19" t="n"/>
    </row>
    <row r="66">
      <c r="A66" s="19" t="n"/>
      <c r="B66" s="19" t="n"/>
      <c r="C66" s="19" t="n"/>
      <c r="D66" s="19" t="n"/>
      <c r="E66" s="19" t="n"/>
      <c r="F66" s="19" t="n"/>
      <c r="G66" s="19" t="n"/>
      <c r="H66" s="19" t="n"/>
    </row>
    <row r="67">
      <c r="A67" s="19" t="n"/>
      <c r="B67" s="19" t="n"/>
      <c r="C67" s="19" t="n"/>
      <c r="D67" s="19" t="n"/>
      <c r="E67" s="19" t="n"/>
      <c r="F67" s="19" t="n"/>
      <c r="G67" s="19" t="n"/>
      <c r="H67" s="19" t="n"/>
    </row>
    <row r="68">
      <c r="A68" s="19" t="n"/>
      <c r="B68" s="19" t="n"/>
      <c r="C68" s="19" t="n"/>
      <c r="D68" s="19" t="n"/>
      <c r="E68" s="19" t="n"/>
      <c r="F68" s="19" t="n"/>
      <c r="G68" s="19" t="n"/>
      <c r="H68" s="19" t="n"/>
    </row>
    <row r="69">
      <c r="A69" s="19" t="n"/>
      <c r="B69" s="19" t="n"/>
      <c r="C69" s="19" t="n"/>
      <c r="D69" s="19" t="n"/>
      <c r="E69" s="19" t="n"/>
      <c r="F69" s="19" t="n"/>
      <c r="G69" s="19" t="n"/>
      <c r="H69" s="19" t="n"/>
    </row>
    <row r="70">
      <c r="A70" s="19" t="n"/>
      <c r="B70" s="19" t="n"/>
      <c r="C70" s="19" t="n"/>
      <c r="D70" s="19" t="n"/>
      <c r="E70" s="19" t="n"/>
      <c r="F70" s="19" t="n"/>
      <c r="G70" s="19" t="n"/>
      <c r="H70" s="19" t="n"/>
    </row>
    <row r="71">
      <c r="A71" s="19" t="n"/>
      <c r="B71" s="19" t="n"/>
      <c r="C71" s="19" t="n"/>
      <c r="D71" s="19" t="n"/>
      <c r="E71" s="19" t="n"/>
      <c r="F71" s="19" t="n"/>
      <c r="G71" s="19" t="n"/>
      <c r="H71" s="19" t="n"/>
    </row>
    <row r="72">
      <c r="A72" s="19" t="n"/>
      <c r="B72" s="19" t="n"/>
      <c r="C72" s="19" t="n"/>
      <c r="D72" s="19" t="n"/>
      <c r="E72" s="19" t="n"/>
      <c r="F72" s="19" t="n"/>
      <c r="G72" s="19" t="n"/>
      <c r="H72" s="19" t="n"/>
    </row>
    <row r="73">
      <c r="A73" s="19" t="n"/>
      <c r="B73" s="19" t="n"/>
      <c r="C73" s="19" t="n"/>
      <c r="D73" s="19" t="n"/>
      <c r="E73" s="19" t="n"/>
      <c r="F73" s="19" t="n"/>
      <c r="G73" s="19" t="n"/>
      <c r="H73" s="19" t="n"/>
    </row>
    <row r="74">
      <c r="A74" s="19" t="n"/>
      <c r="B74" s="19" t="n"/>
      <c r="C74" s="19" t="n"/>
      <c r="D74" s="19" t="n"/>
      <c r="E74" s="19" t="n"/>
      <c r="F74" s="19" t="n"/>
      <c r="G74" s="19" t="n"/>
      <c r="H74" s="19" t="n"/>
    </row>
    <row r="75">
      <c r="A75" s="19" t="n"/>
      <c r="B75" s="19" t="n"/>
      <c r="C75" s="19" t="n"/>
      <c r="D75" s="19" t="n"/>
      <c r="E75" s="19" t="n"/>
      <c r="F75" s="19" t="n"/>
      <c r="G75" s="19" t="n"/>
      <c r="H75" s="19" t="n"/>
    </row>
    <row r="76">
      <c r="A76" s="19" t="n"/>
      <c r="B76" s="19" t="n"/>
      <c r="C76" s="19" t="n"/>
      <c r="D76" s="19" t="n"/>
      <c r="E76" s="19" t="n"/>
      <c r="F76" s="19" t="n"/>
      <c r="G76" s="19" t="n"/>
      <c r="H76" s="19" t="n"/>
    </row>
    <row r="77">
      <c r="A77" s="19" t="n"/>
      <c r="B77" s="19" t="n"/>
      <c r="C77" s="19" t="n"/>
      <c r="D77" s="19" t="n"/>
      <c r="E77" s="19" t="n"/>
      <c r="F77" s="19" t="n"/>
      <c r="G77" s="19" t="n"/>
      <c r="H77" s="19" t="n"/>
    </row>
    <row r="78">
      <c r="A78" s="19" t="n"/>
      <c r="B78" s="19" t="n"/>
      <c r="C78" s="19" t="n"/>
      <c r="D78" s="19" t="n"/>
      <c r="E78" s="19" t="n"/>
      <c r="F78" s="19" t="n"/>
      <c r="G78" s="19" t="n"/>
      <c r="H78" s="19" t="n"/>
    </row>
    <row r="79">
      <c r="A79" s="19" t="n"/>
      <c r="B79" s="19" t="n"/>
      <c r="C79" s="19" t="n"/>
      <c r="D79" s="19" t="n"/>
      <c r="E79" s="19" t="n"/>
      <c r="F79" s="19" t="n"/>
      <c r="G79" s="19" t="n"/>
      <c r="H79" s="19" t="n"/>
    </row>
    <row r="80">
      <c r="A80" s="19" t="n"/>
      <c r="B80" s="19" t="n"/>
      <c r="C80" s="19" t="n"/>
      <c r="D80" s="19" t="n"/>
      <c r="E80" s="19" t="n"/>
      <c r="F80" s="19" t="n"/>
      <c r="G80" s="19" t="n"/>
      <c r="H80" s="19" t="n"/>
    </row>
    <row r="81">
      <c r="A81" s="19" t="n"/>
      <c r="B81" s="19" t="n"/>
      <c r="C81" s="19" t="n"/>
      <c r="D81" s="19" t="n"/>
      <c r="E81" s="19" t="n"/>
      <c r="F81" s="19" t="n"/>
      <c r="G81" s="19" t="n"/>
      <c r="H81" s="19" t="n"/>
    </row>
    <row r="82">
      <c r="A82" s="19" t="n"/>
      <c r="B82" s="19" t="n"/>
      <c r="C82" s="19" t="n"/>
      <c r="D82" s="19" t="n"/>
      <c r="E82" s="19" t="n"/>
      <c r="F82" s="19" t="n"/>
      <c r="G82" s="19" t="n"/>
      <c r="H82" s="19" t="n"/>
    </row>
    <row r="83">
      <c r="A83" s="19" t="n"/>
      <c r="B83" s="19" t="n"/>
      <c r="C83" s="19" t="n"/>
      <c r="D83" s="19" t="n"/>
      <c r="E83" s="19" t="n"/>
      <c r="F83" s="19" t="n"/>
      <c r="G83" s="19" t="n"/>
      <c r="H83" s="19" t="n"/>
    </row>
    <row r="84">
      <c r="A84" s="19" t="n"/>
      <c r="B84" s="19" t="n"/>
      <c r="C84" s="19" t="n"/>
      <c r="D84" s="19" t="n"/>
      <c r="E84" s="19" t="n"/>
      <c r="F84" s="19" t="n"/>
      <c r="G84" s="19" t="n"/>
      <c r="H84" s="19" t="n"/>
    </row>
    <row r="85">
      <c r="A85" s="19" t="n"/>
      <c r="B85" s="19" t="n"/>
      <c r="C85" s="19" t="n"/>
      <c r="D85" s="19" t="n"/>
      <c r="E85" s="19" t="n"/>
      <c r="F85" s="19" t="n"/>
      <c r="G85" s="19" t="n"/>
      <c r="H85" s="19" t="n"/>
    </row>
    <row r="86">
      <c r="A86" s="19" t="n"/>
      <c r="B86" s="19" t="n"/>
      <c r="C86" s="19" t="n"/>
      <c r="D86" s="19" t="n"/>
      <c r="E86" s="19" t="n"/>
      <c r="F86" s="19" t="n"/>
      <c r="G86" s="19" t="n"/>
      <c r="H86" s="19" t="n"/>
    </row>
    <row r="87">
      <c r="A87" s="19" t="n"/>
      <c r="B87" s="19" t="n"/>
      <c r="C87" s="19" t="n"/>
      <c r="D87" s="19" t="n"/>
      <c r="E87" s="19" t="n"/>
      <c r="F87" s="19" t="n"/>
      <c r="G87" s="19" t="n"/>
      <c r="H87" s="19" t="n"/>
    </row>
    <row r="88">
      <c r="A88" s="19" t="n"/>
      <c r="B88" s="19" t="n"/>
      <c r="C88" s="19" t="n"/>
      <c r="D88" s="19" t="n"/>
      <c r="E88" s="19" t="n"/>
      <c r="F88" s="19" t="n"/>
      <c r="G88" s="19" t="n"/>
      <c r="H88" s="19" t="n"/>
    </row>
    <row r="89">
      <c r="A89" s="19" t="n"/>
      <c r="B89" s="19" t="n"/>
      <c r="C89" s="19" t="n"/>
      <c r="D89" s="19" t="n"/>
      <c r="E89" s="19" t="n"/>
      <c r="F89" s="19" t="n"/>
      <c r="G89" s="19" t="n"/>
      <c r="H89" s="19" t="n"/>
    </row>
    <row r="90">
      <c r="A90" s="19" t="n"/>
      <c r="B90" s="19" t="n"/>
      <c r="C90" s="19" t="n"/>
      <c r="D90" s="19" t="n"/>
      <c r="E90" s="19" t="n"/>
      <c r="F90" s="19" t="n"/>
      <c r="G90" s="19" t="n"/>
      <c r="H90" s="19" t="n"/>
    </row>
    <row r="91">
      <c r="A91" s="19" t="n"/>
      <c r="B91" s="19" t="n"/>
      <c r="C91" s="19" t="n"/>
      <c r="D91" s="19" t="n"/>
      <c r="E91" s="19" t="n"/>
      <c r="F91" s="19" t="n"/>
      <c r="G91" s="19" t="n"/>
      <c r="H91" s="19" t="n"/>
    </row>
    <row r="92">
      <c r="A92" s="19" t="n"/>
      <c r="B92" s="19" t="n"/>
      <c r="C92" s="19" t="n"/>
      <c r="D92" s="19" t="n"/>
      <c r="E92" s="19" t="n"/>
      <c r="F92" s="19" t="n"/>
      <c r="G92" s="19" t="n"/>
      <c r="H92" s="19" t="n"/>
    </row>
    <row r="93">
      <c r="A93" s="19" t="n"/>
      <c r="B93" s="19" t="n"/>
      <c r="C93" s="19" t="n"/>
      <c r="D93" s="19" t="n"/>
      <c r="E93" s="19" t="n"/>
      <c r="F93" s="19" t="n"/>
      <c r="G93" s="19" t="n"/>
      <c r="H93" s="19" t="n"/>
    </row>
    <row r="94">
      <c r="A94" s="19" t="n"/>
      <c r="B94" s="19" t="n"/>
      <c r="C94" s="19" t="n"/>
      <c r="D94" s="19" t="n"/>
      <c r="E94" s="19" t="n"/>
      <c r="F94" s="19" t="n"/>
      <c r="G94" s="19" t="n"/>
      <c r="H94" s="19" t="n"/>
    </row>
    <row r="95">
      <c r="A95" s="19" t="n"/>
      <c r="B95" s="19" t="n"/>
      <c r="C95" s="19" t="n"/>
      <c r="D95" s="19" t="n"/>
      <c r="E95" s="19" t="n"/>
      <c r="F95" s="19" t="n"/>
      <c r="G95" s="19" t="n"/>
      <c r="H95" s="19" t="n"/>
    </row>
    <row r="96">
      <c r="A96" s="19" t="n"/>
      <c r="B96" s="19" t="n"/>
      <c r="C96" s="19" t="n"/>
      <c r="D96" s="19" t="n"/>
      <c r="E96" s="19" t="n"/>
      <c r="F96" s="19" t="n"/>
      <c r="G96" s="19" t="n"/>
      <c r="H96" s="19" t="n"/>
    </row>
    <row r="97">
      <c r="A97" s="19" t="n"/>
      <c r="B97" s="19" t="n"/>
      <c r="C97" s="19" t="n"/>
      <c r="D97" s="19" t="n"/>
      <c r="E97" s="19" t="n"/>
      <c r="F97" s="19" t="n"/>
      <c r="G97" s="19" t="n"/>
      <c r="H97" s="19" t="n"/>
    </row>
    <row r="98">
      <c r="A98" s="19" t="n"/>
      <c r="B98" s="19" t="n"/>
      <c r="C98" s="19" t="n"/>
      <c r="D98" s="19" t="n"/>
      <c r="E98" s="19" t="n"/>
      <c r="F98" s="19" t="n"/>
      <c r="G98" s="19" t="n"/>
      <c r="H98" s="19" t="n"/>
    </row>
    <row r="99">
      <c r="A99" s="19" t="n"/>
      <c r="B99" s="19" t="n"/>
      <c r="C99" s="19" t="n"/>
      <c r="D99" s="19" t="n"/>
      <c r="E99" s="19" t="n"/>
      <c r="F99" s="19" t="n"/>
      <c r="G99" s="19" t="n"/>
      <c r="H99" s="19" t="n"/>
    </row>
    <row r="100">
      <c r="A100" s="19" t="n"/>
      <c r="B100" s="19" t="n"/>
      <c r="C100" s="19" t="n"/>
      <c r="D100" s="19" t="n"/>
      <c r="E100" s="19" t="n"/>
      <c r="F100" s="19" t="n"/>
      <c r="G100" s="19" t="n"/>
      <c r="H100" s="19" t="n"/>
    </row>
    <row r="101">
      <c r="A101" s="19" t="n"/>
      <c r="B101" s="19" t="n"/>
      <c r="C101" s="19" t="n"/>
      <c r="D101" s="19" t="n"/>
      <c r="E101" s="19" t="n"/>
      <c r="F101" s="19" t="n"/>
      <c r="G101" s="19" t="n"/>
      <c r="H101" s="19" t="n"/>
    </row>
    <row r="102">
      <c r="A102" s="19" t="n"/>
      <c r="B102" s="19" t="n"/>
      <c r="C102" s="19" t="n"/>
      <c r="D102" s="19" t="n"/>
      <c r="E102" s="19" t="n"/>
      <c r="F102" s="19" t="n"/>
      <c r="G102" s="19" t="n"/>
      <c r="H102" s="19" t="n"/>
    </row>
    <row r="103">
      <c r="A103" s="19" t="n"/>
      <c r="B103" s="19" t="n"/>
      <c r="C103" s="19" t="n"/>
      <c r="D103" s="19" t="n"/>
      <c r="E103" s="19" t="n"/>
      <c r="F103" s="19" t="n"/>
      <c r="G103" s="19" t="n"/>
      <c r="H103" s="19" t="n"/>
    </row>
    <row r="104">
      <c r="A104" s="19" t="n"/>
      <c r="B104" s="19" t="n"/>
      <c r="C104" s="19" t="n"/>
      <c r="D104" s="19" t="n"/>
      <c r="E104" s="19" t="n"/>
      <c r="F104" s="19" t="n"/>
      <c r="G104" s="19" t="n"/>
      <c r="H104" s="19" t="n"/>
    </row>
    <row r="105">
      <c r="A105" s="19" t="n"/>
      <c r="B105" s="19" t="n"/>
      <c r="C105" s="19" t="n"/>
      <c r="D105" s="19" t="n"/>
      <c r="E105" s="19" t="n"/>
      <c r="F105" s="19" t="n"/>
      <c r="G105" s="19" t="n"/>
      <c r="H105" s="19" t="n"/>
    </row>
    <row r="106">
      <c r="A106" s="19" t="n"/>
      <c r="B106" s="19" t="n"/>
      <c r="C106" s="19" t="n"/>
      <c r="D106" s="19" t="n"/>
      <c r="E106" s="19" t="n"/>
      <c r="F106" s="19" t="n"/>
      <c r="G106" s="19" t="n"/>
      <c r="H106" s="19" t="n"/>
    </row>
    <row r="107">
      <c r="A107" s="19" t="n"/>
      <c r="B107" s="19" t="n"/>
      <c r="C107" s="19" t="n"/>
      <c r="D107" s="19" t="n"/>
      <c r="E107" s="19" t="n"/>
      <c r="F107" s="19" t="n"/>
      <c r="G107" s="19" t="n"/>
      <c r="H107" s="19" t="n"/>
    </row>
    <row r="108">
      <c r="A108" s="19" t="n"/>
      <c r="B108" s="19" t="n"/>
      <c r="C108" s="19" t="n"/>
      <c r="D108" s="19" t="n"/>
      <c r="E108" s="19" t="n"/>
      <c r="F108" s="19" t="n"/>
      <c r="G108" s="19" t="n"/>
      <c r="H108" s="19" t="n"/>
    </row>
    <row r="109">
      <c r="A109" s="19" t="n"/>
      <c r="B109" s="19" t="n"/>
      <c r="C109" s="19" t="n"/>
      <c r="D109" s="19" t="n"/>
      <c r="E109" s="19" t="n"/>
      <c r="F109" s="19" t="n"/>
      <c r="G109" s="19" t="n"/>
      <c r="H109" s="19" t="n"/>
    </row>
    <row r="110">
      <c r="A110" s="19" t="n"/>
      <c r="B110" s="19" t="n"/>
      <c r="C110" s="19" t="n"/>
      <c r="D110" s="19" t="n"/>
      <c r="E110" s="19" t="n"/>
      <c r="F110" s="19" t="n"/>
      <c r="G110" s="19" t="n"/>
      <c r="H110" s="19" t="n"/>
    </row>
    <row r="111">
      <c r="A111" s="19" t="n"/>
      <c r="B111" s="19" t="n"/>
      <c r="C111" s="19" t="n"/>
      <c r="D111" s="19" t="n"/>
      <c r="E111" s="19" t="n"/>
      <c r="F111" s="19" t="n"/>
      <c r="G111" s="19" t="n"/>
      <c r="H111" s="19" t="n"/>
    </row>
    <row r="112">
      <c r="A112" s="19" t="n"/>
      <c r="B112" s="19" t="n"/>
      <c r="C112" s="19" t="n"/>
      <c r="D112" s="19" t="n"/>
      <c r="E112" s="19" t="n"/>
      <c r="F112" s="19" t="n"/>
      <c r="G112" s="19" t="n"/>
      <c r="H112" s="19" t="n"/>
    </row>
    <row r="113">
      <c r="A113" s="19" t="n"/>
      <c r="B113" s="19" t="n"/>
      <c r="C113" s="19" t="n"/>
      <c r="D113" s="19" t="n"/>
      <c r="E113" s="19" t="n"/>
      <c r="F113" s="19" t="n"/>
      <c r="G113" s="19" t="n"/>
      <c r="H113" s="19" t="n"/>
    </row>
    <row r="114">
      <c r="A114" s="19" t="n"/>
      <c r="B114" s="19" t="n"/>
      <c r="C114" s="19" t="n"/>
      <c r="D114" s="19" t="n"/>
      <c r="E114" s="19" t="n"/>
      <c r="F114" s="19" t="n"/>
      <c r="G114" s="19" t="n"/>
      <c r="H114" s="19" t="n"/>
    </row>
    <row r="115">
      <c r="A115" s="19" t="n"/>
      <c r="B115" s="19" t="n"/>
      <c r="C115" s="19" t="n"/>
      <c r="D115" s="19" t="n"/>
      <c r="E115" s="19" t="n"/>
      <c r="F115" s="19" t="n"/>
      <c r="G115" s="19" t="n"/>
      <c r="H115" s="19" t="n"/>
    </row>
    <row r="116">
      <c r="A116" s="19" t="n"/>
      <c r="B116" s="19" t="n"/>
      <c r="C116" s="19" t="n"/>
      <c r="D116" s="19" t="n"/>
      <c r="E116" s="19" t="n"/>
      <c r="F116" s="19" t="n"/>
      <c r="G116" s="19" t="n"/>
      <c r="H116" s="19" t="n"/>
    </row>
    <row r="117">
      <c r="A117" s="19" t="n"/>
      <c r="B117" s="19" t="n"/>
      <c r="C117" s="19" t="n"/>
      <c r="D117" s="19" t="n"/>
      <c r="E117" s="19" t="n"/>
      <c r="F117" s="19" t="n"/>
      <c r="G117" s="19" t="n"/>
      <c r="H117" s="19" t="n"/>
    </row>
    <row r="118">
      <c r="A118" s="19" t="n"/>
      <c r="B118" s="19" t="n"/>
      <c r="C118" s="19" t="n"/>
      <c r="D118" s="19" t="n"/>
      <c r="E118" s="19" t="n"/>
      <c r="F118" s="19" t="n"/>
      <c r="G118" s="19" t="n"/>
      <c r="H118" s="19" t="n"/>
    </row>
    <row r="119">
      <c r="A119" s="19" t="n"/>
      <c r="B119" s="19" t="n"/>
      <c r="C119" s="19" t="n"/>
      <c r="D119" s="19" t="n"/>
      <c r="E119" s="19" t="n"/>
      <c r="F119" s="19" t="n"/>
      <c r="G119" s="19" t="n"/>
      <c r="H119" s="19" t="n"/>
    </row>
    <row r="120">
      <c r="A120" s="19" t="n"/>
      <c r="B120" s="19" t="n"/>
      <c r="C120" s="19" t="n"/>
      <c r="D120" s="19" t="n"/>
      <c r="E120" s="19" t="n"/>
      <c r="F120" s="19" t="n"/>
      <c r="G120" s="19" t="n"/>
      <c r="H120" s="19" t="n"/>
    </row>
    <row r="121">
      <c r="A121" s="19" t="n"/>
      <c r="B121" s="19" t="n"/>
      <c r="C121" s="19" t="n"/>
      <c r="D121" s="19" t="n"/>
      <c r="E121" s="19" t="n"/>
      <c r="F121" s="19" t="n"/>
      <c r="G121" s="19" t="n"/>
      <c r="H121" s="19" t="n"/>
    </row>
    <row r="122">
      <c r="A122" s="19" t="n"/>
      <c r="B122" s="19" t="n"/>
      <c r="C122" s="19" t="n"/>
      <c r="D122" s="19" t="n"/>
      <c r="E122" s="19" t="n"/>
      <c r="F122" s="19" t="n"/>
      <c r="G122" s="19" t="n"/>
      <c r="H122" s="19" t="n"/>
    </row>
    <row r="123">
      <c r="A123" s="19" t="n"/>
      <c r="B123" s="19" t="n"/>
      <c r="C123" s="19" t="n"/>
      <c r="D123" s="19" t="n"/>
      <c r="E123" s="19" t="n"/>
      <c r="F123" s="19" t="n"/>
      <c r="G123" s="19" t="n"/>
      <c r="H123" s="19" t="n"/>
    </row>
    <row r="124">
      <c r="A124" s="19" t="n"/>
      <c r="B124" s="19" t="n"/>
      <c r="C124" s="19" t="n"/>
      <c r="D124" s="19" t="n"/>
      <c r="E124" s="19" t="n"/>
      <c r="F124" s="19" t="n"/>
      <c r="G124" s="19" t="n"/>
      <c r="H124" s="19" t="n"/>
    </row>
    <row r="125">
      <c r="A125" s="19" t="n"/>
      <c r="B125" s="19" t="n"/>
      <c r="C125" s="19" t="n"/>
      <c r="D125" s="19" t="n"/>
      <c r="E125" s="19" t="n"/>
      <c r="F125" s="19" t="n"/>
      <c r="G125" s="19" t="n"/>
      <c r="H125" s="19" t="n"/>
    </row>
    <row r="126">
      <c r="A126" s="19" t="n"/>
      <c r="B126" s="19" t="n"/>
      <c r="C126" s="19" t="n"/>
      <c r="D126" s="19" t="n"/>
      <c r="E126" s="19" t="n"/>
      <c r="F126" s="19" t="n"/>
      <c r="G126" s="19" t="n"/>
      <c r="H126" s="19" t="n"/>
    </row>
    <row r="127">
      <c r="A127" s="19" t="n"/>
      <c r="B127" s="19" t="n"/>
      <c r="C127" s="19" t="n"/>
      <c r="D127" s="19" t="n"/>
      <c r="E127" s="19" t="n"/>
      <c r="F127" s="19" t="n"/>
      <c r="G127" s="19" t="n"/>
      <c r="H127" s="19" t="n"/>
    </row>
    <row r="128">
      <c r="A128" s="19" t="n"/>
      <c r="B128" s="19" t="n"/>
      <c r="C128" s="19" t="n"/>
      <c r="D128" s="19" t="n"/>
      <c r="E128" s="19" t="n"/>
      <c r="F128" s="19" t="n"/>
      <c r="G128" s="19" t="n"/>
      <c r="H128" s="19" t="n"/>
    </row>
    <row r="129">
      <c r="A129" s="19" t="n"/>
      <c r="B129" s="19" t="n"/>
      <c r="C129" s="19" t="n"/>
      <c r="D129" s="19" t="n"/>
      <c r="E129" s="19" t="n"/>
      <c r="F129" s="19" t="n"/>
      <c r="G129" s="19" t="n"/>
      <c r="H129" s="19" t="n"/>
    </row>
    <row r="130">
      <c r="A130" s="19" t="n"/>
      <c r="B130" s="19" t="n"/>
      <c r="C130" s="19" t="n"/>
      <c r="D130" s="19" t="n"/>
      <c r="E130" s="19" t="n"/>
      <c r="F130" s="19" t="n"/>
      <c r="G130" s="19" t="n"/>
      <c r="H130" s="19" t="n"/>
    </row>
    <row r="131">
      <c r="A131" s="19" t="n"/>
      <c r="B131" s="19" t="n"/>
      <c r="C131" s="19" t="n"/>
      <c r="D131" s="19" t="n"/>
      <c r="E131" s="19" t="n"/>
      <c r="F131" s="19" t="n"/>
      <c r="G131" s="19" t="n"/>
      <c r="H131" s="19" t="n"/>
    </row>
    <row r="132">
      <c r="A132" s="19" t="n"/>
      <c r="B132" s="19" t="n"/>
      <c r="C132" s="19" t="n"/>
      <c r="D132" s="19" t="n"/>
      <c r="E132" s="19" t="n"/>
      <c r="F132" s="19" t="n"/>
      <c r="G132" s="19" t="n"/>
      <c r="H132" s="19" t="n"/>
    </row>
    <row r="133">
      <c r="A133" s="19" t="n"/>
      <c r="B133" s="19" t="n"/>
      <c r="C133" s="19" t="n"/>
      <c r="D133" s="19" t="n"/>
      <c r="E133" s="19" t="n"/>
      <c r="F133" s="19" t="n"/>
      <c r="G133" s="19" t="n"/>
      <c r="H133" s="19" t="n"/>
    </row>
    <row r="134">
      <c r="A134" s="19" t="n"/>
      <c r="B134" s="19" t="n"/>
      <c r="C134" s="19" t="n"/>
      <c r="D134" s="19" t="n"/>
      <c r="E134" s="19" t="n"/>
      <c r="F134" s="19" t="n"/>
      <c r="G134" s="19" t="n"/>
      <c r="H134" s="19" t="n"/>
    </row>
    <row r="135">
      <c r="A135" s="19" t="n"/>
      <c r="B135" s="19" t="n"/>
      <c r="C135" s="19" t="n"/>
      <c r="D135" s="19" t="n"/>
      <c r="E135" s="19" t="n"/>
      <c r="F135" s="19" t="n"/>
      <c r="G135" s="19" t="n"/>
      <c r="H135" s="19" t="n"/>
    </row>
    <row r="136">
      <c r="A136" s="19" t="n"/>
      <c r="B136" s="19" t="n"/>
      <c r="C136" s="19" t="n"/>
      <c r="D136" s="19" t="n"/>
      <c r="E136" s="19" t="n"/>
      <c r="F136" s="19" t="n"/>
      <c r="G136" s="19" t="n"/>
      <c r="H136" s="19" t="n"/>
    </row>
    <row r="137">
      <c r="A137" s="19" t="n"/>
      <c r="B137" s="19" t="n"/>
      <c r="C137" s="19" t="n"/>
      <c r="D137" s="19" t="n"/>
      <c r="E137" s="19" t="n"/>
      <c r="F137" s="19" t="n"/>
      <c r="G137" s="19" t="n"/>
      <c r="H137" s="19" t="n"/>
    </row>
    <row r="138">
      <c r="A138" s="19" t="n"/>
      <c r="B138" s="19" t="n"/>
      <c r="C138" s="19" t="n"/>
      <c r="D138" s="19" t="n"/>
      <c r="E138" s="19" t="n"/>
      <c r="F138" s="19" t="n"/>
      <c r="G138" s="19" t="n"/>
      <c r="H138" s="19" t="n"/>
    </row>
    <row r="139">
      <c r="A139" s="19" t="n"/>
      <c r="B139" s="19" t="n"/>
      <c r="C139" s="19" t="n"/>
      <c r="D139" s="19" t="n"/>
      <c r="E139" s="19" t="n"/>
      <c r="F139" s="19" t="n"/>
      <c r="G139" s="19" t="n"/>
      <c r="H139" s="19" t="n"/>
    </row>
    <row r="140">
      <c r="A140" s="19" t="n"/>
      <c r="B140" s="19" t="n"/>
      <c r="C140" s="19" t="n"/>
      <c r="D140" s="19" t="n"/>
      <c r="E140" s="19" t="n"/>
      <c r="F140" s="19" t="n"/>
      <c r="G140" s="19" t="n"/>
      <c r="H140" s="19" t="n"/>
    </row>
    <row r="141">
      <c r="A141" s="19" t="n"/>
      <c r="B141" s="19" t="n"/>
      <c r="C141" s="19" t="n"/>
      <c r="D141" s="19" t="n"/>
      <c r="E141" s="19" t="n"/>
      <c r="F141" s="19" t="n"/>
      <c r="G141" s="19" t="n"/>
      <c r="H141" s="19" t="n"/>
    </row>
    <row r="142">
      <c r="A142" s="19" t="n"/>
      <c r="B142" s="19" t="n"/>
      <c r="C142" s="19" t="n"/>
      <c r="D142" s="19" t="n"/>
      <c r="E142" s="19" t="n"/>
      <c r="F142" s="19" t="n"/>
      <c r="G142" s="19" t="n"/>
      <c r="H142" s="19" t="n"/>
    </row>
    <row r="143">
      <c r="A143" s="19" t="n"/>
      <c r="B143" s="19" t="n"/>
      <c r="C143" s="19" t="n"/>
      <c r="D143" s="19" t="n"/>
      <c r="E143" s="19" t="n"/>
      <c r="F143" s="19" t="n"/>
      <c r="G143" s="19" t="n"/>
      <c r="H143" s="19" t="n"/>
    </row>
    <row r="144">
      <c r="A144" s="19" t="n"/>
      <c r="B144" s="19" t="n"/>
      <c r="C144" s="19" t="n"/>
      <c r="D144" s="19" t="n"/>
      <c r="E144" s="19" t="n"/>
      <c r="F144" s="19" t="n"/>
      <c r="G144" s="19" t="n"/>
      <c r="H144" s="19" t="n"/>
    </row>
    <row r="145">
      <c r="A145" s="19" t="n"/>
      <c r="B145" s="19" t="n"/>
      <c r="C145" s="19" t="n"/>
      <c r="D145" s="19" t="n"/>
      <c r="E145" s="19" t="n"/>
      <c r="F145" s="19" t="n"/>
      <c r="G145" s="19" t="n"/>
      <c r="H145" s="19" t="n"/>
    </row>
    <row r="146">
      <c r="A146" s="19" t="n"/>
      <c r="B146" s="19" t="n"/>
      <c r="C146" s="19" t="n"/>
      <c r="D146" s="19" t="n"/>
      <c r="E146" s="19" t="n"/>
      <c r="F146" s="19" t="n"/>
      <c r="G146" s="19" t="n"/>
      <c r="H146" s="19" t="n"/>
    </row>
    <row r="147">
      <c r="A147" s="19" t="n"/>
      <c r="B147" s="19" t="n"/>
      <c r="C147" s="19" t="n"/>
      <c r="D147" s="19" t="n"/>
      <c r="E147" s="19" t="n"/>
      <c r="F147" s="19" t="n"/>
      <c r="G147" s="19" t="n"/>
      <c r="H147" s="19" t="n"/>
    </row>
    <row r="148">
      <c r="A148" s="19" t="n"/>
      <c r="B148" s="19" t="n"/>
      <c r="C148" s="19" t="n"/>
      <c r="D148" s="19" t="n"/>
      <c r="E148" s="19" t="n"/>
      <c r="F148" s="19" t="n"/>
      <c r="G148" s="19" t="n"/>
      <c r="H148" s="19" t="n"/>
    </row>
    <row r="149">
      <c r="A149" s="19" t="n"/>
      <c r="B149" s="19" t="n"/>
      <c r="C149" s="19" t="n"/>
      <c r="D149" s="19" t="n"/>
      <c r="E149" s="19" t="n"/>
      <c r="F149" s="19" t="n"/>
      <c r="G149" s="19" t="n"/>
      <c r="H149" s="19" t="n"/>
    </row>
    <row r="150">
      <c r="A150" s="19" t="n"/>
      <c r="B150" s="19" t="n"/>
      <c r="C150" s="19" t="n"/>
      <c r="D150" s="19" t="n"/>
      <c r="E150" s="19" t="n"/>
      <c r="F150" s="19" t="n"/>
      <c r="G150" s="19" t="n"/>
      <c r="H150" s="19" t="n"/>
    </row>
    <row r="151">
      <c r="A151" s="19" t="n"/>
      <c r="B151" s="19" t="n"/>
      <c r="C151" s="19" t="n"/>
      <c r="D151" s="19" t="n"/>
      <c r="E151" s="19" t="n"/>
      <c r="F151" s="19" t="n"/>
      <c r="G151" s="19" t="n"/>
      <c r="H151" s="19" t="n"/>
    </row>
    <row r="152">
      <c r="A152" s="19" t="n"/>
      <c r="B152" s="19" t="n"/>
      <c r="C152" s="19" t="n"/>
      <c r="D152" s="19" t="n"/>
      <c r="E152" s="19" t="n"/>
      <c r="F152" s="19" t="n"/>
      <c r="G152" s="19" t="n"/>
      <c r="H152" s="19" t="n"/>
    </row>
    <row r="153">
      <c r="A153" s="19" t="n"/>
      <c r="B153" s="19" t="n"/>
      <c r="C153" s="19" t="n"/>
      <c r="D153" s="19" t="n"/>
      <c r="E153" s="19" t="n"/>
      <c r="F153" s="19" t="n"/>
      <c r="G153" s="19" t="n"/>
      <c r="H153" s="19" t="n"/>
    </row>
    <row r="154">
      <c r="A154" s="19" t="n"/>
      <c r="B154" s="19" t="n"/>
      <c r="C154" s="19" t="n"/>
      <c r="D154" s="19" t="n"/>
      <c r="E154" s="19" t="n"/>
      <c r="F154" s="19" t="n"/>
      <c r="G154" s="19" t="n"/>
      <c r="H154" s="19" t="n"/>
    </row>
    <row r="155">
      <c r="A155" s="19" t="n"/>
      <c r="B155" s="19" t="n"/>
      <c r="C155" s="19" t="n"/>
      <c r="D155" s="19" t="n"/>
      <c r="E155" s="19" t="n"/>
      <c r="F155" s="19" t="n"/>
      <c r="G155" s="19" t="n"/>
      <c r="H155" s="19" t="n"/>
    </row>
    <row r="156">
      <c r="A156" s="19" t="n"/>
      <c r="B156" s="19" t="n"/>
      <c r="C156" s="19" t="n"/>
      <c r="D156" s="19" t="n"/>
      <c r="E156" s="19" t="n"/>
      <c r="F156" s="19" t="n"/>
      <c r="G156" s="19" t="n"/>
      <c r="H156" s="19" t="n"/>
    </row>
    <row r="157">
      <c r="A157" s="19" t="n"/>
      <c r="B157" s="19" t="n"/>
      <c r="C157" s="19" t="n"/>
      <c r="D157" s="19" t="n"/>
      <c r="E157" s="19" t="n"/>
      <c r="F157" s="19" t="n"/>
      <c r="G157" s="19" t="n"/>
      <c r="H157" s="19" t="n"/>
    </row>
    <row r="158">
      <c r="A158" s="19" t="n"/>
      <c r="B158" s="19" t="n"/>
      <c r="C158" s="19" t="n"/>
      <c r="D158" s="19" t="n"/>
      <c r="E158" s="19" t="n"/>
      <c r="F158" s="19" t="n"/>
      <c r="G158" s="19" t="n"/>
      <c r="H158" s="19" t="n"/>
    </row>
    <row r="159">
      <c r="A159" s="19" t="n"/>
      <c r="B159" s="19" t="n"/>
      <c r="C159" s="19" t="n"/>
      <c r="D159" s="19" t="n"/>
      <c r="E159" s="19" t="n"/>
      <c r="F159" s="19" t="n"/>
      <c r="G159" s="19" t="n"/>
      <c r="H159" s="19" t="n"/>
    </row>
    <row r="160">
      <c r="A160" s="19" t="n"/>
      <c r="B160" s="19" t="n"/>
      <c r="C160" s="19" t="n"/>
      <c r="D160" s="19" t="n"/>
      <c r="E160" s="19" t="n"/>
      <c r="F160" s="19" t="n"/>
      <c r="G160" s="19" t="n"/>
      <c r="H160" s="19" t="n"/>
    </row>
    <row r="161">
      <c r="A161" s="19" t="n"/>
      <c r="B161" s="19" t="n"/>
      <c r="C161" s="19" t="n"/>
      <c r="D161" s="19" t="n"/>
      <c r="E161" s="19" t="n"/>
      <c r="F161" s="19" t="n"/>
      <c r="G161" s="19" t="n"/>
      <c r="H161" s="19" t="n"/>
    </row>
    <row r="162">
      <c r="A162" s="19" t="n"/>
      <c r="B162" s="19" t="n"/>
      <c r="C162" s="19" t="n"/>
      <c r="D162" s="19" t="n"/>
      <c r="E162" s="19" t="n"/>
      <c r="F162" s="19" t="n"/>
      <c r="G162" s="19" t="n"/>
      <c r="H162" s="19" t="n"/>
    </row>
    <row r="163">
      <c r="A163" s="19" t="n"/>
      <c r="B163" s="19" t="n"/>
      <c r="C163" s="19" t="n"/>
      <c r="D163" s="19" t="n"/>
      <c r="E163" s="19" t="n"/>
      <c r="F163" s="19" t="n"/>
      <c r="G163" s="19" t="n"/>
      <c r="H163" s="19" t="n"/>
    </row>
    <row r="164">
      <c r="A164" s="19" t="n"/>
      <c r="B164" s="19" t="n"/>
      <c r="C164" s="19" t="n"/>
      <c r="D164" s="19" t="n"/>
      <c r="E164" s="19" t="n"/>
      <c r="F164" s="19" t="n"/>
      <c r="G164" s="19" t="n"/>
      <c r="H164" s="19" t="n"/>
    </row>
    <row r="165">
      <c r="A165" s="19" t="n"/>
      <c r="B165" s="19" t="n"/>
      <c r="C165" s="19" t="n"/>
      <c r="D165" s="19" t="n"/>
      <c r="E165" s="19" t="n"/>
      <c r="F165" s="19" t="n"/>
      <c r="G165" s="19" t="n"/>
      <c r="H165" s="19" t="n"/>
    </row>
    <row r="166">
      <c r="A166" s="19" t="n"/>
      <c r="B166" s="19" t="n"/>
      <c r="C166" s="19" t="n"/>
      <c r="D166" s="19" t="n"/>
      <c r="E166" s="19" t="n"/>
      <c r="F166" s="19" t="n"/>
      <c r="G166" s="19" t="n"/>
      <c r="H166" s="19" t="n"/>
    </row>
    <row r="167">
      <c r="A167" s="19" t="n"/>
      <c r="B167" s="19" t="n"/>
      <c r="C167" s="19" t="n"/>
      <c r="D167" s="19" t="n"/>
      <c r="E167" s="19" t="n"/>
      <c r="F167" s="19" t="n"/>
      <c r="G167" s="19" t="n"/>
      <c r="H167" s="19" t="n"/>
    </row>
    <row r="168">
      <c r="A168" s="19" t="n"/>
      <c r="B168" s="19" t="n"/>
      <c r="C168" s="19" t="n"/>
      <c r="D168" s="19" t="n"/>
      <c r="E168" s="19" t="n"/>
      <c r="F168" s="19" t="n"/>
      <c r="G168" s="19" t="n"/>
      <c r="H168" s="19" t="n"/>
    </row>
    <row r="169">
      <c r="A169" s="19" t="n"/>
      <c r="B169" s="19" t="n"/>
      <c r="C169" s="19" t="n"/>
      <c r="D169" s="19" t="n"/>
      <c r="E169" s="19" t="n"/>
      <c r="F169" s="19" t="n"/>
      <c r="G169" s="19" t="n"/>
      <c r="H169" s="19" t="n"/>
    </row>
    <row r="170">
      <c r="A170" s="19" t="n"/>
      <c r="B170" s="19" t="n"/>
      <c r="C170" s="19" t="n"/>
      <c r="D170" s="19" t="n"/>
      <c r="E170" s="19" t="n"/>
      <c r="F170" s="19" t="n"/>
      <c r="G170" s="19" t="n"/>
      <c r="H170" s="19" t="n"/>
    </row>
    <row r="171">
      <c r="A171" s="19" t="n"/>
      <c r="B171" s="19" t="n"/>
      <c r="C171" s="19" t="n"/>
      <c r="D171" s="19" t="n"/>
      <c r="E171" s="19" t="n"/>
      <c r="F171" s="19" t="n"/>
      <c r="G171" s="19" t="n"/>
      <c r="H171" s="19" t="n"/>
    </row>
    <row r="172">
      <c r="A172" s="19" t="n"/>
      <c r="B172" s="19" t="n"/>
      <c r="C172" s="19" t="n"/>
      <c r="D172" s="19" t="n"/>
      <c r="E172" s="19" t="n"/>
      <c r="F172" s="19" t="n"/>
      <c r="G172" s="19" t="n"/>
      <c r="H172" s="19" t="n"/>
    </row>
    <row r="173">
      <c r="A173" s="19" t="n"/>
      <c r="B173" s="19" t="n"/>
      <c r="C173" s="19" t="n"/>
      <c r="D173" s="19" t="n"/>
      <c r="E173" s="19" t="n"/>
      <c r="F173" s="19" t="n"/>
      <c r="G173" s="19" t="n"/>
      <c r="H173" s="19" t="n"/>
    </row>
    <row r="174">
      <c r="A174" s="19" t="n"/>
      <c r="B174" s="19" t="n"/>
      <c r="C174" s="19" t="n"/>
      <c r="D174" s="19" t="n"/>
      <c r="E174" s="19" t="n"/>
      <c r="F174" s="19" t="n"/>
      <c r="G174" s="19" t="n"/>
      <c r="H174" s="19" t="n"/>
    </row>
    <row r="175">
      <c r="A175" s="19" t="n"/>
      <c r="B175" s="19" t="n"/>
      <c r="C175" s="19" t="n"/>
      <c r="D175" s="19" t="n"/>
      <c r="E175" s="19" t="n"/>
      <c r="F175" s="19" t="n"/>
      <c r="G175" s="19" t="n"/>
      <c r="H175" s="19" t="n"/>
    </row>
    <row r="176">
      <c r="A176" s="19" t="n"/>
      <c r="B176" s="19" t="n"/>
      <c r="C176" s="19" t="n"/>
      <c r="D176" s="19" t="n"/>
      <c r="E176" s="19" t="n"/>
      <c r="F176" s="19" t="n"/>
      <c r="G176" s="19" t="n"/>
      <c r="H176" s="19" t="n"/>
    </row>
    <row r="177">
      <c r="A177" s="19" t="n"/>
      <c r="B177" s="19" t="n"/>
      <c r="C177" s="19" t="n"/>
      <c r="D177" s="19" t="n"/>
      <c r="E177" s="19" t="n"/>
      <c r="F177" s="19" t="n"/>
      <c r="G177" s="19" t="n"/>
      <c r="H177" s="19" t="n"/>
    </row>
    <row r="178">
      <c r="A178" s="19" t="n"/>
      <c r="B178" s="19" t="n"/>
      <c r="C178" s="19" t="n"/>
      <c r="D178" s="19" t="n"/>
      <c r="E178" s="19" t="n"/>
      <c r="F178" s="19" t="n"/>
      <c r="G178" s="19" t="n"/>
      <c r="H178" s="19" t="n"/>
    </row>
    <row r="179">
      <c r="A179" s="19" t="n"/>
      <c r="B179" s="19" t="n"/>
      <c r="C179" s="19" t="n"/>
      <c r="D179" s="19" t="n"/>
      <c r="E179" s="19" t="n"/>
      <c r="F179" s="19" t="n"/>
      <c r="G179" s="19" t="n"/>
      <c r="H179" s="19" t="n"/>
    </row>
    <row r="180">
      <c r="A180" s="19" t="n"/>
      <c r="B180" s="19" t="n"/>
      <c r="C180" s="19" t="n"/>
      <c r="D180" s="19" t="n"/>
      <c r="E180" s="19" t="n"/>
      <c r="F180" s="19" t="n"/>
      <c r="G180" s="19" t="n"/>
      <c r="H180" s="19" t="n"/>
    </row>
    <row r="181">
      <c r="A181" s="19" t="n"/>
      <c r="B181" s="19" t="n"/>
      <c r="C181" s="19" t="n"/>
      <c r="D181" s="19" t="n"/>
      <c r="E181" s="19" t="n"/>
      <c r="F181" s="19" t="n"/>
      <c r="G181" s="19" t="n"/>
      <c r="H181" s="19" t="n"/>
    </row>
    <row r="182">
      <c r="A182" s="19" t="n"/>
      <c r="B182" s="19" t="n"/>
      <c r="C182" s="19" t="n"/>
      <c r="D182" s="19" t="n"/>
      <c r="E182" s="19" t="n"/>
      <c r="F182" s="19" t="n"/>
      <c r="G182" s="19" t="n"/>
      <c r="H182" s="19" t="n"/>
    </row>
    <row r="183">
      <c r="A183" s="19" t="n"/>
      <c r="B183" s="19" t="n"/>
      <c r="C183" s="19" t="n"/>
      <c r="D183" s="19" t="n"/>
      <c r="E183" s="19" t="n"/>
      <c r="F183" s="19" t="n"/>
      <c r="G183" s="19" t="n"/>
      <c r="H183" s="19" t="n"/>
    </row>
    <row r="184">
      <c r="A184" s="19" t="n"/>
      <c r="B184" s="19" t="n"/>
      <c r="C184" s="19" t="n"/>
      <c r="D184" s="19" t="n"/>
      <c r="E184" s="19" t="n"/>
      <c r="F184" s="19" t="n"/>
      <c r="G184" s="19" t="n"/>
      <c r="H184" s="19" t="n"/>
    </row>
    <row r="185">
      <c r="A185" s="19" t="n"/>
      <c r="B185" s="19" t="n"/>
      <c r="C185" s="19" t="n"/>
      <c r="D185" s="19" t="n"/>
      <c r="E185" s="19" t="n"/>
      <c r="F185" s="19" t="n"/>
      <c r="G185" s="19" t="n"/>
      <c r="H185" s="19" t="n"/>
    </row>
    <row r="186">
      <c r="A186" s="19" t="n"/>
      <c r="B186" s="19" t="n"/>
      <c r="C186" s="19" t="n"/>
      <c r="D186" s="19" t="n"/>
      <c r="E186" s="19" t="n"/>
      <c r="F186" s="19" t="n"/>
      <c r="G186" s="19" t="n"/>
      <c r="H186" s="19" t="n"/>
    </row>
    <row r="187">
      <c r="A187" s="19" t="n"/>
      <c r="B187" s="19" t="n"/>
      <c r="C187" s="19" t="n"/>
      <c r="D187" s="19" t="n"/>
      <c r="E187" s="19" t="n"/>
      <c r="F187" s="19" t="n"/>
      <c r="G187" s="19" t="n"/>
      <c r="H187" s="19" t="n"/>
    </row>
    <row r="188">
      <c r="A188" s="19" t="n"/>
      <c r="B188" s="19" t="n"/>
      <c r="C188" s="19" t="n"/>
      <c r="D188" s="19" t="n"/>
      <c r="E188" s="19" t="n"/>
      <c r="F188" s="19" t="n"/>
      <c r="G188" s="19" t="n"/>
      <c r="H188" s="19" t="n"/>
    </row>
    <row r="189">
      <c r="A189" s="19" t="n"/>
      <c r="B189" s="19" t="n"/>
      <c r="C189" s="19" t="n"/>
      <c r="D189" s="19" t="n"/>
      <c r="E189" s="19" t="n"/>
      <c r="F189" s="19" t="n"/>
      <c r="G189" s="19" t="n"/>
      <c r="H189" s="19" t="n"/>
    </row>
    <row r="190">
      <c r="A190" s="19" t="n"/>
      <c r="B190" s="19" t="n"/>
      <c r="C190" s="19" t="n"/>
      <c r="D190" s="19" t="n"/>
      <c r="E190" s="19" t="n"/>
      <c r="F190" s="19" t="n"/>
      <c r="G190" s="19" t="n"/>
      <c r="H190" s="19" t="n"/>
    </row>
    <row r="191">
      <c r="A191" s="19" t="n"/>
      <c r="B191" s="19" t="n"/>
      <c r="C191" s="19" t="n"/>
      <c r="D191" s="19" t="n"/>
      <c r="E191" s="19" t="n"/>
      <c r="F191" s="19" t="n"/>
      <c r="G191" s="19" t="n"/>
      <c r="H191" s="19" t="n"/>
    </row>
    <row r="192">
      <c r="A192" s="19" t="n"/>
      <c r="B192" s="19" t="n"/>
      <c r="C192" s="19" t="n"/>
      <c r="D192" s="19" t="n"/>
      <c r="E192" s="19" t="n"/>
      <c r="F192" s="19" t="n"/>
      <c r="G192" s="19" t="n"/>
      <c r="H192" s="19" t="n"/>
    </row>
    <row r="193">
      <c r="A193" s="19" t="n"/>
      <c r="B193" s="19" t="n"/>
      <c r="C193" s="19" t="n"/>
      <c r="D193" s="19" t="n"/>
      <c r="E193" s="19" t="n"/>
      <c r="F193" s="19" t="n"/>
      <c r="G193" s="19" t="n"/>
      <c r="H193" s="19" t="n"/>
    </row>
    <row r="194">
      <c r="A194" s="19" t="n"/>
      <c r="B194" s="19" t="n"/>
      <c r="C194" s="19" t="n"/>
      <c r="D194" s="19" t="n"/>
      <c r="E194" s="19" t="n"/>
      <c r="F194" s="19" t="n"/>
      <c r="G194" s="19" t="n"/>
      <c r="H194" s="19" t="n"/>
    </row>
    <row r="195">
      <c r="A195" s="19" t="n"/>
      <c r="B195" s="19" t="n"/>
      <c r="C195" s="19" t="n"/>
      <c r="D195" s="19" t="n"/>
      <c r="E195" s="19" t="n"/>
      <c r="F195" s="19" t="n"/>
      <c r="G195" s="19" t="n"/>
      <c r="H195" s="19" t="n"/>
    </row>
    <row r="196">
      <c r="A196" s="19" t="n"/>
      <c r="B196" s="19" t="n"/>
      <c r="C196" s="19" t="n"/>
      <c r="D196" s="19" t="n"/>
      <c r="E196" s="19" t="n"/>
      <c r="F196" s="19" t="n"/>
      <c r="G196" s="19" t="n"/>
      <c r="H196" s="19" t="n"/>
    </row>
    <row r="197">
      <c r="A197" s="19" t="n"/>
      <c r="B197" s="19" t="n"/>
      <c r="C197" s="19" t="n"/>
      <c r="D197" s="19" t="n"/>
      <c r="E197" s="19" t="n"/>
      <c r="F197" s="19" t="n"/>
      <c r="G197" s="19" t="n"/>
      <c r="H197" s="19" t="n"/>
    </row>
    <row r="198">
      <c r="A198" s="19" t="n"/>
      <c r="B198" s="19" t="n"/>
      <c r="C198" s="19" t="n"/>
      <c r="D198" s="19" t="n"/>
      <c r="E198" s="19" t="n"/>
      <c r="F198" s="19" t="n"/>
      <c r="G198" s="19" t="n"/>
      <c r="H198" s="19" t="n"/>
    </row>
    <row r="199">
      <c r="A199" s="19" t="n"/>
      <c r="B199" s="19" t="n"/>
      <c r="C199" s="19" t="n"/>
      <c r="D199" s="19" t="n"/>
      <c r="E199" s="19" t="n"/>
      <c r="F199" s="19" t="n"/>
      <c r="G199" s="19" t="n"/>
      <c r="H199" s="19" t="n"/>
    </row>
    <row r="200">
      <c r="A200" s="19" t="n"/>
      <c r="B200" s="19" t="n"/>
      <c r="C200" s="19" t="n"/>
      <c r="D200" s="19" t="n"/>
      <c r="E200" s="19" t="n"/>
      <c r="F200" s="19" t="n"/>
      <c r="G200" s="19" t="n"/>
      <c r="H200" s="19" t="n"/>
    </row>
    <row r="201">
      <c r="A201" s="19" t="n"/>
      <c r="B201" s="19" t="n"/>
      <c r="C201" s="19" t="n"/>
      <c r="D201" s="19" t="n"/>
      <c r="E201" s="19" t="n"/>
      <c r="F201" s="19" t="n"/>
      <c r="G201" s="19" t="n"/>
      <c r="H201" s="19" t="n"/>
    </row>
    <row r="202">
      <c r="A202" s="19" t="n"/>
      <c r="B202" s="19" t="n"/>
      <c r="C202" s="19" t="n"/>
      <c r="D202" s="19" t="n"/>
      <c r="E202" s="19" t="n"/>
      <c r="F202" s="19" t="n"/>
      <c r="G202" s="19" t="n"/>
      <c r="H202" s="19" t="n"/>
    </row>
    <row r="203">
      <c r="A203" s="19" t="n"/>
      <c r="B203" s="19" t="n"/>
      <c r="C203" s="19" t="n"/>
      <c r="D203" s="19" t="n"/>
      <c r="E203" s="19" t="n"/>
      <c r="F203" s="19" t="n"/>
      <c r="G203" s="19" t="n"/>
      <c r="H203" s="19" t="n"/>
    </row>
    <row r="204">
      <c r="A204" s="19" t="n"/>
      <c r="B204" s="19" t="n"/>
      <c r="C204" s="19" t="n"/>
      <c r="D204" s="19" t="n"/>
      <c r="E204" s="19" t="n"/>
      <c r="F204" s="19" t="n"/>
      <c r="G204" s="19" t="n"/>
      <c r="H204" s="19" t="n"/>
    </row>
    <row r="205">
      <c r="A205" s="19" t="n"/>
      <c r="B205" s="19" t="n"/>
      <c r="C205" s="19" t="n"/>
      <c r="D205" s="19" t="n"/>
      <c r="E205" s="19" t="n"/>
      <c r="F205" s="19" t="n"/>
      <c r="G205" s="19" t="n"/>
      <c r="H205" s="19" t="n"/>
    </row>
    <row r="206">
      <c r="A206" s="19" t="n"/>
      <c r="B206" s="19" t="n"/>
      <c r="C206" s="19" t="n"/>
      <c r="D206" s="19" t="n"/>
      <c r="E206" s="19" t="n"/>
      <c r="F206" s="19" t="n"/>
      <c r="G206" s="19" t="n"/>
      <c r="H206" s="19" t="n"/>
    </row>
    <row r="207">
      <c r="A207" s="19" t="n"/>
      <c r="B207" s="19" t="n"/>
      <c r="C207" s="19" t="n"/>
      <c r="D207" s="19" t="n"/>
      <c r="E207" s="19" t="n"/>
      <c r="F207" s="19" t="n"/>
      <c r="G207" s="19" t="n"/>
      <c r="H207" s="19" t="n"/>
    </row>
    <row r="208">
      <c r="A208" s="19" t="n"/>
      <c r="B208" s="19" t="n"/>
      <c r="C208" s="19" t="n"/>
      <c r="D208" s="19" t="n"/>
      <c r="E208" s="19" t="n"/>
      <c r="F208" s="19" t="n"/>
      <c r="G208" s="19" t="n"/>
      <c r="H208" s="19" t="n"/>
    </row>
    <row r="209">
      <c r="A209" s="19" t="n"/>
      <c r="B209" s="19" t="n"/>
      <c r="C209" s="19" t="n"/>
      <c r="D209" s="19" t="n"/>
      <c r="E209" s="19" t="n"/>
      <c r="F209" s="19" t="n"/>
      <c r="G209" s="19" t="n"/>
      <c r="H209" s="19" t="n"/>
    </row>
    <row r="210">
      <c r="A210" s="19" t="n"/>
      <c r="B210" s="19" t="n"/>
      <c r="C210" s="19" t="n"/>
      <c r="D210" s="19" t="n"/>
      <c r="E210" s="19" t="n"/>
      <c r="F210" s="19" t="n"/>
      <c r="G210" s="19" t="n"/>
      <c r="H210" s="19" t="n"/>
    </row>
    <row r="211">
      <c r="A211" s="19" t="n"/>
      <c r="B211" s="19" t="n"/>
      <c r="C211" s="19" t="n"/>
      <c r="D211" s="19" t="n"/>
      <c r="E211" s="19" t="n"/>
      <c r="F211" s="19" t="n"/>
      <c r="G211" s="19" t="n"/>
      <c r="H211" s="19" t="n"/>
    </row>
    <row r="212">
      <c r="A212" s="19" t="n"/>
      <c r="B212" s="19" t="n"/>
      <c r="C212" s="19" t="n"/>
      <c r="D212" s="19" t="n"/>
      <c r="E212" s="19" t="n"/>
      <c r="F212" s="19" t="n"/>
      <c r="G212" s="19" t="n"/>
      <c r="H212" s="19" t="n"/>
    </row>
    <row r="213">
      <c r="A213" s="19" t="n"/>
      <c r="B213" s="19" t="n"/>
      <c r="C213" s="19" t="n"/>
      <c r="D213" s="19" t="n"/>
      <c r="E213" s="19" t="n"/>
      <c r="F213" s="19" t="n"/>
      <c r="G213" s="19" t="n"/>
      <c r="H213" s="19" t="n"/>
    </row>
    <row r="214">
      <c r="A214" s="19" t="n"/>
      <c r="B214" s="19" t="n"/>
      <c r="C214" s="19" t="n"/>
      <c r="D214" s="19" t="n"/>
      <c r="E214" s="19" t="n"/>
      <c r="F214" s="19" t="n"/>
      <c r="G214" s="19" t="n"/>
      <c r="H214" s="19" t="n"/>
    </row>
    <row r="215">
      <c r="A215" s="19" t="n"/>
      <c r="B215" s="19" t="n"/>
      <c r="C215" s="19" t="n"/>
      <c r="D215" s="19" t="n"/>
      <c r="E215" s="19" t="n"/>
      <c r="F215" s="19" t="n"/>
      <c r="G215" s="19" t="n"/>
      <c r="H215" s="19" t="n"/>
    </row>
    <row r="216">
      <c r="A216" s="19" t="n"/>
      <c r="B216" s="19" t="n"/>
      <c r="C216" s="19" t="n"/>
      <c r="D216" s="19" t="n"/>
      <c r="E216" s="19" t="n"/>
      <c r="F216" s="19" t="n"/>
      <c r="G216" s="19" t="n"/>
      <c r="H216" s="19" t="n"/>
    </row>
    <row r="217">
      <c r="A217" s="19" t="n"/>
      <c r="B217" s="19" t="n"/>
      <c r="C217" s="19" t="n"/>
      <c r="D217" s="19" t="n"/>
      <c r="E217" s="19" t="n"/>
      <c r="F217" s="19" t="n"/>
      <c r="G217" s="19" t="n"/>
      <c r="H217" s="19" t="n"/>
    </row>
    <row r="218">
      <c r="A218" s="19" t="n"/>
      <c r="B218" s="19" t="n"/>
      <c r="C218" s="19" t="n"/>
      <c r="D218" s="19" t="n"/>
      <c r="E218" s="19" t="n"/>
      <c r="F218" s="19" t="n"/>
      <c r="G218" s="19" t="n"/>
      <c r="H218" s="19" t="n"/>
    </row>
    <row r="219">
      <c r="A219" s="19" t="n"/>
      <c r="B219" s="19" t="n"/>
      <c r="C219" s="19" t="n"/>
      <c r="D219" s="19" t="n"/>
      <c r="E219" s="19" t="n"/>
      <c r="F219" s="19" t="n"/>
      <c r="G219" s="19" t="n"/>
      <c r="H219" s="19" t="n"/>
    </row>
    <row r="220">
      <c r="A220" s="19" t="n"/>
      <c r="B220" s="19" t="n"/>
      <c r="C220" s="19" t="n"/>
      <c r="D220" s="19" t="n"/>
      <c r="E220" s="19" t="n"/>
      <c r="F220" s="19" t="n"/>
      <c r="G220" s="19" t="n"/>
      <c r="H220" s="19" t="n"/>
    </row>
    <row r="221">
      <c r="A221" s="19" t="n"/>
      <c r="B221" s="19" t="n"/>
      <c r="C221" s="19" t="n"/>
      <c r="D221" s="19" t="n"/>
      <c r="E221" s="19" t="n"/>
      <c r="F221" s="19" t="n"/>
      <c r="G221" s="19" t="n"/>
      <c r="H221" s="19" t="n"/>
    </row>
    <row r="222">
      <c r="A222" s="19" t="n"/>
      <c r="B222" s="19" t="n"/>
      <c r="C222" s="19" t="n"/>
      <c r="D222" s="19" t="n"/>
      <c r="E222" s="19" t="n"/>
      <c r="F222" s="19" t="n"/>
      <c r="G222" s="19" t="n"/>
      <c r="H222" s="19" t="n"/>
    </row>
    <row r="223">
      <c r="A223" s="19" t="n"/>
      <c r="B223" s="19" t="n"/>
      <c r="C223" s="19" t="n"/>
      <c r="D223" s="19" t="n"/>
      <c r="E223" s="19" t="n"/>
      <c r="F223" s="19" t="n"/>
      <c r="G223" s="19" t="n"/>
      <c r="H223" s="19" t="n"/>
    </row>
    <row r="224">
      <c r="A224" s="19" t="n"/>
      <c r="B224" s="19" t="n"/>
      <c r="C224" s="19" t="n"/>
      <c r="D224" s="19" t="n"/>
      <c r="E224" s="19" t="n"/>
      <c r="F224" s="19" t="n"/>
      <c r="G224" s="19" t="n"/>
      <c r="H224" s="19" t="n"/>
    </row>
    <row r="225">
      <c r="A225" s="19" t="n"/>
      <c r="B225" s="19" t="n"/>
      <c r="C225" s="19" t="n"/>
      <c r="D225" s="19" t="n"/>
      <c r="E225" s="19" t="n"/>
      <c r="F225" s="19" t="n"/>
      <c r="G225" s="19" t="n"/>
      <c r="H225" s="19" t="n"/>
    </row>
    <row r="226">
      <c r="A226" s="19" t="n"/>
      <c r="B226" s="19" t="n"/>
      <c r="C226" s="19" t="n"/>
      <c r="D226" s="19" t="n"/>
      <c r="E226" s="19" t="n"/>
      <c r="F226" s="19" t="n"/>
      <c r="G226" s="19" t="n"/>
      <c r="H226" s="19" t="n"/>
    </row>
    <row r="227">
      <c r="A227" s="19" t="n"/>
      <c r="B227" s="19" t="n"/>
      <c r="C227" s="19" t="n"/>
      <c r="D227" s="19" t="n"/>
      <c r="E227" s="19" t="n"/>
      <c r="F227" s="19" t="n"/>
      <c r="G227" s="19" t="n"/>
      <c r="H227" s="19" t="n"/>
    </row>
    <row r="228">
      <c r="A228" s="19" t="n"/>
      <c r="B228" s="19" t="n"/>
      <c r="C228" s="19" t="n"/>
      <c r="D228" s="19" t="n"/>
      <c r="E228" s="19" t="n"/>
      <c r="F228" s="19" t="n"/>
      <c r="G228" s="19" t="n"/>
      <c r="H228" s="19" t="n"/>
    </row>
    <row r="229">
      <c r="A229" s="19" t="n"/>
      <c r="B229" s="19" t="n"/>
      <c r="C229" s="19" t="n"/>
      <c r="D229" s="19" t="n"/>
      <c r="E229" s="19" t="n"/>
      <c r="F229" s="19" t="n"/>
      <c r="G229" s="19" t="n"/>
      <c r="H229" s="19" t="n"/>
    </row>
    <row r="230">
      <c r="A230" s="19" t="n"/>
      <c r="B230" s="19" t="n"/>
      <c r="C230" s="19" t="n"/>
      <c r="D230" s="19" t="n"/>
      <c r="E230" s="19" t="n"/>
      <c r="F230" s="19" t="n"/>
      <c r="G230" s="19" t="n"/>
      <c r="H230" s="19" t="n"/>
    </row>
    <row r="231">
      <c r="A231" s="19" t="n"/>
      <c r="B231" s="19" t="n"/>
      <c r="C231" s="19" t="n"/>
      <c r="D231" s="19" t="n"/>
      <c r="E231" s="19" t="n"/>
      <c r="F231" s="19" t="n"/>
      <c r="G231" s="19" t="n"/>
      <c r="H231" s="19" t="n"/>
    </row>
    <row r="232">
      <c r="A232" s="19" t="n"/>
      <c r="B232" s="19" t="n"/>
      <c r="C232" s="19" t="n"/>
      <c r="D232" s="19" t="n"/>
      <c r="E232" s="19" t="n"/>
      <c r="F232" s="19" t="n"/>
      <c r="G232" s="19" t="n"/>
      <c r="H232" s="19" t="n"/>
    </row>
    <row r="233">
      <c r="A233" s="19" t="n"/>
      <c r="B233" s="19" t="n"/>
      <c r="C233" s="19" t="n"/>
      <c r="D233" s="19" t="n"/>
      <c r="E233" s="19" t="n"/>
      <c r="F233" s="19" t="n"/>
      <c r="G233" s="19" t="n"/>
      <c r="H233" s="19" t="n"/>
    </row>
    <row r="234">
      <c r="A234" s="19" t="n"/>
      <c r="B234" s="19" t="n"/>
      <c r="C234" s="19" t="n"/>
      <c r="D234" s="19" t="n"/>
      <c r="E234" s="19" t="n"/>
      <c r="F234" s="19" t="n"/>
      <c r="G234" s="19" t="n"/>
      <c r="H234" s="19" t="n"/>
    </row>
    <row r="235">
      <c r="A235" s="19" t="n"/>
      <c r="B235" s="19" t="n"/>
      <c r="C235" s="19" t="n"/>
      <c r="D235" s="19" t="n"/>
      <c r="E235" s="19" t="n"/>
      <c r="F235" s="19" t="n"/>
      <c r="G235" s="19" t="n"/>
      <c r="H235" s="19" t="n"/>
    </row>
    <row r="236">
      <c r="A236" s="19" t="n"/>
      <c r="B236" s="19" t="n"/>
      <c r="C236" s="19" t="n"/>
      <c r="D236" s="19" t="n"/>
      <c r="E236" s="19" t="n"/>
      <c r="F236" s="19" t="n"/>
      <c r="G236" s="19" t="n"/>
      <c r="H236" s="19" t="n"/>
    </row>
    <row r="237">
      <c r="A237" s="19" t="n"/>
      <c r="B237" s="19" t="n"/>
      <c r="C237" s="19" t="n"/>
      <c r="D237" s="19" t="n"/>
      <c r="E237" s="19" t="n"/>
      <c r="F237" s="19" t="n"/>
      <c r="G237" s="19" t="n"/>
      <c r="H237" s="19" t="n"/>
    </row>
    <row r="238">
      <c r="A238" s="19" t="n"/>
      <c r="B238" s="19" t="n"/>
      <c r="C238" s="19" t="n"/>
      <c r="D238" s="19" t="n"/>
      <c r="E238" s="19" t="n"/>
      <c r="F238" s="19" t="n"/>
      <c r="G238" s="19" t="n"/>
      <c r="H238" s="19" t="n"/>
    </row>
    <row r="239">
      <c r="A239" s="19" t="n"/>
      <c r="B239" s="19" t="n"/>
      <c r="C239" s="19" t="n"/>
      <c r="D239" s="19" t="n"/>
      <c r="E239" s="19" t="n"/>
      <c r="F239" s="19" t="n"/>
      <c r="G239" s="19" t="n"/>
      <c r="H239" s="19" t="n"/>
    </row>
    <row r="240">
      <c r="A240" s="19" t="n"/>
      <c r="B240" s="19" t="n"/>
      <c r="C240" s="19" t="n"/>
      <c r="D240" s="19" t="n"/>
      <c r="E240" s="19" t="n"/>
      <c r="F240" s="19" t="n"/>
      <c r="G240" s="19" t="n"/>
      <c r="H240" s="19" t="n"/>
    </row>
    <row r="241">
      <c r="A241" s="19" t="n"/>
      <c r="B241" s="19" t="n"/>
      <c r="C241" s="19" t="n"/>
      <c r="D241" s="19" t="n"/>
      <c r="E241" s="19" t="n"/>
      <c r="F241" s="19" t="n"/>
      <c r="G241" s="19" t="n"/>
      <c r="H241" s="19" t="n"/>
    </row>
    <row r="242">
      <c r="A242" s="19" t="n"/>
      <c r="B242" s="19" t="n"/>
      <c r="C242" s="19" t="n"/>
      <c r="D242" s="19" t="n"/>
      <c r="E242" s="19" t="n"/>
      <c r="F242" s="19" t="n"/>
      <c r="G242" s="19" t="n"/>
      <c r="H242" s="19" t="n"/>
    </row>
    <row r="243">
      <c r="A243" s="19" t="n"/>
      <c r="B243" s="19" t="n"/>
      <c r="C243" s="19" t="n"/>
      <c r="D243" s="19" t="n"/>
      <c r="E243" s="19" t="n"/>
      <c r="F243" s="19" t="n"/>
      <c r="G243" s="19" t="n"/>
      <c r="H243" s="19" t="n"/>
    </row>
    <row r="244">
      <c r="A244" s="19" t="n"/>
      <c r="B244" s="19" t="n"/>
      <c r="C244" s="19" t="n"/>
      <c r="D244" s="19" t="n"/>
      <c r="E244" s="19" t="n"/>
      <c r="F244" s="19" t="n"/>
      <c r="G244" s="19" t="n"/>
      <c r="H244" s="19" t="n"/>
    </row>
    <row r="245">
      <c r="A245" s="19" t="n"/>
      <c r="B245" s="19" t="n"/>
      <c r="C245" s="19" t="n"/>
      <c r="D245" s="19" t="n"/>
      <c r="E245" s="19" t="n"/>
      <c r="F245" s="19" t="n"/>
      <c r="G245" s="19" t="n"/>
      <c r="H245" s="19" t="n"/>
    </row>
    <row r="246">
      <c r="A246" s="19" t="n"/>
      <c r="B246" s="19" t="n"/>
      <c r="C246" s="19" t="n"/>
      <c r="D246" s="19" t="n"/>
      <c r="E246" s="19" t="n"/>
      <c r="F246" s="19" t="n"/>
      <c r="G246" s="19" t="n"/>
      <c r="H246" s="19" t="n"/>
    </row>
    <row r="247">
      <c r="A247" s="19" t="n"/>
      <c r="B247" s="19" t="n"/>
      <c r="C247" s="19" t="n"/>
      <c r="D247" s="19" t="n"/>
      <c r="E247" s="19" t="n"/>
      <c r="F247" s="19" t="n"/>
      <c r="G247" s="19" t="n"/>
      <c r="H247" s="19" t="n"/>
    </row>
    <row r="248">
      <c r="A248" s="19" t="n"/>
      <c r="B248" s="19" t="n"/>
      <c r="C248" s="19" t="n"/>
      <c r="D248" s="19" t="n"/>
      <c r="E248" s="19" t="n"/>
      <c r="F248" s="19" t="n"/>
      <c r="G248" s="19" t="n"/>
      <c r="H248" s="19" t="n"/>
    </row>
    <row r="249">
      <c r="A249" s="19" t="n"/>
      <c r="B249" s="19" t="n"/>
      <c r="C249" s="19" t="n"/>
      <c r="D249" s="19" t="n"/>
      <c r="E249" s="19" t="n"/>
      <c r="F249" s="19" t="n"/>
      <c r="G249" s="19" t="n"/>
      <c r="H249" s="19" t="n"/>
    </row>
    <row r="250">
      <c r="A250" s="19" t="n"/>
      <c r="B250" s="19" t="n"/>
      <c r="C250" s="19" t="n"/>
      <c r="D250" s="19" t="n"/>
      <c r="E250" s="19" t="n"/>
      <c r="F250" s="19" t="n"/>
      <c r="G250" s="19" t="n"/>
      <c r="H250" s="19" t="n"/>
    </row>
    <row r="251">
      <c r="A251" s="19" t="n"/>
      <c r="B251" s="19" t="n"/>
      <c r="C251" s="19" t="n"/>
      <c r="D251" s="19" t="n"/>
      <c r="E251" s="19" t="n"/>
      <c r="F251" s="19" t="n"/>
      <c r="G251" s="19" t="n"/>
      <c r="H251" s="19" t="n"/>
    </row>
    <row r="252">
      <c r="A252" s="19" t="n"/>
      <c r="B252" s="19" t="n"/>
      <c r="C252" s="19" t="n"/>
      <c r="D252" s="19" t="n"/>
      <c r="E252" s="19" t="n"/>
      <c r="F252" s="19" t="n"/>
      <c r="G252" s="19" t="n"/>
      <c r="H252" s="19" t="n"/>
    </row>
    <row r="253">
      <c r="A253" s="19" t="n"/>
      <c r="B253" s="19" t="n"/>
      <c r="C253" s="19" t="n"/>
      <c r="D253" s="19" t="n"/>
      <c r="E253" s="19" t="n"/>
      <c r="F253" s="19" t="n"/>
      <c r="G253" s="19" t="n"/>
      <c r="H253" s="19" t="n"/>
    </row>
    <row r="254">
      <c r="A254" s="19" t="n"/>
      <c r="B254" s="19" t="n"/>
      <c r="C254" s="19" t="n"/>
      <c r="D254" s="19" t="n"/>
      <c r="E254" s="19" t="n"/>
      <c r="F254" s="19" t="n"/>
      <c r="G254" s="19" t="n"/>
      <c r="H254" s="19" t="n"/>
    </row>
    <row r="255">
      <c r="A255" s="19" t="n"/>
      <c r="B255" s="19" t="n"/>
      <c r="C255" s="19" t="n"/>
      <c r="D255" s="19" t="n"/>
      <c r="E255" s="19" t="n"/>
      <c r="F255" s="19" t="n"/>
      <c r="G255" s="19" t="n"/>
      <c r="H255" s="19" t="n"/>
    </row>
    <row r="256">
      <c r="A256" s="19" t="n"/>
      <c r="B256" s="19" t="n"/>
      <c r="C256" s="19" t="n"/>
      <c r="D256" s="19" t="n"/>
      <c r="E256" s="19" t="n"/>
      <c r="F256" s="19" t="n"/>
      <c r="G256" s="19" t="n"/>
      <c r="H256" s="19" t="n"/>
    </row>
    <row r="257">
      <c r="A257" s="19" t="n"/>
      <c r="B257" s="19" t="n"/>
      <c r="C257" s="19" t="n"/>
      <c r="D257" s="19" t="n"/>
      <c r="E257" s="19" t="n"/>
      <c r="F257" s="19" t="n"/>
      <c r="G257" s="19" t="n"/>
      <c r="H257" s="19" t="n"/>
    </row>
    <row r="258">
      <c r="A258" s="19" t="n"/>
      <c r="B258" s="19" t="n"/>
      <c r="C258" s="19" t="n"/>
      <c r="D258" s="19" t="n"/>
      <c r="E258" s="19" t="n"/>
      <c r="F258" s="19" t="n"/>
      <c r="G258" s="19" t="n"/>
      <c r="H258" s="19" t="n"/>
    </row>
    <row r="259">
      <c r="A259" s="19" t="n"/>
      <c r="B259" s="19" t="n"/>
      <c r="C259" s="19" t="n"/>
      <c r="D259" s="19" t="n"/>
      <c r="E259" s="19" t="n"/>
      <c r="F259" s="19" t="n"/>
      <c r="G259" s="19" t="n"/>
      <c r="H259" s="19" t="n"/>
    </row>
    <row r="260">
      <c r="A260" s="19" t="n"/>
      <c r="B260" s="19" t="n"/>
      <c r="C260" s="19" t="n"/>
      <c r="D260" s="19" t="n"/>
      <c r="E260" s="19" t="n"/>
      <c r="F260" s="19" t="n"/>
      <c r="G260" s="19" t="n"/>
      <c r="H260" s="19" t="n"/>
    </row>
    <row r="261">
      <c r="A261" s="19" t="n"/>
      <c r="B261" s="19" t="n"/>
      <c r="C261" s="19" t="n"/>
      <c r="D261" s="19" t="n"/>
      <c r="E261" s="19" t="n"/>
      <c r="F261" s="19" t="n"/>
      <c r="G261" s="19" t="n"/>
      <c r="H261" s="19" t="n"/>
    </row>
    <row r="262">
      <c r="A262" s="19" t="n"/>
      <c r="B262" s="19" t="n"/>
      <c r="C262" s="19" t="n"/>
      <c r="D262" s="19" t="n"/>
      <c r="E262" s="19" t="n"/>
      <c r="F262" s="19" t="n"/>
      <c r="G262" s="19" t="n"/>
      <c r="H262" s="19" t="n"/>
    </row>
    <row r="263">
      <c r="A263" s="19" t="n"/>
      <c r="B263" s="19" t="n"/>
      <c r="C263" s="19" t="n"/>
      <c r="D263" s="19" t="n"/>
      <c r="E263" s="19" t="n"/>
      <c r="F263" s="19" t="n"/>
      <c r="G263" s="19" t="n"/>
      <c r="H263" s="19" t="n"/>
    </row>
    <row r="264">
      <c r="A264" s="19" t="n"/>
      <c r="B264" s="19" t="n"/>
      <c r="C264" s="19" t="n"/>
      <c r="D264" s="19" t="n"/>
      <c r="E264" s="19" t="n"/>
      <c r="F264" s="19" t="n"/>
      <c r="G264" s="19" t="n"/>
      <c r="H264" s="19" t="n"/>
    </row>
    <row r="265">
      <c r="A265" s="19" t="n"/>
      <c r="B265" s="19" t="n"/>
      <c r="C265" s="19" t="n"/>
      <c r="D265" s="19" t="n"/>
      <c r="E265" s="19" t="n"/>
      <c r="F265" s="19" t="n"/>
      <c r="G265" s="19" t="n"/>
      <c r="H265" s="19" t="n"/>
    </row>
    <row r="266">
      <c r="A266" s="19" t="n"/>
      <c r="B266" s="19" t="n"/>
      <c r="C266" s="19" t="n"/>
      <c r="D266" s="19" t="n"/>
      <c r="E266" s="19" t="n"/>
      <c r="F266" s="19" t="n"/>
      <c r="G266" s="19" t="n"/>
      <c r="H266" s="19" t="n"/>
    </row>
    <row r="267">
      <c r="A267" s="19" t="n"/>
      <c r="B267" s="19" t="n"/>
      <c r="C267" s="19" t="n"/>
      <c r="D267" s="19" t="n"/>
      <c r="E267" s="19" t="n"/>
      <c r="F267" s="19" t="n"/>
      <c r="G267" s="19" t="n"/>
      <c r="H267" s="19" t="n"/>
    </row>
    <row r="268">
      <c r="A268" s="19" t="n"/>
      <c r="B268" s="19" t="n"/>
      <c r="C268" s="19" t="n"/>
      <c r="D268" s="19" t="n"/>
      <c r="E268" s="19" t="n"/>
      <c r="F268" s="19" t="n"/>
      <c r="G268" s="19" t="n"/>
      <c r="H268" s="19" t="n"/>
    </row>
    <row r="269">
      <c r="A269" s="19" t="n"/>
      <c r="B269" s="19" t="n"/>
      <c r="C269" s="19" t="n"/>
      <c r="D269" s="19" t="n"/>
      <c r="E269" s="19" t="n"/>
      <c r="F269" s="19" t="n"/>
      <c r="G269" s="19" t="n"/>
      <c r="H269" s="19" t="n"/>
    </row>
    <row r="270">
      <c r="A270" s="19" t="n"/>
      <c r="B270" s="19" t="n"/>
      <c r="C270" s="19" t="n"/>
      <c r="D270" s="19" t="n"/>
      <c r="E270" s="19" t="n"/>
      <c r="F270" s="19" t="n"/>
      <c r="G270" s="19" t="n"/>
      <c r="H270" s="19" t="n"/>
    </row>
    <row r="271">
      <c r="A271" s="19" t="n"/>
      <c r="B271" s="19" t="n"/>
      <c r="C271" s="19" t="n"/>
      <c r="D271" s="19" t="n"/>
      <c r="E271" s="19" t="n"/>
      <c r="F271" s="19" t="n"/>
      <c r="G271" s="19" t="n"/>
      <c r="H271" s="19" t="n"/>
    </row>
    <row r="272">
      <c r="A272" s="19" t="n"/>
      <c r="B272" s="19" t="n"/>
      <c r="C272" s="19" t="n"/>
      <c r="D272" s="19" t="n"/>
      <c r="E272" s="19" t="n"/>
      <c r="F272" s="19" t="n"/>
      <c r="G272" s="19" t="n"/>
      <c r="H272" s="19" t="n"/>
    </row>
    <row r="273">
      <c r="A273" s="19" t="n"/>
      <c r="B273" s="19" t="n"/>
      <c r="C273" s="19" t="n"/>
      <c r="D273" s="19" t="n"/>
      <c r="E273" s="19" t="n"/>
      <c r="F273" s="19" t="n"/>
      <c r="G273" s="19" t="n"/>
      <c r="H273" s="19" t="n"/>
    </row>
    <row r="274">
      <c r="A274" s="19" t="n"/>
      <c r="B274" s="19" t="n"/>
      <c r="C274" s="19" t="n"/>
      <c r="D274" s="19" t="n"/>
      <c r="E274" s="19" t="n"/>
      <c r="F274" s="19" t="n"/>
      <c r="G274" s="19" t="n"/>
      <c r="H274" s="19" t="n"/>
    </row>
    <row r="275">
      <c r="A275" s="19" t="n"/>
      <c r="B275" s="19" t="n"/>
      <c r="C275" s="19" t="n"/>
      <c r="D275" s="19" t="n"/>
      <c r="E275" s="19" t="n"/>
      <c r="F275" s="19" t="n"/>
      <c r="G275" s="19" t="n"/>
      <c r="H275" s="19" t="n"/>
    </row>
    <row r="276">
      <c r="A276" s="19" t="n"/>
      <c r="B276" s="19" t="n"/>
      <c r="C276" s="19" t="n"/>
      <c r="D276" s="19" t="n"/>
      <c r="E276" s="19" t="n"/>
      <c r="F276" s="19" t="n"/>
      <c r="G276" s="19" t="n"/>
      <c r="H276" s="19" t="n"/>
    </row>
    <row r="277">
      <c r="A277" s="19" t="n"/>
      <c r="B277" s="19" t="n"/>
      <c r="C277" s="19" t="n"/>
      <c r="D277" s="19" t="n"/>
      <c r="E277" s="19" t="n"/>
      <c r="F277" s="19" t="n"/>
      <c r="G277" s="19" t="n"/>
      <c r="H277" s="19" t="n"/>
    </row>
    <row r="278">
      <c r="A278" s="19" t="n"/>
      <c r="B278" s="19" t="n"/>
      <c r="C278" s="19" t="n"/>
      <c r="D278" s="19" t="n"/>
      <c r="E278" s="19" t="n"/>
      <c r="F278" s="19" t="n"/>
      <c r="G278" s="19" t="n"/>
      <c r="H278" s="19" t="n"/>
    </row>
    <row r="279">
      <c r="A279" s="19" t="n"/>
      <c r="B279" s="19" t="n"/>
      <c r="C279" s="19" t="n"/>
      <c r="D279" s="19" t="n"/>
      <c r="E279" s="19" t="n"/>
      <c r="F279" s="19" t="n"/>
      <c r="G279" s="19" t="n"/>
      <c r="H279" s="19" t="n"/>
    </row>
    <row r="280">
      <c r="A280" s="19" t="n"/>
      <c r="B280" s="19" t="n"/>
      <c r="C280" s="19" t="n"/>
      <c r="D280" s="19" t="n"/>
      <c r="E280" s="19" t="n"/>
      <c r="F280" s="19" t="n"/>
      <c r="G280" s="19" t="n"/>
      <c r="H280" s="19" t="n"/>
    </row>
    <row r="281">
      <c r="A281" s="19" t="n"/>
      <c r="B281" s="19" t="n"/>
      <c r="C281" s="19" t="n"/>
      <c r="D281" s="19" t="n"/>
      <c r="E281" s="19" t="n"/>
      <c r="F281" s="19" t="n"/>
      <c r="G281" s="19" t="n"/>
      <c r="H281" s="19" t="n"/>
    </row>
    <row r="282">
      <c r="A282" s="19" t="n"/>
      <c r="B282" s="19" t="n"/>
      <c r="C282" s="19" t="n"/>
      <c r="D282" s="19" t="n"/>
      <c r="E282" s="19" t="n"/>
      <c r="F282" s="19" t="n"/>
      <c r="G282" s="19" t="n"/>
      <c r="H282" s="19" t="n"/>
    </row>
    <row r="283">
      <c r="A283" s="19" t="n"/>
      <c r="B283" s="19" t="n"/>
      <c r="C283" s="19" t="n"/>
      <c r="D283" s="19" t="n"/>
      <c r="E283" s="19" t="n"/>
      <c r="F283" s="19" t="n"/>
      <c r="G283" s="19" t="n"/>
      <c r="H283" s="19" t="n"/>
    </row>
    <row r="284">
      <c r="A284" s="19" t="n"/>
      <c r="B284" s="19" t="n"/>
      <c r="C284" s="19" t="n"/>
      <c r="D284" s="19" t="n"/>
      <c r="E284" s="19" t="n"/>
      <c r="F284" s="19" t="n"/>
      <c r="G284" s="19" t="n"/>
      <c r="H284" s="19" t="n"/>
    </row>
    <row r="285">
      <c r="A285" s="19" t="n"/>
      <c r="B285" s="19" t="n"/>
      <c r="C285" s="19" t="n"/>
      <c r="D285" s="19" t="n"/>
      <c r="E285" s="19" t="n"/>
      <c r="F285" s="19" t="n"/>
      <c r="G285" s="19" t="n"/>
      <c r="H285" s="19" t="n"/>
    </row>
    <row r="286">
      <c r="A286" s="19" t="n"/>
      <c r="B286" s="19" t="n"/>
      <c r="C286" s="19" t="n"/>
      <c r="D286" s="19" t="n"/>
      <c r="E286" s="19" t="n"/>
      <c r="F286" s="19" t="n"/>
      <c r="G286" s="19" t="n"/>
      <c r="H286" s="19" t="n"/>
    </row>
    <row r="287">
      <c r="A287" s="19" t="n"/>
      <c r="B287" s="19" t="n"/>
      <c r="C287" s="19" t="n"/>
      <c r="D287" s="19" t="n"/>
      <c r="E287" s="19" t="n"/>
      <c r="F287" s="19" t="n"/>
      <c r="G287" s="19" t="n"/>
      <c r="H287" s="19" t="n"/>
    </row>
    <row r="288">
      <c r="A288" s="19" t="n"/>
      <c r="B288" s="19" t="n"/>
      <c r="C288" s="19" t="n"/>
      <c r="D288" s="19" t="n"/>
      <c r="E288" s="19" t="n"/>
      <c r="F288" s="19" t="n"/>
      <c r="G288" s="19" t="n"/>
      <c r="H288" s="19" t="n"/>
    </row>
    <row r="289">
      <c r="A289" s="19" t="n"/>
      <c r="B289" s="19" t="n"/>
      <c r="C289" s="19" t="n"/>
      <c r="D289" s="19" t="n"/>
      <c r="E289" s="19" t="n"/>
      <c r="F289" s="19" t="n"/>
      <c r="G289" s="19" t="n"/>
      <c r="H289" s="19" t="n"/>
    </row>
    <row r="290">
      <c r="A290" s="19" t="n"/>
      <c r="B290" s="19" t="n"/>
      <c r="C290" s="19" t="n"/>
      <c r="D290" s="19" t="n"/>
      <c r="E290" s="19" t="n"/>
      <c r="F290" s="19" t="n"/>
      <c r="G290" s="19" t="n"/>
      <c r="H290" s="19" t="n"/>
    </row>
    <row r="291">
      <c r="A291" s="19" t="n"/>
      <c r="B291" s="19" t="n"/>
      <c r="C291" s="19" t="n"/>
      <c r="D291" s="19" t="n"/>
      <c r="E291" s="19" t="n"/>
      <c r="F291" s="19" t="n"/>
      <c r="G291" s="19" t="n"/>
      <c r="H291" s="19" t="n"/>
    </row>
    <row r="292">
      <c r="A292" s="19" t="n"/>
      <c r="B292" s="19" t="n"/>
      <c r="C292" s="19" t="n"/>
      <c r="D292" s="19" t="n"/>
      <c r="E292" s="19" t="n"/>
      <c r="F292" s="19" t="n"/>
      <c r="G292" s="19" t="n"/>
      <c r="H292" s="19" t="n"/>
    </row>
    <row r="293">
      <c r="A293" s="19" t="n"/>
      <c r="B293" s="19" t="n"/>
      <c r="C293" s="19" t="n"/>
      <c r="D293" s="19" t="n"/>
      <c r="E293" s="19" t="n"/>
      <c r="F293" s="19" t="n"/>
      <c r="G293" s="19" t="n"/>
      <c r="H293" s="19" t="n"/>
    </row>
    <row r="294">
      <c r="A294" s="19" t="n"/>
      <c r="B294" s="19" t="n"/>
      <c r="C294" s="19" t="n"/>
      <c r="D294" s="19" t="n"/>
      <c r="E294" s="19" t="n"/>
      <c r="F294" s="19" t="n"/>
      <c r="G294" s="19" t="n"/>
      <c r="H294" s="19" t="n"/>
    </row>
    <row r="295">
      <c r="A295" s="19" t="n"/>
      <c r="B295" s="19" t="n"/>
      <c r="C295" s="19" t="n"/>
      <c r="D295" s="19" t="n"/>
      <c r="E295" s="19" t="n"/>
      <c r="F295" s="19" t="n"/>
      <c r="G295" s="19" t="n"/>
      <c r="H295" s="19" t="n"/>
    </row>
    <row r="296">
      <c r="A296" s="19" t="n"/>
      <c r="B296" s="19" t="n"/>
      <c r="C296" s="19" t="n"/>
      <c r="D296" s="19" t="n"/>
      <c r="E296" s="19" t="n"/>
      <c r="F296" s="19" t="n"/>
      <c r="G296" s="19" t="n"/>
      <c r="H296" s="19" t="n"/>
    </row>
    <row r="297">
      <c r="A297" s="19" t="n"/>
      <c r="B297" s="19" t="n"/>
      <c r="C297" s="19" t="n"/>
      <c r="D297" s="19" t="n"/>
      <c r="E297" s="19" t="n"/>
      <c r="F297" s="19" t="n"/>
      <c r="G297" s="19" t="n"/>
      <c r="H297" s="19" t="n"/>
    </row>
    <row r="298">
      <c r="A298" s="19" t="n"/>
      <c r="B298" s="19" t="n"/>
      <c r="C298" s="19" t="n"/>
      <c r="D298" s="19" t="n"/>
      <c r="E298" s="19" t="n"/>
      <c r="F298" s="19" t="n"/>
      <c r="G298" s="19" t="n"/>
      <c r="H298" s="19" t="n"/>
    </row>
    <row r="299">
      <c r="A299" s="19" t="n"/>
      <c r="B299" s="19" t="n"/>
      <c r="C299" s="19" t="n"/>
      <c r="D299" s="19" t="n"/>
      <c r="E299" s="19" t="n"/>
      <c r="F299" s="19" t="n"/>
      <c r="G299" s="19" t="n"/>
      <c r="H299" s="19" t="n"/>
    </row>
    <row r="300">
      <c r="A300" s="19" t="n"/>
      <c r="B300" s="19" t="n"/>
      <c r="C300" s="19" t="n"/>
      <c r="D300" s="19" t="n"/>
      <c r="E300" s="19" t="n"/>
      <c r="F300" s="19" t="n"/>
      <c r="G300" s="19" t="n"/>
      <c r="H300" s="19"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5" t="inlineStr">
        <is>
          <t>R2</t>
        </is>
      </c>
      <c r="B5" t="n">
        <v>1</v>
      </c>
      <c r="C5" t="inlineStr">
        <is>
          <t>AGG-NBE12 (cáp trục lề trái)</t>
        </is>
      </c>
    </row>
    <row r="6">
      <c r="A6" s="65" t="inlineStr">
        <is>
          <t>R2</t>
        </is>
      </c>
      <c r="B6" t="n">
        <v>2</v>
      </c>
      <c r="C6" t="inlineStr">
        <is>
          <t>MX_NVT_01</t>
        </is>
      </c>
    </row>
    <row r="7">
      <c r="A7" s="65" t="inlineStr">
        <is>
          <t>R2</t>
        </is>
      </c>
      <c r="B7" t="n">
        <v>3</v>
      </c>
      <c r="C7" t="inlineStr">
        <is>
          <t>HNB054</t>
        </is>
      </c>
    </row>
    <row r="8">
      <c r="A8" s="65" t="inlineStr">
        <is>
          <t>R2</t>
        </is>
      </c>
      <c r="B8" t="n">
        <v>4</v>
      </c>
      <c r="C8" t="inlineStr">
        <is>
          <t>MX_NVT_01</t>
        </is>
      </c>
    </row>
    <row r="9">
      <c r="A9" s="65" t="inlineStr">
        <is>
          <t>R2</t>
        </is>
      </c>
      <c r="B9" t="n">
        <v>5</v>
      </c>
      <c r="C9" t="inlineStr">
        <is>
          <t>MX_NVT_02A</t>
        </is>
      </c>
    </row>
    <row r="10">
      <c r="A10" s="65" t="inlineStr">
        <is>
          <t>R2</t>
        </is>
      </c>
      <c r="B10" t="n">
        <v>6</v>
      </c>
      <c r="C10" t="inlineStr">
        <is>
          <t>HNB006</t>
        </is>
      </c>
    </row>
    <row r="11">
      <c r="A11" s="65" t="inlineStr">
        <is>
          <t>R2</t>
        </is>
      </c>
      <c r="B11" t="n">
        <v>7</v>
      </c>
      <c r="C11" t="inlineStr">
        <is>
          <t>MX_NVT_02A</t>
        </is>
      </c>
    </row>
    <row r="12">
      <c r="A12" s="65" t="inlineStr">
        <is>
          <t>R2</t>
        </is>
      </c>
      <c r="B12" t="n">
        <v>8</v>
      </c>
      <c r="C12" s="64" t="inlineStr">
        <is>
          <t>lề trái</t>
        </is>
      </c>
    </row>
    <row r="13">
      <c r="A13" s="65" t="inlineStr">
        <is>
          <t>R2</t>
        </is>
      </c>
      <c r="B13" t="n">
        <v>9</v>
      </c>
      <c r="C13" t="inlineStr">
        <is>
          <t>MX_NVT_03A</t>
        </is>
      </c>
    </row>
    <row r="14">
      <c r="A14" s="65" t="inlineStr">
        <is>
          <t>R2</t>
        </is>
      </c>
      <c r="B14" t="n">
        <v>10</v>
      </c>
      <c r="C14" t="inlineStr">
        <is>
          <t>HNB091</t>
        </is>
      </c>
    </row>
    <row r="15">
      <c r="A15" s="65" t="inlineStr">
        <is>
          <t>R2</t>
        </is>
      </c>
      <c r="B15" t="n">
        <v>11</v>
      </c>
      <c r="C15" t="inlineStr">
        <is>
          <t>MX_NVT_03B</t>
        </is>
      </c>
    </row>
    <row r="16">
      <c r="A16" s="65" t="inlineStr">
        <is>
          <t>R2</t>
        </is>
      </c>
      <c r="B16" t="n">
        <v>12</v>
      </c>
      <c r="C16" s="64" t="inlineStr">
        <is>
          <t>lề phải</t>
        </is>
      </c>
    </row>
    <row r="17">
      <c r="A17" s="65" t="inlineStr">
        <is>
          <t>R2</t>
        </is>
      </c>
      <c r="B17" t="n">
        <v>13</v>
      </c>
      <c r="C17" t="inlineStr">
        <is>
          <t>MX</t>
        </is>
      </c>
    </row>
    <row r="18">
      <c r="A18" s="65" t="inlineStr">
        <is>
          <t>R2</t>
        </is>
      </c>
      <c r="B18" t="n">
        <v>14</v>
      </c>
      <c r="C18" t="inlineStr">
        <is>
          <t>AGG-NBE22</t>
        </is>
      </c>
    </row>
    <row r="20">
      <c r="A20" s="66" t="inlineStr">
        <is>
          <t>R1</t>
        </is>
      </c>
      <c r="B20" t="n">
        <v>1</v>
      </c>
      <c r="C20" t="inlineStr">
        <is>
          <t>AGG-NBE12</t>
        </is>
      </c>
    </row>
    <row r="21">
      <c r="A21" s="66" t="inlineStr">
        <is>
          <t>R1</t>
        </is>
      </c>
      <c r="B21" t="n">
        <v>2</v>
      </c>
      <c r="C21" s="64" t="inlineStr">
        <is>
          <t>lề trái</t>
        </is>
      </c>
    </row>
    <row r="22">
      <c r="A22" s="66" t="inlineStr">
        <is>
          <t>R1</t>
        </is>
      </c>
      <c r="B22" t="n">
        <v>3</v>
      </c>
      <c r="C22" t="inlineStr">
        <is>
          <t>MX_NVT_03A</t>
        </is>
      </c>
    </row>
    <row r="23">
      <c r="A23" s="66" t="inlineStr">
        <is>
          <t>R1</t>
        </is>
      </c>
      <c r="B23" t="n">
        <v>4</v>
      </c>
      <c r="C23" s="64" t="inlineStr">
        <is>
          <t>lề trái</t>
        </is>
      </c>
    </row>
    <row r="24">
      <c r="A24" s="66" t="inlineStr">
        <is>
          <t>R1</t>
        </is>
      </c>
      <c r="B24" t="n">
        <v>5</v>
      </c>
      <c r="C24" t="inlineStr">
        <is>
          <t>HNB059</t>
        </is>
      </c>
    </row>
    <row r="25">
      <c r="A25" s="66" t="inlineStr">
        <is>
          <t>R1</t>
        </is>
      </c>
      <c r="B25" t="n">
        <v>6</v>
      </c>
      <c r="C25" s="64" t="inlineStr">
        <is>
          <t>lề trái</t>
        </is>
      </c>
    </row>
    <row r="26">
      <c r="A26" s="66" t="inlineStr">
        <is>
          <t>R1</t>
        </is>
      </c>
      <c r="B26" t="n">
        <v>7</v>
      </c>
      <c r="C26" t="inlineStr">
        <is>
          <t>HNB060</t>
        </is>
      </c>
    </row>
    <row r="27">
      <c r="A27" s="66" t="inlineStr">
        <is>
          <t>R1</t>
        </is>
      </c>
      <c r="B27" t="n">
        <v>8</v>
      </c>
      <c r="C27" s="64" t="inlineStr">
        <is>
          <t>lề phải</t>
        </is>
      </c>
    </row>
    <row r="28">
      <c r="A28" s="66" t="inlineStr">
        <is>
          <t>R1</t>
        </is>
      </c>
      <c r="B28" t="n">
        <v>9</v>
      </c>
      <c r="C28" t="inlineStr">
        <is>
          <t>HNB048</t>
        </is>
      </c>
    </row>
    <row r="29">
      <c r="A29" s="66" t="inlineStr">
        <is>
          <t>R1</t>
        </is>
      </c>
      <c r="B29" t="n">
        <v>10</v>
      </c>
      <c r="C29" s="64" t="inlineStr">
        <is>
          <t>lề phải</t>
        </is>
      </c>
    </row>
    <row r="30">
      <c r="A30" s="66" t="inlineStr">
        <is>
          <t>R1</t>
        </is>
      </c>
      <c r="B30" t="n">
        <v>11</v>
      </c>
      <c r="C30" t="inlineStr">
        <is>
          <t>MX_NVT_03B</t>
        </is>
      </c>
    </row>
    <row r="31">
      <c r="A31" s="66" t="inlineStr">
        <is>
          <t>R1</t>
        </is>
      </c>
      <c r="B31" t="n">
        <v>12</v>
      </c>
      <c r="C31" t="inlineStr">
        <is>
          <t>AGG-NBE22</t>
        </is>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E24"/>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9" t="n"/>
      <c r="E4" s="9" t="n"/>
    </row>
    <row r="5">
      <c r="A5" s="4" t="inlineStr">
        <is>
          <t>R2-03</t>
        </is>
      </c>
      <c r="B5" s="4" t="inlineStr">
        <is>
          <t>chiều dài</t>
        </is>
      </c>
      <c r="C5" s="4" t="inlineStr">
        <is>
          <t>BBNT: HĐ 0.962 km vs OTDR 1.607 km (lệch 67%)</t>
        </is>
      </c>
      <c r="D5" s="9" t="n"/>
      <c r="E5" s="9" t="n"/>
    </row>
    <row r="6">
      <c r="A6" s="4" t="inlineStr">
        <is>
          <t>R2-03</t>
        </is>
      </c>
      <c r="B6" s="4" t="inlineStr">
        <is>
          <t>KML</t>
        </is>
      </c>
      <c r="C6" s="4" t="inlineStr">
        <is>
          <t>OTDR/KML = 2.06 (KML 0.779 km, OTDR 1.607 km)</t>
        </is>
      </c>
      <c r="D6" s="9" t="n"/>
      <c r="E6" s="9" t="n"/>
    </row>
    <row r="7">
      <c r="A7" s="4" t="inlineStr">
        <is>
          <t>R3-02</t>
        </is>
      </c>
      <c r="B7" s="4" t="inlineStr">
        <is>
          <t>chiều dài</t>
        </is>
      </c>
      <c r="C7" s="4" t="inlineStr">
        <is>
          <t>BBNT: HĐ 0.827 km vs OTDR 1.018 km (lệch 23%)</t>
        </is>
      </c>
      <c r="D7" s="9" t="n"/>
      <c r="E7" s="9" t="n"/>
    </row>
    <row r="8">
      <c r="A8" s="4" t="inlineStr">
        <is>
          <t>R3-03</t>
        </is>
      </c>
      <c r="B8" s="4" t="inlineStr">
        <is>
          <t>chiều dài</t>
        </is>
      </c>
      <c r="C8" s="4" t="inlineStr">
        <is>
          <t>BBNT: HĐ 1.799 km vs OTDR 2.218 km (lệch 23%)</t>
        </is>
      </c>
      <c r="D8" s="9" t="n"/>
      <c r="E8" s="9" t="n"/>
    </row>
    <row r="9">
      <c r="A9" s="4" t="inlineStr">
        <is>
          <t>R4-02</t>
        </is>
      </c>
      <c r="B9" s="4" t="inlineStr">
        <is>
          <t>chiều dài</t>
        </is>
      </c>
      <c r="C9" s="4" t="inlineStr">
        <is>
          <t>BBNT: HĐ 0.62 km vs OTDR 0.86 km (lệch 39%)</t>
        </is>
      </c>
      <c r="D9" s="9" t="n"/>
      <c r="E9" s="9" t="n"/>
    </row>
    <row r="10">
      <c r="A10" s="4" t="inlineStr">
        <is>
          <t>R4-03</t>
        </is>
      </c>
      <c r="B10" s="4" t="inlineStr">
        <is>
          <t>chiều dài</t>
        </is>
      </c>
      <c r="C10" s="4" t="inlineStr">
        <is>
          <t>BBNT: HĐ 0.827 km vs OTDR 1.325 km (lệch 60%)</t>
        </is>
      </c>
      <c r="D10" s="9" t="n"/>
      <c r="E10" s="9" t="n"/>
    </row>
    <row r="11">
      <c r="A11" s="4" t="inlineStr">
        <is>
          <t>R5-03</t>
        </is>
      </c>
      <c r="B11" s="4" t="inlineStr">
        <is>
          <t>chiều dài</t>
        </is>
      </c>
      <c r="C11" s="4" t="inlineStr">
        <is>
          <t>BBNT: HĐ 0.517 km vs OTDR 0.861 km (lệch 67%)</t>
        </is>
      </c>
      <c r="D11" s="9" t="n"/>
      <c r="E11" s="9" t="n"/>
    </row>
    <row r="12">
      <c r="A12" s="4" t="inlineStr">
        <is>
          <t>R5-03</t>
        </is>
      </c>
      <c r="B12" s="4" t="inlineStr">
        <is>
          <t>KML</t>
        </is>
      </c>
      <c r="C12" s="4" t="inlineStr">
        <is>
          <t>OTDR/KML = 2.08 (KML 0.414 km, OTDR 0.861 km)</t>
        </is>
      </c>
      <c r="D12" s="9" t="n"/>
      <c r="E12" s="9" t="n"/>
    </row>
    <row r="13">
      <c r="A13" s="4" t="inlineStr">
        <is>
          <t>R7-01</t>
        </is>
      </c>
      <c r="B13" s="4" t="inlineStr">
        <is>
          <t>đổi tuyến</t>
        </is>
      </c>
      <c r="C13" s="4" t="inlineStr">
        <is>
          <t>HĐ 10.856 km là chiều dài thiết kế (qua cáp C11); tuyến thực tế sau khi chuyển hướng dài 11.101 km</t>
        </is>
      </c>
      <c r="D13" s="9" t="n"/>
      <c r="E13" s="9" t="n"/>
    </row>
    <row r="14">
      <c r="A14" s="4" t="inlineStr">
        <is>
          <t>R7-01</t>
        </is>
      </c>
      <c r="B14" s="4" t="inlineStr">
        <is>
          <t>KML</t>
        </is>
      </c>
      <c r="C14" s="4" t="inlineStr">
        <is>
          <t>OTDR/KML = 0.74 (KML 15.047 km, OTDR 11.101 km)</t>
        </is>
      </c>
      <c r="D14" s="9" t="n"/>
      <c r="E14" s="9" t="n"/>
    </row>
    <row r="15">
      <c r="A15" s="4" t="inlineStr">
        <is>
          <t>R7-03</t>
        </is>
      </c>
      <c r="B15" s="4" t="inlineStr">
        <is>
          <t>chiều dài</t>
        </is>
      </c>
      <c r="C15" s="4" t="inlineStr">
        <is>
          <t>BBNT: HĐ 0.827 km vs OTDR 1.035 km (lệch 25%)</t>
        </is>
      </c>
      <c r="D15" s="9" t="n"/>
      <c r="E15" s="9" t="n"/>
    </row>
    <row r="16">
      <c r="A16" s="4" t="inlineStr">
        <is>
          <t>R7-05</t>
        </is>
      </c>
      <c r="B16" s="4" t="inlineStr">
        <is>
          <t>chiều dài</t>
        </is>
      </c>
      <c r="C16" s="4" t="inlineStr">
        <is>
          <t>BBNT: HĐ 0.465 km vs OTDR 0.688 km (lệch 48%)</t>
        </is>
      </c>
      <c r="D16" s="9" t="n"/>
      <c r="E16" s="9" t="n"/>
    </row>
    <row r="17">
      <c r="A17" s="4" t="inlineStr">
        <is>
          <t>R7-05</t>
        </is>
      </c>
      <c r="B17" s="4" t="inlineStr">
        <is>
          <t>KML</t>
        </is>
      </c>
      <c r="C17" s="4" t="inlineStr">
        <is>
          <t>OTDR/KML = 1.60 (KML 0.431 km, OTDR 0.688 km)</t>
        </is>
      </c>
      <c r="D17" s="9" t="n"/>
      <c r="E17" s="9" t="n"/>
    </row>
    <row r="18">
      <c r="A18" s="4" t="inlineStr">
        <is>
          <t>R8-01</t>
        </is>
      </c>
      <c r="B18" s="4" t="inlineStr">
        <is>
          <t>đổi tuyến</t>
        </is>
      </c>
      <c r="C18" s="4" t="inlineStr">
        <is>
          <t>HĐ 10.236 km là chiều dài thiết kế (qua cáp C11); tuyến thực tế sau khi chuyển hướng dài 15.404 km</t>
        </is>
      </c>
      <c r="D18" s="9" t="n"/>
      <c r="E18" s="9" t="n"/>
    </row>
    <row r="19">
      <c r="A19" s="4" t="inlineStr">
        <is>
          <t>R8-02</t>
        </is>
      </c>
      <c r="B19" s="4" t="inlineStr">
        <is>
          <t>KML</t>
        </is>
      </c>
      <c r="C19" s="4" t="inlineStr">
        <is>
          <t>OTDR/KML = 0.72 (KML 0.692 km, OTDR 0.501 km)</t>
        </is>
      </c>
      <c r="D19" s="9" t="n"/>
      <c r="E19" s="9" t="n"/>
    </row>
    <row r="20">
      <c r="A20" s="4" t="inlineStr">
        <is>
          <t>R8-03</t>
        </is>
      </c>
      <c r="B20" s="4" t="inlineStr">
        <is>
          <t>KML</t>
        </is>
      </c>
      <c r="C20" s="4" t="inlineStr">
        <is>
          <t>OTDR/KML = 2.28 (KML 0.271 km, OTDR 0.618 km)</t>
        </is>
      </c>
      <c r="D20" s="9" t="n"/>
      <c r="E20" s="9" t="n"/>
    </row>
    <row r="21">
      <c r="A21" s="4" t="inlineStr">
        <is>
          <t>BBNT</t>
        </is>
      </c>
      <c r="B21" s="4" t="inlineStr">
        <is>
          <t>số liệu</t>
        </is>
      </c>
      <c r="C21" s="4" t="inlineStr">
        <is>
          <t>giá trị HĐ 0.827 km lặp 5 lần: nghi số điền mẫu</t>
        </is>
      </c>
      <c r="D21" s="9" t="n"/>
      <c r="E21" s="9" t="n"/>
    </row>
    <row r="22">
      <c r="A22" s="4" t="inlineStr">
        <is>
          <t>ODF-HNB020</t>
        </is>
      </c>
      <c r="B22" s="4" t="inlineStr">
        <is>
          <t>ghi chú</t>
        </is>
      </c>
      <c r="C22" s="4" t="inlineStr">
        <is>
          <t>ghi "To HNB027" ở cả hai hướng: nghi sai, đúng ra HNB031 và AGG-NBE22</t>
        </is>
      </c>
      <c r="D22" s="9" t="n"/>
      <c r="E22" s="9" t="n"/>
    </row>
    <row r="23">
      <c r="A23" s="4" t="inlineStr">
        <is>
          <t>ODF-HNB014/054/006/091/048/060/059</t>
        </is>
      </c>
      <c r="B23" s="4" t="inlineStr">
        <is>
          <t>thiếu</t>
        </is>
      </c>
      <c r="C23" s="4" t="inlineStr">
        <is>
          <t>chưa ghi đầu cáp/hướng</t>
        </is>
      </c>
      <c r="D23" s="9" t="n"/>
      <c r="E23" s="9" t="n"/>
    </row>
    <row r="24">
      <c r="A24" s="4" t="inlineStr">
        <is>
          <t>MX_NVT_03A</t>
        </is>
      </c>
      <c r="B24" s="4" t="inlineStr">
        <is>
          <t>tên</t>
        </is>
      </c>
      <c r="C24" s="4" t="inlineStr">
        <is>
          <t>hai măng xông cùng tên; người dùng xác nhận là 03A và 03B (hai bên lề)</t>
        </is>
      </c>
      <c r="D24" s="9" t="n"/>
      <c r="E24" s="9" t="n"/>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8" t="inlineStr">
        <is>
          <t>Tổng mối hàn thiết kế</t>
        </is>
      </c>
      <c r="E49">
        <f>SUMIF(A4:A47,"mx_thiet_ke",E4:E47)</f>
        <v/>
      </c>
    </row>
    <row r="50">
      <c r="C50" s="18"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8" t="inlineStr">
        <is>
          <t>Trạm</t>
        </is>
      </c>
      <c r="B4" s="19"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2026-10-16T02:18:17Z</dcterms:created>
  <dcterms:modified xmlns:dcterms="http://purl.org/dc/terms/" xmlns:xsi="http://www.w3.org/2001/XMLSchema-instance" xsi:type="dcterms:W3CDTF">2026-10-16T02:18:18Z</dcterms:modified>
</cp:coreProperties>
</file>