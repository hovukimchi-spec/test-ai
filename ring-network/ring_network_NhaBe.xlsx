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Hồ sơ cáp" sheetId="2" state="visible" r:id="rId2"/>
    <sheet xmlns:r="http://schemas.openxmlformats.org/officeDocument/2006/relationships" name="Tra cứu cáp" sheetId="3" state="visible" r:id="rId3"/>
    <sheet xmlns:r="http://schemas.openxmlformats.org/officeDocument/2006/relationships" name="Cân đối cáp" sheetId="4" state="visible" r:id="rId4"/>
    <sheet xmlns:r="http://schemas.openxmlformats.org/officeDocument/2006/relationships" name="Đường đi link" sheetId="5" state="visible" r:id="rId5"/>
    <sheet xmlns:r="http://schemas.openxmlformats.org/officeDocument/2006/relationships" name="Phối core từ đường đi" sheetId="6" state="visible" r:id="rId6"/>
    <sheet xmlns:r="http://schemas.openxmlformats.org/officeDocument/2006/relationships" name="Quỹ core" sheetId="7" state="visible" r:id="rId7"/>
    <sheet xmlns:r="http://schemas.openxmlformats.org/officeDocument/2006/relationships" name="Phối core MX" sheetId="8" state="visible" r:id="rId8"/>
    <sheet xmlns:r="http://schemas.openxmlformats.org/officeDocument/2006/relationships" name="Core theo trạm" sheetId="9" state="visible" r:id="rId9"/>
    <sheet xmlns:r="http://schemas.openxmlformats.org/officeDocument/2006/relationships" name="Cáp tại MX" sheetId="10" state="visible" r:id="rId10"/>
    <sheet xmlns:r="http://schemas.openxmlformats.org/officeDocument/2006/relationships" name="Core MX" sheetId="11" state="visible" r:id="rId11"/>
    <sheet xmlns:r="http://schemas.openxmlformats.org/officeDocument/2006/relationships" name="Cảnh báo phối core" sheetId="12" state="visible" r:id="rId12"/>
    <sheet xmlns:r="http://schemas.openxmlformats.org/officeDocument/2006/relationships" name="Ring" sheetId="13" state="visible" r:id="rId13"/>
    <sheet xmlns:r="http://schemas.openxmlformats.org/officeDocument/2006/relationships" name="Đoạn &amp; quỹ suy hao" sheetId="14" state="visible" r:id="rId14"/>
    <sheet xmlns:r="http://schemas.openxmlformats.org/officeDocument/2006/relationships" name="Sự cố đứt cáp" sheetId="15" state="visible" r:id="rId15"/>
    <sheet xmlns:r="http://schemas.openxmlformats.org/officeDocument/2006/relationships" name="Nút" sheetId="16" state="visible" r:id="rId16"/>
    <sheet xmlns:r="http://schemas.openxmlformats.org/officeDocument/2006/relationships" name="ODF CSG" sheetId="17" state="visible" r:id="rId17"/>
    <sheet xmlns:r="http://schemas.openxmlformats.org/officeDocument/2006/relationships" name="ODF chi tiết" sheetId="18" state="visible" r:id="rId18"/>
    <sheet xmlns:r="http://schemas.openxmlformats.org/officeDocument/2006/relationships" name="ODF AGG" sheetId="19" state="visible" r:id="rId19"/>
    <sheet xmlns:r="http://schemas.openxmlformats.org/officeDocument/2006/relationships" name="Cáp" sheetId="20" state="visible" r:id="rId20"/>
    <sheet xmlns:r="http://schemas.openxmlformats.org/officeDocument/2006/relationships" name="Măng xông" sheetId="21" state="visible" r:id="rId21"/>
    <sheet xmlns:r="http://schemas.openxmlformats.org/officeDocument/2006/relationships" name="Hàn nối bổ sung" sheetId="22" state="visible" r:id="rId22"/>
    <sheet xmlns:r="http://schemas.openxmlformats.org/officeDocument/2006/relationships" name="Tuyến lề NVT" sheetId="23" state="visible" r:id="rId23"/>
    <sheet xmlns:r="http://schemas.openxmlformats.org/officeDocument/2006/relationships" name="Đối tác dùng core trống" sheetId="24" state="visible" r:id="rId24"/>
    <sheet xmlns:r="http://schemas.openxmlformats.org/officeDocument/2006/relationships" name="Dữ liệu cần xác nhận" sheetId="25" state="visible" r:id="rId25"/>
    <sheet xmlns:r="http://schemas.openxmlformats.org/officeDocument/2006/relationships" name="Khắc phục sự cố" sheetId="26" state="visible" r:id="rId26"/>
    <sheet xmlns:r="http://schemas.openxmlformats.org/officeDocument/2006/relationships" name="Vật tư" sheetId="27" state="visible" r:id="rId27"/>
    <sheet xmlns:r="http://schemas.openxmlformats.org/officeDocument/2006/relationships" name="Tra cứu" sheetId="28" state="visible" r:id="rId28"/>
    <sheet xmlns:r="http://schemas.openxmlformats.org/officeDocument/2006/relationships" name="Tham số" sheetId="29" state="visible" r:id="rId29"/>
  </sheets>
  <definedNames>
    <definedName name="_xlnm._FilterDatabase" localSheetId="1" hidden="1">'Hồ sơ cáp'!$A$4:$O$25</definedName>
    <definedName name="_xlnm._FilterDatabase" localSheetId="3" hidden="1">'Cân đối cáp'!$A$4:$K$25</definedName>
    <definedName name="_xlnm._FilterDatabase" localSheetId="5" hidden="1">'Phối core từ đường đi'!$A$4:$I$60</definedName>
    <definedName name="_xlnm._FilterDatabase" localSheetId="6" hidden="1">'Quỹ core'!$A$28:$H$280</definedName>
    <definedName name="_xlnm._FilterDatabase" localSheetId="7" hidden="1">'Phối core MX'!$A$4:$L$180</definedName>
    <definedName name="_xlnm._FilterDatabase" localSheetId="8" hidden="1">'Core theo trạm'!$A$4:$F$98</definedName>
    <definedName name="_xlnm._FilterDatabase" localSheetId="9" hidden="1">'Cáp tại MX'!$A$4:$J$74</definedName>
    <definedName name="_xlnm._FilterDatabase" localSheetId="10" hidden="1">'Core MX'!$A$4:$G$798</definedName>
    <definedName name="_xlnm._FilterDatabase" localSheetId="13" hidden="1">'Đoạn &amp; quỹ suy hao'!$A$4:$U$42</definedName>
    <definedName name="_xlnm._FilterDatabase" localSheetId="17" hidden="1">'ODF chi tiết'!$A$3:$G$351</definedName>
    <definedName name="_xlnm._FilterDatabase" localSheetId="19" hidden="1">'Cáp'!$A$4:$I$80</definedName>
  </definedNames>
  <calcPr calcId="124519" fullCalcOnLoad="1"/>
</workbook>
</file>

<file path=xl/styles.xml><?xml version="1.0" encoding="utf-8"?>
<styleSheet xmlns="http://schemas.openxmlformats.org/spreadsheetml/2006/main">
  <numFmts count="3">
    <numFmt numFmtId="164" formatCode="0.0"/>
    <numFmt numFmtId="165" formatCode="0.0&quot; km ►&quot;"/>
    <numFmt numFmtId="166" formatCode="0.0%"/>
  </numFmts>
  <fonts count="11">
    <font>
      <name val="Calibri"/>
      <family val="2"/>
      <color theme="1"/>
      <sz val="11"/>
      <scheme val="minor"/>
    </font>
    <font>
      <b val="1"/>
      <color rgb="001F3864"/>
      <sz val="15"/>
    </font>
    <font>
      <b val="1"/>
      <color rgb="00FFFFFF"/>
    </font>
    <font>
      <i val="1"/>
      <color rgb="007F7F7F"/>
    </font>
    <font>
      <b val="1"/>
    </font>
    <font>
      <color rgb="007F7F7F"/>
    </font>
    <font>
      <i val="1"/>
      <color rgb="007F7F7F"/>
      <sz val="8"/>
    </font>
    <font>
      <b val="1"/>
      <color rgb="00000000"/>
    </font>
    <font>
      <color rgb="000563C1"/>
      <u val="single"/>
    </font>
    <font>
      <i val="1"/>
      <color rgb="00C00000"/>
    </font>
    <font>
      <b val="1"/>
      <sz val="12"/>
    </font>
  </fonts>
  <fills count="24">
    <fill>
      <patternFill/>
    </fill>
    <fill>
      <patternFill patternType="gray125"/>
    </fill>
    <fill>
      <patternFill patternType="solid">
        <fgColor rgb="001F3864"/>
      </patternFill>
    </fill>
    <fill>
      <patternFill patternType="solid">
        <fgColor rgb="00FFF2CC"/>
      </patternFill>
    </fill>
    <fill>
      <patternFill patternType="solid">
        <fgColor rgb="009DC3E6"/>
      </patternFill>
    </fill>
    <fill>
      <patternFill patternType="solid">
        <fgColor rgb="00F4B183"/>
      </patternFill>
    </fill>
    <fill>
      <patternFill patternType="solid">
        <fgColor rgb="00A9D18E"/>
      </patternFill>
    </fill>
    <fill>
      <patternFill patternType="solid">
        <fgColor rgb="00C9B3E6"/>
      </patternFill>
    </fill>
    <fill>
      <patternFill patternType="solid">
        <fgColor rgb="00FFD966"/>
      </patternFill>
    </fill>
    <fill>
      <patternFill patternType="solid">
        <fgColor rgb="008FD9D9"/>
      </patternFill>
    </fill>
    <fill>
      <patternFill patternType="solid">
        <fgColor rgb="00D7B99B"/>
      </patternFill>
    </fill>
    <fill>
      <patternFill patternType="solid">
        <fgColor rgb="00F7B6D2"/>
      </patternFill>
    </fill>
    <fill>
      <patternFill patternType="solid"/>
    </fill>
    <fill>
      <patternFill patternType="solid">
        <fgColor rgb="00DDEBF7"/>
      </patternFill>
    </fill>
    <fill>
      <patternFill patternType="solid">
        <fgColor rgb="00FCE4D6"/>
      </patternFill>
    </fill>
    <fill>
      <patternFill patternType="solid">
        <fgColor rgb="00E2EFDA"/>
      </patternFill>
    </fill>
    <fill>
      <patternFill patternType="solid">
        <fgColor rgb="00E4DFEC"/>
      </patternFill>
    </fill>
    <fill>
      <patternFill patternType="solid">
        <fgColor rgb="00D9D9D9"/>
      </patternFill>
    </fill>
    <fill>
      <patternFill patternType="solid">
        <fgColor rgb="00F8CBAD"/>
      </patternFill>
    </fill>
    <fill>
      <patternFill patternType="solid">
        <fgColor rgb="00C6E0B4"/>
      </patternFill>
    </fill>
    <fill>
      <patternFill patternType="solid">
        <fgColor rgb="00FFC7CE"/>
      </patternFill>
    </fill>
    <fill>
      <patternFill patternType="solid">
        <fgColor rgb="00FFEB9C"/>
      </patternFill>
    </fill>
    <fill>
      <patternFill patternType="solid">
        <fgColor rgb="00EDEDED"/>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6">
    <xf numFmtId="0" fontId="0" fillId="0" borderId="0" pivotButton="0" quotePrefix="0" xfId="0"/>
    <xf numFmtId="0" fontId="1" fillId="0" borderId="0" pivotButton="0" quotePrefix="0" xfId="0"/>
    <xf numFmtId="0" fontId="3" fillId="0" borderId="0" pivotButton="0" quotePrefix="0" xfId="0"/>
    <xf numFmtId="0" fontId="2" fillId="2" borderId="1" applyAlignment="1" pivotButton="0" quotePrefix="0" xfId="0">
      <alignment horizontal="center" vertical="center" wrapText="1"/>
    </xf>
    <xf numFmtId="0" fontId="0" fillId="0" borderId="1" pivotButton="0" quotePrefix="0" xfId="0"/>
    <xf numFmtId="1" fontId="10" fillId="0" borderId="1" pivotButton="0" quotePrefix="0" xfId="0"/>
    <xf numFmtId="164" fontId="10" fillId="0" borderId="1" pivotButton="0" quotePrefix="0" xfId="0"/>
    <xf numFmtId="0" fontId="0" fillId="0" borderId="0" applyAlignment="1" pivotButton="0" quotePrefix="0" xfId="0">
      <alignment wrapText="1"/>
    </xf>
    <xf numFmtId="0" fontId="0" fillId="0" borderId="1" applyAlignment="1" pivotButton="0" quotePrefix="0" xfId="0">
      <alignment vertical="top" wrapText="1"/>
    </xf>
    <xf numFmtId="0" fontId="0" fillId="20" borderId="1" applyAlignment="1" pivotButton="0" quotePrefix="0" xfId="0">
      <alignment vertical="top" wrapText="1"/>
    </xf>
    <xf numFmtId="0" fontId="0" fillId="3" borderId="1" applyAlignment="1" pivotButton="0" quotePrefix="0" xfId="0">
      <alignment vertical="top" wrapText="1"/>
    </xf>
    <xf numFmtId="0" fontId="0" fillId="21" borderId="1" applyAlignment="1" pivotButton="0" quotePrefix="0" xfId="0">
      <alignment vertical="top" wrapText="1"/>
    </xf>
    <xf numFmtId="0" fontId="4" fillId="0" borderId="0" pivotButton="0" quotePrefix="0" xfId="0"/>
    <xf numFmtId="0" fontId="0" fillId="3" borderId="0" pivotButton="0" quotePrefix="0" xfId="0"/>
    <xf numFmtId="0" fontId="4" fillId="0" borderId="1" pivotButton="0" quotePrefix="0" xfId="0"/>
    <xf numFmtId="9" fontId="0" fillId="0" borderId="1" pivotButton="0" quotePrefix="0" xfId="0"/>
    <xf numFmtId="0" fontId="0" fillId="23" borderId="1" pivotButton="0" quotePrefix="0" xfId="0"/>
    <xf numFmtId="166" fontId="0" fillId="0" borderId="1" pivotButton="0" quotePrefix="0" xfId="0"/>
    <xf numFmtId="0" fontId="10" fillId="0" borderId="0" pivotButton="0" quotePrefix="0" xfId="0"/>
    <xf numFmtId="0" fontId="4" fillId="22" borderId="1" pivotButton="0" quotePrefix="0" xfId="0"/>
    <xf numFmtId="0" fontId="0" fillId="21" borderId="1" pivotButton="0" quotePrefix="0" xfId="0"/>
    <xf numFmtId="0" fontId="0" fillId="20" borderId="1" pivotButton="0" quotePrefix="0" xfId="0"/>
    <xf numFmtId="0" fontId="0" fillId="3" borderId="1" pivotButton="0" quotePrefix="0" xfId="0"/>
    <xf numFmtId="0" fontId="0" fillId="4" borderId="1" pivotButton="0" quotePrefix="0" xfId="0"/>
    <xf numFmtId="164" fontId="0" fillId="0" borderId="1" pivotButton="0" quotePrefix="0" xfId="0"/>
    <xf numFmtId="0" fontId="0" fillId="5" borderId="1" pivotButton="0" quotePrefix="0" xfId="0"/>
    <xf numFmtId="0" fontId="0" fillId="6" borderId="1" pivotButton="0" quotePrefix="0" xfId="0"/>
    <xf numFmtId="0" fontId="0" fillId="7" borderId="1" pivotButton="0" quotePrefix="0" xfId="0"/>
    <xf numFmtId="0" fontId="0" fillId="8" borderId="1" pivotButton="0" quotePrefix="0" xfId="0"/>
    <xf numFmtId="0" fontId="0" fillId="9" borderId="1" pivotButton="0" quotePrefix="0" xfId="0"/>
    <xf numFmtId="0" fontId="0" fillId="10" borderId="1" pivotButton="0" quotePrefix="0" xfId="0"/>
    <xf numFmtId="0" fontId="0" fillId="11" borderId="1" pivotButton="0" quotePrefix="0" xfId="0"/>
    <xf numFmtId="0" fontId="4" fillId="4" borderId="0" pivotButton="0" quotePrefix="0" xfId="0"/>
    <xf numFmtId="0" fontId="2" fillId="12" borderId="0" applyAlignment="1" pivotButton="0" quotePrefix="0" xfId="0">
      <alignment horizontal="center"/>
    </xf>
    <xf numFmtId="165" fontId="5" fillId="0" borderId="0" applyAlignment="1" pivotButton="0" quotePrefix="0" xfId="0">
      <alignment horizontal="center"/>
    </xf>
    <xf numFmtId="0" fontId="7" fillId="4" borderId="0" applyAlignment="1" pivotButton="0" quotePrefix="0" xfId="0">
      <alignment horizontal="center"/>
    </xf>
    <xf numFmtId="0" fontId="6" fillId="0" borderId="0" applyAlignment="1" pivotButton="0" quotePrefix="0" xfId="0">
      <alignment horizontal="center"/>
    </xf>
    <xf numFmtId="0" fontId="4" fillId="5" borderId="0" pivotButton="0" quotePrefix="0" xfId="0"/>
    <xf numFmtId="0" fontId="7" fillId="5" borderId="0" applyAlignment="1" pivotButton="0" quotePrefix="0" xfId="0">
      <alignment horizontal="center"/>
    </xf>
    <xf numFmtId="0" fontId="4" fillId="6" borderId="0" pivotButton="0" quotePrefix="0" xfId="0"/>
    <xf numFmtId="0" fontId="7" fillId="6" borderId="0" applyAlignment="1" pivotButton="0" quotePrefix="0" xfId="0">
      <alignment horizontal="center"/>
    </xf>
    <xf numFmtId="0" fontId="4" fillId="7" borderId="0" pivotButton="0" quotePrefix="0" xfId="0"/>
    <xf numFmtId="0" fontId="7" fillId="7" borderId="0" applyAlignment="1" pivotButton="0" quotePrefix="0" xfId="0">
      <alignment horizontal="center"/>
    </xf>
    <xf numFmtId="0" fontId="4" fillId="8" borderId="0" pivotButton="0" quotePrefix="0" xfId="0"/>
    <xf numFmtId="0" fontId="7" fillId="8" borderId="0" applyAlignment="1" pivotButton="0" quotePrefix="0" xfId="0">
      <alignment horizontal="center"/>
    </xf>
    <xf numFmtId="0" fontId="4" fillId="9" borderId="0" pivotButton="0" quotePrefix="0" xfId="0"/>
    <xf numFmtId="0" fontId="7" fillId="9" borderId="0" applyAlignment="1" pivotButton="0" quotePrefix="0" xfId="0">
      <alignment horizontal="center"/>
    </xf>
    <xf numFmtId="0" fontId="4" fillId="10" borderId="0" pivotButton="0" quotePrefix="0" xfId="0"/>
    <xf numFmtId="0" fontId="7" fillId="10" borderId="0" applyAlignment="1" pivotButton="0" quotePrefix="0" xfId="0">
      <alignment horizontal="center"/>
    </xf>
    <xf numFmtId="0" fontId="4" fillId="11" borderId="0" pivotButton="0" quotePrefix="0" xfId="0"/>
    <xf numFmtId="0" fontId="7" fillId="11" borderId="0" applyAlignment="1" pivotButton="0" quotePrefix="0" xfId="0">
      <alignment horizontal="center"/>
    </xf>
    <xf numFmtId="2" fontId="0" fillId="0" borderId="1" pivotButton="0" quotePrefix="0" xfId="0"/>
    <xf numFmtId="0" fontId="8" fillId="0" borderId="1" pivotButton="0" quotePrefix="0" xfId="0"/>
    <xf numFmtId="0" fontId="0" fillId="13" borderId="1" applyAlignment="1" pivotButton="0" quotePrefix="0" xfId="0">
      <alignment horizontal="center"/>
    </xf>
    <xf numFmtId="0" fontId="0" fillId="14" borderId="1" applyAlignment="1" pivotButton="0" quotePrefix="0" xfId="0">
      <alignment horizontal="center"/>
    </xf>
    <xf numFmtId="0" fontId="0" fillId="15" borderId="1" applyAlignment="1" pivotButton="0" quotePrefix="0" xfId="0">
      <alignment horizontal="center"/>
    </xf>
    <xf numFmtId="0" fontId="0" fillId="3" borderId="1" applyAlignment="1" pivotButton="0" quotePrefix="0" xfId="0">
      <alignment horizontal="center"/>
    </xf>
    <xf numFmtId="0" fontId="0" fillId="16" borderId="1" applyAlignment="1" pivotButton="0" quotePrefix="0" xfId="0">
      <alignment horizontal="center"/>
    </xf>
    <xf numFmtId="0" fontId="0" fillId="17" borderId="1" applyAlignment="1" pivotButton="0" quotePrefix="0" xfId="0">
      <alignment horizontal="center"/>
    </xf>
    <xf numFmtId="0" fontId="0" fillId="18" borderId="1" applyAlignment="1" pivotButton="0" quotePrefix="0" xfId="0">
      <alignment horizontal="center"/>
    </xf>
    <xf numFmtId="0" fontId="0" fillId="19" borderId="1" applyAlignment="1" pivotButton="0" quotePrefix="0" xfId="0">
      <alignment horizontal="center"/>
    </xf>
    <xf numFmtId="0" fontId="0" fillId="0" borderId="1" applyAlignment="1" pivotButton="0" quotePrefix="0" xfId="0">
      <alignment horizontal="center"/>
    </xf>
    <xf numFmtId="164" fontId="0" fillId="0" borderId="0" pivotButton="0" quotePrefix="0" xfId="0"/>
    <xf numFmtId="0" fontId="9" fillId="0" borderId="0" pivotButton="0" quotePrefix="0" xfId="0"/>
    <xf numFmtId="0" fontId="0" fillId="5" borderId="0" pivotButton="0" quotePrefix="0" xfId="0"/>
    <xf numFmtId="0" fontId="0" fillId="4" borderId="0" pivotButton="0" quotePrefix="0" xfId="0"/>
  </cellXfs>
  <cellStyles count="1">
    <cellStyle name="Normal" xfId="0" builtinId="0" hidden="0"/>
  </cellStyles>
  <dxfs count="3">
    <dxf>
      <fill>
        <patternFill patternType="solid">
          <fgColor rgb="00FFEB9C"/>
        </patternFill>
      </fill>
    </dxf>
    <dxf>
      <fill>
        <patternFill patternType="solid">
          <fgColor rgb="00C6EFCE"/>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23"/>
  <sheetViews>
    <sheetView showGridLines="0" workbookViewId="0">
      <selection activeCell="A1" sqref="A1"/>
    </sheetView>
  </sheetViews>
  <sheetFormatPr baseColWidth="8" defaultRowHeight="15"/>
  <cols>
    <col width="44" customWidth="1" min="1" max="1"/>
    <col width="16"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Mạng ring CSG Nhà Bè — tổng quan</t>
        </is>
      </c>
    </row>
    <row r="2">
      <c r="A2" s="2" t="inlineStr">
        <is>
          <t>Dữ liệu từ file ghi tay (BBNT, ODF, MX, độ dài cáp, KML). Công thức sống; sửa Tham số để tính lại.</t>
        </is>
      </c>
    </row>
    <row r="4" ht="32" customHeight="1">
      <c r="A4" s="3" t="inlineStr">
        <is>
          <t>Chỉ số</t>
        </is>
      </c>
      <c r="B4" s="3" t="inlineStr">
        <is>
          <t>Giá trị</t>
        </is>
      </c>
    </row>
    <row r="5">
      <c r="A5" s="4" t="inlineStr">
        <is>
          <t>Số ring</t>
        </is>
      </c>
      <c r="B5" s="5">
        <f>COUNTA(Ring!A5:A12)</f>
        <v/>
      </c>
    </row>
    <row r="6">
      <c r="A6" s="4" t="inlineStr">
        <is>
          <t>Số CSG ring</t>
        </is>
      </c>
      <c r="B6" s="5">
        <f>SUM(Ring!C5:C12)</f>
        <v/>
      </c>
    </row>
    <row r="7">
      <c r="A7" s="4" t="inlineStr">
        <is>
          <t>Số trạm nhánh cụt (cấp 3)</t>
        </is>
      </c>
      <c r="B7" s="5">
        <f>COUNTIF(Nút!D5:D36,"nhánh cụt*")</f>
        <v/>
      </c>
    </row>
    <row r="8">
      <c r="A8" s="4" t="inlineStr">
        <is>
          <t>Số đoạn cáp (gồm nhánh cụt)</t>
        </is>
      </c>
      <c r="B8" s="5">
        <f>COUNTA('Đoạn &amp; quỹ suy hao'!$A$5:$A$42)</f>
        <v/>
      </c>
    </row>
    <row r="9">
      <c r="A9" s="4" t="inlineStr">
        <is>
          <t>Tổng km tính (đoạn ring)</t>
        </is>
      </c>
      <c r="B9" s="6">
        <f>SUMIF('Đoạn &amp; quỹ suy hao'!$E$5:$E$42,"ring",'Đoạn &amp; quỹ suy hao'!$K$5:$K$42)</f>
        <v/>
      </c>
    </row>
    <row r="10">
      <c r="A10" s="4" t="inlineStr">
        <is>
          <t>Đoạn dài nhất (km)</t>
        </is>
      </c>
      <c r="B10" s="6">
        <f>MAX('Đoạn &amp; quỹ suy hao'!$K$5:$K$42)</f>
        <v/>
      </c>
    </row>
    <row r="11">
      <c r="A11" s="4" t="inlineStr">
        <is>
          <t>Dư suy hao thấp nhất (dB)</t>
        </is>
      </c>
      <c r="B11" s="6">
        <f>MIN('Đoạn &amp; quỹ suy hao'!$P$5:$P$42)</f>
        <v/>
      </c>
    </row>
    <row r="12">
      <c r="A12" s="4" t="inlineStr">
        <is>
          <t>Số đoạn Đạt</t>
        </is>
      </c>
      <c r="B12" s="5">
        <f>COUNTIF('Đoạn &amp; quỹ suy hao'!$R$5:$R$42,"Đạt")</f>
        <v/>
      </c>
    </row>
    <row r="13">
      <c r="A13" s="4" t="inlineStr">
        <is>
          <t>Số đoạn Cảnh báo</t>
        </is>
      </c>
      <c r="B13" s="5">
        <f>COUNTIF('Đoạn &amp; quỹ suy hao'!$R$5:$R$42,"Cảnh báo")</f>
        <v/>
      </c>
    </row>
    <row r="14">
      <c r="A14" s="4" t="inlineStr">
        <is>
          <t>Số đoạn chưa đo</t>
        </is>
      </c>
      <c r="B14" s="5">
        <f>COUNTIF('Đoạn &amp; quỹ suy hao'!$R$5:$R$42,"Chưa đo")</f>
        <v/>
      </c>
    </row>
    <row r="15">
      <c r="A15" s="4" t="inlineStr">
        <is>
          <t>Số măng xông trong danh bạ</t>
        </is>
      </c>
      <c r="B15" s="5">
        <f>COUNTA('Măng xông'!A5:A49)</f>
        <v/>
      </c>
    </row>
    <row r="16">
      <c r="A16" s="4" t="inlineStr">
        <is>
          <t>Số cổng ODF CSG ghi hướng</t>
        </is>
      </c>
      <c r="B16" s="5">
        <f>COUNTIFS('ODF chi tiết'!D:D,"&lt;&gt;")-1</f>
        <v/>
      </c>
    </row>
    <row r="17">
      <c r="A17" s="4" t="inlineStr">
        <is>
          <t>Cặp core hàn (suy từ nhãn MX)</t>
        </is>
      </c>
      <c r="B17" s="5">
        <f>COUNTA('Phối core MX'!A5:A180)</f>
        <v/>
      </c>
    </row>
    <row r="18">
      <c r="A18" s="4" t="inlineStr">
        <is>
          <t>Măng xông đã có nhãn core</t>
        </is>
      </c>
      <c r="B18" s="5">
        <f>SUMPRODUCT(1/COUNTIF('Phối core MX'!A5:A180,'Phối core MX'!A5:A180))</f>
        <v/>
      </c>
    </row>
    <row r="19">
      <c r="A19" s="4" t="inlineStr">
        <is>
          <t>Mục cần xác nhận</t>
        </is>
      </c>
      <c r="B19" s="5">
        <f>COUNTA('Dữ liệu cần xác nhận'!A4:A23)</f>
        <v/>
      </c>
    </row>
    <row r="20" ht="32" customHeight="1">
      <c r="A20" s="7" t="inlineStr">
        <is>
          <t>Cách đọc: sheet "Ring" tóm tắt 8 ring; "Đoạn &amp; quỹ suy hao" là bảng trung tâm; "Sự cố đứt cáp" liệt kê hệ quả đứt từng đoạn.</t>
        </is>
      </c>
    </row>
    <row r="21" ht="32" customHeight="1">
      <c r="A21" s="7" t="inlineStr">
        <is>
          <t>Quy ước: bảo vệ trong phạm vi từng ring AGG–AGG; các ring được phép chung cáp; nguy cơ cần tránh là một CSG không còn link nào về AGG.</t>
        </is>
      </c>
    </row>
    <row r="22" ht="32" customHeight="1">
      <c r="A22" s="7" t="inlineStr">
        <is>
          <t>Suy hao tính theo từng đoạn giữa hai trạm liền kề (SFP thu/phát mỗi trạm), ngưỡng 12,1 / 17 / 27 dB theo chiều dài; lệch hai core ≤ 2 dB.</t>
        </is>
      </c>
    </row>
    <row r="23" ht="32" customHeight="1">
      <c r="A23" s="7" t="inlineStr">
        <is>
          <t>Chưa có: bảng hàn từng khay của măng xông (chỉ có danh bạ), số core cụ thể của đối tác, chỉ số mét hai đầu cáp. Đã đánh dấu để bổ sung.</t>
        </is>
      </c>
    </row>
  </sheetData>
  <mergeCells count="4">
    <mergeCell ref="A23:H23"/>
    <mergeCell ref="A20:H20"/>
    <mergeCell ref="A21:H21"/>
    <mergeCell ref="A22:H22"/>
  </mergeCells>
  <conditionalFormatting sqref="B13">
    <cfRule type="cellIs" priority="1" operator="greaterThan" dxfId="0">
      <formula>0</formula>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O2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4" customWidth="1" min="2" max="2"/>
    <col width="5" customWidth="1" min="3" max="3"/>
    <col width="34" customWidth="1" min="4" max="4"/>
    <col width="34" customWidth="1" min="5" max="5"/>
    <col width="9" customWidth="1" min="6" max="6"/>
    <col width="8" customWidth="1" min="7" max="7"/>
    <col width="8" customWidth="1" min="8" max="8"/>
    <col width="8" customWidth="1" min="9" max="9"/>
    <col width="34" customWidth="1" min="10" max="10"/>
    <col width="9" customWidth="1" min="11" max="11"/>
    <col width="18" customWidth="1" min="12" max="12"/>
    <col width="36" customWidth="1" min="13" max="13"/>
    <col width="12" customWidth="1" min="14" max="14"/>
    <col width="48" customWidth="1" min="15" max="15"/>
  </cols>
  <sheetData>
    <row r="1">
      <c r="A1" s="1" t="inlineStr">
        <is>
          <t>Hồ sơ cáp: mã cáp, core đang chạy / hư / trống — dùng khi đo kiểm và xử lý sự cố</t>
        </is>
      </c>
    </row>
    <row r="2">
      <c r="A2" s="2" t="inlineStr">
        <is>
          <t>Core đang chạy theo đường đi người dùng mô tả; "nhãn chưa gán" = sơ đồ MX gán nhóm/trạm nhưng chưa mô tả link; "trống" = chưa dùng, chưa nhãn, không hư. Mã cáp lấy từ sổ độ dài (ô trống = sổ chưa ghi, cần bổ sung).</t>
        </is>
      </c>
    </row>
    <row r="4" ht="32" customHeight="1">
      <c r="A4" s="3" t="inlineStr">
        <is>
          <t>Mã nội bộ</t>
        </is>
      </c>
      <c r="B4" s="3" t="inlineStr">
        <is>
          <t>Mã cáp (sổ)</t>
        </is>
      </c>
      <c r="C4" s="3" t="inlineStr">
        <is>
          <t>FO</t>
        </is>
      </c>
      <c r="D4" s="3" t="inlineStr">
        <is>
          <t>Từ</t>
        </is>
      </c>
      <c r="E4" s="3" t="inlineStr">
        <is>
          <t>Đến</t>
        </is>
      </c>
      <c r="F4" s="3" t="inlineStr">
        <is>
          <t>Dài (m)</t>
        </is>
      </c>
      <c r="G4" s="3" t="inlineStr">
        <is>
          <t>cs đầu</t>
        </is>
      </c>
      <c r="H4" s="3" t="inlineStr">
        <is>
          <t>cs cuối</t>
        </is>
      </c>
      <c r="I4" s="3" t="inlineStr">
        <is>
          <t>Dòng sổ</t>
        </is>
      </c>
      <c r="J4" s="3" t="inlineStr">
        <is>
          <t>Core đang chạy (link)</t>
        </is>
      </c>
      <c r="K4" s="3" t="inlineStr">
        <is>
          <t>Core hư</t>
        </is>
      </c>
      <c r="L4" s="3" t="inlineStr">
        <is>
          <t>Core có nhãn, chưa gán</t>
        </is>
      </c>
      <c r="M4" s="3" t="inlineStr">
        <is>
          <t>Trạm ghi trong nhãn</t>
        </is>
      </c>
      <c r="N4" s="3" t="inlineStr">
        <is>
          <t>Core trống</t>
        </is>
      </c>
      <c r="O4" s="3" t="inlineStr">
        <is>
          <t>Hệ quả khi đứt cáp</t>
        </is>
      </c>
    </row>
    <row r="5">
      <c r="A5" s="8" t="inlineStr">
        <is>
          <t>C01</t>
        </is>
      </c>
      <c r="B5" s="8" t="inlineStr">
        <is>
          <t>ADSS 9/2009</t>
        </is>
      </c>
      <c r="C5" s="8" t="n">
        <v>24</v>
      </c>
      <c r="D5" s="8" t="inlineStr">
        <is>
          <t>VNPT Long Thới (ODF-02 NBE12)</t>
        </is>
      </c>
      <c r="E5" s="8" t="inlineStr">
        <is>
          <t>MX nhập đài Long Thới–NVT</t>
        </is>
      </c>
      <c r="F5" s="8" t="n">
        <v>150</v>
      </c>
      <c r="G5" s="8" t="inlineStr"/>
      <c r="H5" s="8" t="inlineStr"/>
      <c r="I5" s="8" t="n">
        <v>31</v>
      </c>
      <c r="J5" s="8" t="inlineStr">
        <is>
          <t>3-4 (R1-01); 1-2 (R2-01)</t>
        </is>
      </c>
      <c r="K5" s="8" t="inlineStr">
        <is>
          <t>—</t>
        </is>
      </c>
      <c r="L5" s="8" t="inlineStr">
        <is>
          <t>—</t>
        </is>
      </c>
      <c r="M5" s="8" t="inlineStr">
        <is>
          <t>—</t>
        </is>
      </c>
      <c r="N5" s="8" t="inlineStr">
        <is>
          <t>5-24</t>
        </is>
      </c>
      <c r="O5" s="8" t="inlineStr">
        <is>
          <t>các link R1-01, R2-01 mất một hướng, ring vẫn bảo vệ</t>
        </is>
      </c>
    </row>
    <row r="6">
      <c r="A6" s="8" t="inlineStr">
        <is>
          <t>C02</t>
        </is>
      </c>
      <c r="B6" s="8" t="inlineStr">
        <is>
          <t>SACOM 8/2014</t>
        </is>
      </c>
      <c r="C6" s="8" t="n">
        <v>12</v>
      </c>
      <c r="D6" s="8" t="inlineStr">
        <is>
          <t>MX nhập đài Long Thới–NVT</t>
        </is>
      </c>
      <c r="E6" s="8" t="inlineStr">
        <is>
          <t>MX_NVT_01</t>
        </is>
      </c>
      <c r="F6" s="8" t="n">
        <v>680</v>
      </c>
      <c r="G6" s="8" t="inlineStr"/>
      <c r="H6" s="8" t="n">
        <v>2677</v>
      </c>
      <c r="I6" s="8" t="n">
        <v>53</v>
      </c>
      <c r="J6" s="8" t="inlineStr">
        <is>
          <t>3-4 (R1-01); 1-2 (R2-01)</t>
        </is>
      </c>
      <c r="K6" s="8" t="inlineStr">
        <is>
          <t>—</t>
        </is>
      </c>
      <c r="L6" s="8" t="inlineStr">
        <is>
          <t>—</t>
        </is>
      </c>
      <c r="M6" s="8" t="inlineStr">
        <is>
          <t>—</t>
        </is>
      </c>
      <c r="N6" s="8" t="inlineStr">
        <is>
          <t>5-12</t>
        </is>
      </c>
      <c r="O6" s="8" t="inlineStr">
        <is>
          <t>các link R1-01, R2-01 mất một hướng, ring vẫn bảo vệ</t>
        </is>
      </c>
    </row>
    <row r="7">
      <c r="A7" s="8" t="inlineStr">
        <is>
          <t>C03</t>
        </is>
      </c>
      <c r="B7" s="8" t="inlineStr">
        <is>
          <t>FOCAL 9/2020</t>
        </is>
      </c>
      <c r="C7" s="8" t="n">
        <v>12</v>
      </c>
      <c r="D7" s="8" t="inlineStr">
        <is>
          <t>MX_NVT_01</t>
        </is>
      </c>
      <c r="E7" s="8" t="inlineStr">
        <is>
          <t>HNB054</t>
        </is>
      </c>
      <c r="F7" s="8" t="n">
        <v>150</v>
      </c>
      <c r="G7" s="8" t="n">
        <v>1</v>
      </c>
      <c r="H7" s="8" t="n">
        <v>176</v>
      </c>
      <c r="I7" s="8" t="n">
        <v>56</v>
      </c>
      <c r="J7" s="8" t="inlineStr">
        <is>
          <t>1-2 (R2-01); 3-4 (R2-02)</t>
        </is>
      </c>
      <c r="K7" s="8" t="inlineStr">
        <is>
          <t>—</t>
        </is>
      </c>
      <c r="L7" s="8" t="inlineStr">
        <is>
          <t>—</t>
        </is>
      </c>
      <c r="M7" s="8" t="inlineStr">
        <is>
          <t>—</t>
        </is>
      </c>
      <c r="N7" s="8" t="inlineStr">
        <is>
          <t>5-12</t>
        </is>
      </c>
      <c r="O7" s="9" t="inlineStr">
        <is>
          <t>MẤT KẾT NỐI: HNB054</t>
        </is>
      </c>
    </row>
    <row r="8">
      <c r="A8" s="8" t="inlineStr">
        <is>
          <t>C04</t>
        </is>
      </c>
      <c r="B8" s="8" t="inlineStr">
        <is>
          <t>FOCAL 9/2020</t>
        </is>
      </c>
      <c r="C8" s="8" t="n">
        <v>12</v>
      </c>
      <c r="D8" s="8" t="inlineStr">
        <is>
          <t>MX_NVT_01</t>
        </is>
      </c>
      <c r="E8" s="8" t="inlineStr">
        <is>
          <t>MX_NVT_02A</t>
        </is>
      </c>
      <c r="F8" s="8" t="n">
        <v>1060</v>
      </c>
      <c r="G8" s="8" t="n">
        <v>5</v>
      </c>
      <c r="H8" s="8" t="inlineStr"/>
      <c r="I8" s="8" t="n">
        <v>54</v>
      </c>
      <c r="J8" s="8" t="inlineStr">
        <is>
          <t>3-4 (R1-01); 1-2 (R2-02)</t>
        </is>
      </c>
      <c r="K8" s="8" t="inlineStr">
        <is>
          <t>—</t>
        </is>
      </c>
      <c r="L8" s="8" t="inlineStr">
        <is>
          <t>7-12</t>
        </is>
      </c>
      <c r="M8" s="8" t="inlineStr">
        <is>
          <t>HNB066: 9-10; HNB005: 11-12</t>
        </is>
      </c>
      <c r="N8" s="8" t="inlineStr">
        <is>
          <t>5-6</t>
        </is>
      </c>
      <c r="O8" s="8" t="inlineStr">
        <is>
          <t>các link R1-01, R2-02 mất một hướng, ring vẫn bảo vệ</t>
        </is>
      </c>
    </row>
    <row r="9">
      <c r="A9" s="8" t="inlineStr">
        <is>
          <t>C05</t>
        </is>
      </c>
      <c r="B9" s="10" t="inlineStr">
        <is>
          <t>(chưa ghi mã cáp trong sổ)</t>
        </is>
      </c>
      <c r="C9" s="8" t="n">
        <v>12</v>
      </c>
      <c r="D9" s="8" t="inlineStr">
        <is>
          <t>MX_NVT_02A</t>
        </is>
      </c>
      <c r="E9" s="8" t="inlineStr">
        <is>
          <t>HNB006</t>
        </is>
      </c>
      <c r="F9" s="8" t="n">
        <v>220</v>
      </c>
      <c r="G9" s="8" t="inlineStr"/>
      <c r="H9" s="8" t="inlineStr"/>
      <c r="I9" s="8" t="n">
        <v>57</v>
      </c>
      <c r="J9" s="8" t="inlineStr">
        <is>
          <t>1-2 (R2-02); 3-4 (R2-03)</t>
        </is>
      </c>
      <c r="K9" s="8" t="inlineStr">
        <is>
          <t>—</t>
        </is>
      </c>
      <c r="L9" s="8" t="inlineStr">
        <is>
          <t>—</t>
        </is>
      </c>
      <c r="M9" s="8" t="inlineStr">
        <is>
          <t>—</t>
        </is>
      </c>
      <c r="N9" s="8" t="inlineStr">
        <is>
          <t>5-12</t>
        </is>
      </c>
      <c r="O9" s="9" t="inlineStr">
        <is>
          <t>MẤT KẾT NỐI: HNB006</t>
        </is>
      </c>
    </row>
    <row r="10">
      <c r="A10" s="8" t="inlineStr">
        <is>
          <t>C06</t>
        </is>
      </c>
      <c r="B10" s="10" t="inlineStr">
        <is>
          <t>(chưa ghi mã cáp trong sổ)</t>
        </is>
      </c>
      <c r="C10" s="8" t="n">
        <v>12</v>
      </c>
      <c r="D10" s="8" t="inlineStr">
        <is>
          <t>MX_NVT_02A</t>
        </is>
      </c>
      <c r="E10" s="8" t="inlineStr">
        <is>
          <t>MX_NVT_03A</t>
        </is>
      </c>
      <c r="F10" s="8" t="n">
        <v>845</v>
      </c>
      <c r="G10" s="8" t="inlineStr"/>
      <c r="H10" s="8" t="inlineStr"/>
      <c r="I10" s="8" t="n">
        <v>55</v>
      </c>
      <c r="J10" s="8" t="inlineStr">
        <is>
          <t>3-4 (R1-01); 2,5 (R2-03)</t>
        </is>
      </c>
      <c r="K10" s="11" t="inlineStr">
        <is>
          <t>1</t>
        </is>
      </c>
      <c r="L10" s="8" t="inlineStr">
        <is>
          <t>—</t>
        </is>
      </c>
      <c r="M10" s="8" t="inlineStr">
        <is>
          <t>—</t>
        </is>
      </c>
      <c r="N10" s="8" t="inlineStr">
        <is>
          <t>6-12</t>
        </is>
      </c>
      <c r="O10" s="8" t="inlineStr">
        <is>
          <t>các link R1-01, R2-03 mất một hướng, ring vẫn bảo vệ</t>
        </is>
      </c>
    </row>
    <row r="11">
      <c r="A11" s="8" t="inlineStr">
        <is>
          <t>C07</t>
        </is>
      </c>
      <c r="B11" s="8" t="inlineStr">
        <is>
          <t>FOCAL 2020</t>
        </is>
      </c>
      <c r="C11" s="8" t="n">
        <v>6</v>
      </c>
      <c r="D11" s="8" t="inlineStr">
        <is>
          <t>MX_NVT_03A</t>
        </is>
      </c>
      <c r="E11" s="8" t="inlineStr">
        <is>
          <t>HNB091</t>
        </is>
      </c>
      <c r="F11" s="8" t="n">
        <v>545</v>
      </c>
      <c r="G11" s="8" t="inlineStr"/>
      <c r="H11" s="8" t="n">
        <v>741</v>
      </c>
      <c r="I11" s="8" t="n">
        <v>58</v>
      </c>
      <c r="J11" s="8" t="inlineStr">
        <is>
          <t>1-2 (R2-03)</t>
        </is>
      </c>
      <c r="K11" s="8" t="inlineStr">
        <is>
          <t>—</t>
        </is>
      </c>
      <c r="L11" s="8" t="inlineStr">
        <is>
          <t>—</t>
        </is>
      </c>
      <c r="M11" s="8" t="inlineStr">
        <is>
          <t>—</t>
        </is>
      </c>
      <c r="N11" s="8" t="inlineStr">
        <is>
          <t>3-6</t>
        </is>
      </c>
      <c r="O11" s="8" t="inlineStr">
        <is>
          <t>các link R2-03 mất một hướng, ring vẫn bảo vệ</t>
        </is>
      </c>
    </row>
    <row r="12">
      <c r="A12" s="8" t="inlineStr">
        <is>
          <t>C08</t>
        </is>
      </c>
      <c r="B12" s="8" t="inlineStr">
        <is>
          <t>FOCAL 2020</t>
        </is>
      </c>
      <c r="C12" s="8" t="n">
        <v>6</v>
      </c>
      <c r="D12" s="8" t="inlineStr">
        <is>
          <t>HNB091</t>
        </is>
      </c>
      <c r="E12" s="8" t="inlineStr">
        <is>
          <t>MX_NVT_03B</t>
        </is>
      </c>
      <c r="F12" s="8" t="n">
        <v>550</v>
      </c>
      <c r="G12" s="8" t="n">
        <v>4460</v>
      </c>
      <c r="H12" s="8" t="inlineStr"/>
      <c r="I12" s="8" t="n">
        <v>59</v>
      </c>
      <c r="J12" s="8" t="inlineStr">
        <is>
          <t>1-2 (R2-04)</t>
        </is>
      </c>
      <c r="K12" s="8" t="inlineStr">
        <is>
          <t>—</t>
        </is>
      </c>
      <c r="L12" s="8" t="inlineStr">
        <is>
          <t>—</t>
        </is>
      </c>
      <c r="M12" s="8" t="inlineStr">
        <is>
          <t>—</t>
        </is>
      </c>
      <c r="N12" s="8" t="inlineStr">
        <is>
          <t>3-6</t>
        </is>
      </c>
      <c r="O12" s="8" t="inlineStr">
        <is>
          <t>các link R2-04 mất một hướng, ring vẫn bảo vệ</t>
        </is>
      </c>
    </row>
    <row r="13">
      <c r="A13" s="8" t="inlineStr">
        <is>
          <t>C09</t>
        </is>
      </c>
      <c r="B13" s="10" t="inlineStr">
        <is>
          <t>(chưa ghi mã cáp trong sổ)</t>
        </is>
      </c>
      <c r="C13" s="8" t="n">
        <v>12</v>
      </c>
      <c r="D13" s="8" t="inlineStr">
        <is>
          <t>MX_NVT_03B</t>
        </is>
      </c>
      <c r="E13" s="8" t="inlineStr">
        <is>
          <t>MX_NVT_02B</t>
        </is>
      </c>
      <c r="F13" s="8" t="n">
        <v>770</v>
      </c>
      <c r="G13" s="8" t="inlineStr"/>
      <c r="H13" s="8" t="inlineStr"/>
      <c r="I13" s="8" t="n">
        <v>64</v>
      </c>
      <c r="J13" s="8" t="inlineStr">
        <is>
          <t>3-4 (R1-04); 1-2 (R2-04)</t>
        </is>
      </c>
      <c r="K13" s="8" t="inlineStr">
        <is>
          <t>—</t>
        </is>
      </c>
      <c r="L13" s="8" t="inlineStr">
        <is>
          <t>—</t>
        </is>
      </c>
      <c r="M13" s="8" t="inlineStr">
        <is>
          <t>—</t>
        </is>
      </c>
      <c r="N13" s="8" t="inlineStr">
        <is>
          <t>5-12</t>
        </is>
      </c>
      <c r="O13" s="8" t="inlineStr">
        <is>
          <t>các link R1-04, R2-04 mất một hướng, ring vẫn bảo vệ</t>
        </is>
      </c>
    </row>
    <row r="14">
      <c r="A14" s="8" t="inlineStr">
        <is>
          <t>C10</t>
        </is>
      </c>
      <c r="B14" s="8" t="inlineStr">
        <is>
          <t>TPKL</t>
        </is>
      </c>
      <c r="C14" s="8" t="n">
        <v>12</v>
      </c>
      <c r="D14" s="8" t="inlineStr">
        <is>
          <t>MX_NVT_02B</t>
        </is>
      </c>
      <c r="E14" s="8" t="inlineStr">
        <is>
          <t>MX_LVL-05</t>
        </is>
      </c>
      <c r="F14" s="8" t="n">
        <v>6250</v>
      </c>
      <c r="G14" s="8" t="inlineStr"/>
      <c r="H14" s="8" t="inlineStr"/>
      <c r="I14" s="8" t="n">
        <v>65</v>
      </c>
      <c r="J14" s="8" t="inlineStr">
        <is>
          <t>3-4 (R1-04); 1-2 (R2-04)</t>
        </is>
      </c>
      <c r="K14" s="8" t="inlineStr">
        <is>
          <t>—</t>
        </is>
      </c>
      <c r="L14" s="8" t="inlineStr">
        <is>
          <t>5-12</t>
        </is>
      </c>
      <c r="M14" s="8" t="inlineStr">
        <is>
          <t>HNB066: 9-10; HNB005: 11-12</t>
        </is>
      </c>
      <c r="N14" s="8" t="inlineStr">
        <is>
          <t>—</t>
        </is>
      </c>
      <c r="O14" s="8" t="inlineStr">
        <is>
          <t>các link R1-04, R2-04 mất một hướng, ring vẫn bảo vệ</t>
        </is>
      </c>
    </row>
    <row r="15">
      <c r="A15" s="8" t="inlineStr">
        <is>
          <t>C11</t>
        </is>
      </c>
      <c r="B15" s="8" t="inlineStr">
        <is>
          <t>TPKL Postef 11/2016</t>
        </is>
      </c>
      <c r="C15" s="8" t="n">
        <v>24</v>
      </c>
      <c r="D15" s="8" t="inlineStr">
        <is>
          <t>MX_LVL-05</t>
        </is>
      </c>
      <c r="E15" s="8" t="inlineStr">
        <is>
          <t>MX_NB-01</t>
        </is>
      </c>
      <c r="F15" s="8" t="n">
        <v>3236</v>
      </c>
      <c r="G15" s="8" t="inlineStr"/>
      <c r="H15" s="8" t="inlineStr"/>
      <c r="I15" s="8" t="n">
        <v>32</v>
      </c>
      <c r="J15" s="8" t="inlineStr">
        <is>
          <t>21-22 (R1-04); 19-20 (R2-04)</t>
        </is>
      </c>
      <c r="K15" s="8" t="inlineStr">
        <is>
          <t>—</t>
        </is>
      </c>
      <c r="L15" s="8" t="inlineStr">
        <is>
          <t>1-18,23-24</t>
        </is>
      </c>
      <c r="M15" s="8" t="inlineStr">
        <is>
          <t>HNB012: 1-2; HNB011: 3-4; HNB055: 5-6; LACG43: 7-8</t>
        </is>
      </c>
      <c r="N15" s="8" t="inlineStr">
        <is>
          <t>—</t>
        </is>
      </c>
      <c r="O15" s="8" t="inlineStr">
        <is>
          <t>các link R1-04, R2-04 mất một hướng, ring vẫn bảo vệ</t>
        </is>
      </c>
    </row>
    <row r="16">
      <c r="A16" s="8" t="inlineStr">
        <is>
          <t>C12</t>
        </is>
      </c>
      <c r="B16" s="10" t="inlineStr">
        <is>
          <t>(chưa ghi mã cáp trong sổ)</t>
        </is>
      </c>
      <c r="C16" s="8" t="n">
        <v>12</v>
      </c>
      <c r="D16" s="8" t="inlineStr">
        <is>
          <t>MX_NB-01</t>
        </is>
      </c>
      <c r="E16" s="8" t="inlineStr">
        <is>
          <t>MX_NB-02</t>
        </is>
      </c>
      <c r="F16" s="8" t="n">
        <v>1040</v>
      </c>
      <c r="G16" s="8" t="inlineStr"/>
      <c r="H16" s="8" t="inlineStr"/>
      <c r="I16" s="8" t="n">
        <v>22</v>
      </c>
      <c r="J16" s="8" t="inlineStr">
        <is>
          <t>3-4 (R1-04); 1-2 (R2-04)</t>
        </is>
      </c>
      <c r="K16" s="8" t="inlineStr">
        <is>
          <t>—</t>
        </is>
      </c>
      <c r="L16" s="8" t="inlineStr">
        <is>
          <t>5-12</t>
        </is>
      </c>
      <c r="M16" s="8" t="inlineStr">
        <is>
          <t>HNB086: 7-8; TTC: 9-10</t>
        </is>
      </c>
      <c r="N16" s="8" t="inlineStr">
        <is>
          <t>—</t>
        </is>
      </c>
      <c r="O16" s="8" t="inlineStr">
        <is>
          <t>các link R1-04, R2-04 mất một hướng, ring vẫn bảo vệ</t>
        </is>
      </c>
    </row>
    <row r="17">
      <c r="A17" s="8" t="inlineStr">
        <is>
          <t>C13</t>
        </is>
      </c>
      <c r="B17" s="10" t="inlineStr">
        <is>
          <t>(chưa ghi mã cáp trong sổ)</t>
        </is>
      </c>
      <c r="C17" s="8" t="n">
        <v>12</v>
      </c>
      <c r="D17" s="8" t="inlineStr">
        <is>
          <t>MX_NB-02</t>
        </is>
      </c>
      <c r="E17" s="8" t="inlineStr">
        <is>
          <t>MX_NB-03</t>
        </is>
      </c>
      <c r="F17" s="8" t="n">
        <v>1408</v>
      </c>
      <c r="G17" s="8" t="inlineStr"/>
      <c r="H17" s="8" t="inlineStr"/>
      <c r="I17" s="8" t="n">
        <v>21</v>
      </c>
      <c r="J17" s="8" t="inlineStr">
        <is>
          <t>3-4 (R1-04); 1-2 (R2-04)</t>
        </is>
      </c>
      <c r="K17" s="8" t="inlineStr">
        <is>
          <t>—</t>
        </is>
      </c>
      <c r="L17" s="8" t="inlineStr">
        <is>
          <t>—</t>
        </is>
      </c>
      <c r="M17" s="8" t="inlineStr">
        <is>
          <t>—</t>
        </is>
      </c>
      <c r="N17" s="8" t="inlineStr">
        <is>
          <t>5-12</t>
        </is>
      </c>
      <c r="O17" s="8" t="inlineStr">
        <is>
          <t>các link R1-04, R2-04 mất một hướng, ring vẫn bảo vệ</t>
        </is>
      </c>
    </row>
    <row r="18">
      <c r="A18" s="8" t="inlineStr">
        <is>
          <t>C14</t>
        </is>
      </c>
      <c r="B18" s="10" t="inlineStr">
        <is>
          <t>(chưa ghi mã cáp trong sổ)</t>
        </is>
      </c>
      <c r="C18" s="8" t="n">
        <v>12</v>
      </c>
      <c r="D18" s="8" t="inlineStr">
        <is>
          <t>MX_NB-03</t>
        </is>
      </c>
      <c r="E18" s="8" t="inlineStr">
        <is>
          <t>MX_NB-04</t>
        </is>
      </c>
      <c r="F18" s="8" t="n">
        <v>1092</v>
      </c>
      <c r="G18" s="8" t="inlineStr"/>
      <c r="H18" s="8" t="inlineStr"/>
      <c r="I18" s="8" t="n">
        <v>20</v>
      </c>
      <c r="J18" s="8" t="inlineStr">
        <is>
          <t>3-4 (R1-04); 1-2 (R2-04)</t>
        </is>
      </c>
      <c r="K18" s="8" t="inlineStr">
        <is>
          <t>—</t>
        </is>
      </c>
      <c r="L18" s="8" t="inlineStr">
        <is>
          <t>—</t>
        </is>
      </c>
      <c r="M18" s="8" t="inlineStr">
        <is>
          <t>—</t>
        </is>
      </c>
      <c r="N18" s="8" t="inlineStr">
        <is>
          <t>5-12</t>
        </is>
      </c>
      <c r="O18" s="8" t="inlineStr">
        <is>
          <t>các link R1-04, R2-04 mất một hướng, ring vẫn bảo vệ</t>
        </is>
      </c>
    </row>
    <row r="19">
      <c r="A19" s="8" t="inlineStr">
        <is>
          <t>C15</t>
        </is>
      </c>
      <c r="B19" s="10" t="inlineStr">
        <is>
          <t>(chưa ghi mã cáp trong sổ)</t>
        </is>
      </c>
      <c r="C19" s="8" t="n">
        <v>12</v>
      </c>
      <c r="D19" s="8" t="inlineStr">
        <is>
          <t>MX_NB-04</t>
        </is>
      </c>
      <c r="E19" s="8" t="inlineStr">
        <is>
          <t>MX thẳng HTP</t>
        </is>
      </c>
      <c r="F19" s="8" t="n">
        <v>777</v>
      </c>
      <c r="G19" s="8" t="inlineStr"/>
      <c r="H19" s="8" t="inlineStr"/>
      <c r="I19" s="8" t="n">
        <v>19</v>
      </c>
      <c r="J19" s="8" t="inlineStr">
        <is>
          <t>3-4 (R1-04); 1-2 (R2-04)</t>
        </is>
      </c>
      <c r="K19" s="8" t="inlineStr">
        <is>
          <t>—</t>
        </is>
      </c>
      <c r="L19" s="8" t="inlineStr">
        <is>
          <t>—</t>
        </is>
      </c>
      <c r="M19" s="8" t="inlineStr">
        <is>
          <t>—</t>
        </is>
      </c>
      <c r="N19" s="8" t="inlineStr">
        <is>
          <t>5-12</t>
        </is>
      </c>
      <c r="O19" s="8" t="inlineStr">
        <is>
          <t>các link R1-04, R2-04 mất một hướng, ring vẫn bảo vệ</t>
        </is>
      </c>
    </row>
    <row r="20">
      <c r="A20" s="8" t="inlineStr">
        <is>
          <t>C16</t>
        </is>
      </c>
      <c r="B20" s="10" t="inlineStr">
        <is>
          <t>(chưa ghi mã cáp trong sổ)</t>
        </is>
      </c>
      <c r="C20" s="8" t="n">
        <v>12</v>
      </c>
      <c r="D20" s="8" t="inlineStr">
        <is>
          <t>MX thẳng HTP</t>
        </is>
      </c>
      <c r="E20" s="8" t="inlineStr">
        <is>
          <t>MX_HTP-03B</t>
        </is>
      </c>
      <c r="F20" s="8" t="n">
        <v>640</v>
      </c>
      <c r="G20" s="8" t="inlineStr"/>
      <c r="H20" s="8" t="inlineStr"/>
      <c r="I20" s="8" t="n">
        <v>18</v>
      </c>
      <c r="J20" s="8" t="inlineStr">
        <is>
          <t>3-4 (R1-04); 1-2 (R2-04)</t>
        </is>
      </c>
      <c r="K20" s="8" t="inlineStr">
        <is>
          <t>—</t>
        </is>
      </c>
      <c r="L20" s="8" t="inlineStr">
        <is>
          <t>—</t>
        </is>
      </c>
      <c r="M20" s="8" t="inlineStr">
        <is>
          <t>—</t>
        </is>
      </c>
      <c r="N20" s="8" t="inlineStr">
        <is>
          <t>5-12</t>
        </is>
      </c>
      <c r="O20" s="8" t="inlineStr">
        <is>
          <t>các link R1-04, R2-04 mất một hướng, ring vẫn bảo vệ</t>
        </is>
      </c>
    </row>
    <row r="21">
      <c r="A21" s="8" t="inlineStr">
        <is>
          <t>C17</t>
        </is>
      </c>
      <c r="B21" s="8" t="inlineStr">
        <is>
          <t>POSTEF</t>
        </is>
      </c>
      <c r="C21" s="8" t="n">
        <v>24</v>
      </c>
      <c r="D21" s="8" t="inlineStr">
        <is>
          <t>MX_HTP-03B</t>
        </is>
      </c>
      <c r="E21" s="8" t="inlineStr">
        <is>
          <t>ODF-02 NBE22</t>
        </is>
      </c>
      <c r="F21" s="8" t="n">
        <v>260</v>
      </c>
      <c r="G21" s="8" t="n">
        <v>1550</v>
      </c>
      <c r="H21" s="8" t="n">
        <v>1288</v>
      </c>
      <c r="I21" s="8" t="n">
        <v>17</v>
      </c>
      <c r="J21" s="8" t="inlineStr">
        <is>
          <t>3-4 (R1-04); 1-2 (R2-04)</t>
        </is>
      </c>
      <c r="K21" s="8" t="inlineStr">
        <is>
          <t>—</t>
        </is>
      </c>
      <c r="L21" s="8" t="inlineStr">
        <is>
          <t>—</t>
        </is>
      </c>
      <c r="M21" s="8" t="inlineStr">
        <is>
          <t>—</t>
        </is>
      </c>
      <c r="N21" s="8" t="inlineStr">
        <is>
          <t>5-24</t>
        </is>
      </c>
      <c r="O21" s="8" t="inlineStr">
        <is>
          <t>các link R1-04, R2-04 mất một hướng, ring vẫn bảo vệ</t>
        </is>
      </c>
    </row>
    <row r="22">
      <c r="A22" s="8" t="inlineStr">
        <is>
          <t>C18</t>
        </is>
      </c>
      <c r="B22" s="8" t="inlineStr">
        <is>
          <t>FOCAL 2020</t>
        </is>
      </c>
      <c r="C22" s="8" t="n">
        <v>6</v>
      </c>
      <c r="D22" s="8" t="inlineStr">
        <is>
          <t>MX_NVT_03A</t>
        </is>
      </c>
      <c r="E22" s="8" t="inlineStr">
        <is>
          <t>HNB059</t>
        </is>
      </c>
      <c r="F22" s="8" t="n">
        <v>1933</v>
      </c>
      <c r="G22" s="8" t="inlineStr"/>
      <c r="H22" s="8" t="n">
        <v>4415</v>
      </c>
      <c r="I22" s="8" t="n">
        <v>60</v>
      </c>
      <c r="J22" s="8" t="inlineStr">
        <is>
          <t>1-2 (R1-01)</t>
        </is>
      </c>
      <c r="K22" s="8" t="inlineStr">
        <is>
          <t>—</t>
        </is>
      </c>
      <c r="L22" s="8" t="inlineStr">
        <is>
          <t>—</t>
        </is>
      </c>
      <c r="M22" s="8" t="inlineStr">
        <is>
          <t>—</t>
        </is>
      </c>
      <c r="N22" s="8" t="inlineStr">
        <is>
          <t>3-6</t>
        </is>
      </c>
      <c r="O22" s="8" t="inlineStr">
        <is>
          <t>các link R1-01 mất một hướng, ring vẫn bảo vệ</t>
        </is>
      </c>
    </row>
    <row r="23">
      <c r="A23" s="8" t="inlineStr">
        <is>
          <t>C19</t>
        </is>
      </c>
      <c r="B23" s="8" t="inlineStr">
        <is>
          <t>FOCAL 2020</t>
        </is>
      </c>
      <c r="C23" s="8" t="n">
        <v>6</v>
      </c>
      <c r="D23" s="8" t="inlineStr">
        <is>
          <t>HNB059</t>
        </is>
      </c>
      <c r="E23" s="8" t="inlineStr">
        <is>
          <t>HNB060</t>
        </is>
      </c>
      <c r="F23" s="8" t="n">
        <v>3086</v>
      </c>
      <c r="G23" s="8" t="n">
        <v>279</v>
      </c>
      <c r="H23" s="8" t="n">
        <v>1</v>
      </c>
      <c r="I23" s="8" t="n">
        <v>61</v>
      </c>
      <c r="J23" s="8" t="inlineStr">
        <is>
          <t>1-2 (R1-02)</t>
        </is>
      </c>
      <c r="K23" s="8" t="inlineStr">
        <is>
          <t>—</t>
        </is>
      </c>
      <c r="L23" s="8" t="inlineStr">
        <is>
          <t>—</t>
        </is>
      </c>
      <c r="M23" s="8" t="inlineStr">
        <is>
          <t>—</t>
        </is>
      </c>
      <c r="N23" s="8" t="inlineStr">
        <is>
          <t>3-6</t>
        </is>
      </c>
      <c r="O23" s="8" t="inlineStr">
        <is>
          <t>các link R1-02 mất một hướng, ring vẫn bảo vệ</t>
        </is>
      </c>
    </row>
    <row r="24">
      <c r="A24" s="8" t="inlineStr">
        <is>
          <t>C20</t>
        </is>
      </c>
      <c r="B24" s="8" t="inlineStr">
        <is>
          <t>FOCAL 2020</t>
        </is>
      </c>
      <c r="C24" s="8" t="n">
        <v>6</v>
      </c>
      <c r="D24" s="8" t="inlineStr">
        <is>
          <t>HNB060</t>
        </is>
      </c>
      <c r="E24" s="8" t="inlineStr">
        <is>
          <t>HNB048</t>
        </is>
      </c>
      <c r="F24" s="8" t="n">
        <v>4405</v>
      </c>
      <c r="G24" s="8" t="n">
        <v>1</v>
      </c>
      <c r="H24" s="8" t="n">
        <v>5</v>
      </c>
      <c r="I24" s="8" t="n">
        <v>62</v>
      </c>
      <c r="J24" s="8" t="inlineStr">
        <is>
          <t>1-2 (R1-03)</t>
        </is>
      </c>
      <c r="K24" s="8" t="inlineStr">
        <is>
          <t>—</t>
        </is>
      </c>
      <c r="L24" s="8" t="inlineStr">
        <is>
          <t>—</t>
        </is>
      </c>
      <c r="M24" s="8" t="inlineStr">
        <is>
          <t>—</t>
        </is>
      </c>
      <c r="N24" s="8" t="inlineStr">
        <is>
          <t>3-6</t>
        </is>
      </c>
      <c r="O24" s="8" t="inlineStr">
        <is>
          <t>các link R1-03 mất một hướng, ring vẫn bảo vệ</t>
        </is>
      </c>
    </row>
    <row r="25">
      <c r="A25" s="8" t="inlineStr">
        <is>
          <t>C21</t>
        </is>
      </c>
      <c r="B25" s="8" t="inlineStr">
        <is>
          <t>FOCAL 2020</t>
        </is>
      </c>
      <c r="C25" s="8" t="n">
        <v>6</v>
      </c>
      <c r="D25" s="8" t="inlineStr">
        <is>
          <t>HNB048</t>
        </is>
      </c>
      <c r="E25" s="8" t="inlineStr">
        <is>
          <t>MX_NVT_03B</t>
        </is>
      </c>
      <c r="F25" s="8" t="n">
        <v>1680</v>
      </c>
      <c r="G25" s="8" t="n">
        <v>2445</v>
      </c>
      <c r="H25" s="8" t="inlineStr"/>
      <c r="I25" s="8" t="n">
        <v>63</v>
      </c>
      <c r="J25" s="8" t="inlineStr">
        <is>
          <t>1-2 (R1-04)</t>
        </is>
      </c>
      <c r="K25" s="8" t="inlineStr">
        <is>
          <t>—</t>
        </is>
      </c>
      <c r="L25" s="8" t="inlineStr">
        <is>
          <t>—</t>
        </is>
      </c>
      <c r="M25" s="8" t="inlineStr">
        <is>
          <t>—</t>
        </is>
      </c>
      <c r="N25" s="8" t="inlineStr">
        <is>
          <t>3-6</t>
        </is>
      </c>
      <c r="O25" s="8" t="inlineStr">
        <is>
          <t>các link R1-04 mất một hướng, ring vẫn bảo vệ</t>
        </is>
      </c>
    </row>
  </sheetData>
  <autoFilter ref="A4:O25"/>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B19"/>
  <sheetViews>
    <sheetView showGridLines="0" workbookViewId="0">
      <selection activeCell="A1" sqref="A1"/>
    </sheetView>
  </sheetViews>
  <sheetFormatPr baseColWidth="8" defaultRowHeight="15"/>
  <cols>
    <col width="26" customWidth="1" min="1" max="1"/>
    <col width="80" customWidth="1" min="2" max="2"/>
  </cols>
  <sheetData>
    <row r="1">
      <c r="A1" s="1" t="inlineStr">
        <is>
          <t>Tra cứu cáp khi có sự cố</t>
        </is>
      </c>
    </row>
    <row r="2">
      <c r="A2" s="2" t="inlineStr">
        <is>
          <t>Chọn mã nội bộ ở ô vàng (C01…) hoặc xem bảng Hồ sơ cáp.</t>
        </is>
      </c>
    </row>
    <row r="4">
      <c r="A4" s="12" t="inlineStr">
        <is>
          <t>Mã nội bộ</t>
        </is>
      </c>
      <c r="B4" s="13" t="inlineStr">
        <is>
          <t>C04</t>
        </is>
      </c>
    </row>
    <row r="6">
      <c r="A6" s="14" t="inlineStr">
        <is>
          <t>Mã cáp (sổ)</t>
        </is>
      </c>
      <c r="B6" s="8">
        <f>INDEX('Hồ sơ cáp'!B$5:B$25,MATCH($B$4,'Hồ sơ cáp'!$A$5:$A$25,0))&amp;""</f>
        <v/>
      </c>
    </row>
    <row r="7">
      <c r="A7" s="14" t="inlineStr">
        <is>
          <t>Số FO</t>
        </is>
      </c>
      <c r="B7" s="8">
        <f>INDEX('Hồ sơ cáp'!C$5:C$25,MATCH($B$4,'Hồ sơ cáp'!$A$5:$A$25,0))&amp;""</f>
        <v/>
      </c>
    </row>
    <row r="8">
      <c r="A8" s="14" t="inlineStr">
        <is>
          <t>Từ</t>
        </is>
      </c>
      <c r="B8" s="8">
        <f>INDEX('Hồ sơ cáp'!D$5:D$25,MATCH($B$4,'Hồ sơ cáp'!$A$5:$A$25,0))&amp;""</f>
        <v/>
      </c>
    </row>
    <row r="9">
      <c r="A9" s="14" t="inlineStr">
        <is>
          <t>Đến</t>
        </is>
      </c>
      <c r="B9" s="8">
        <f>INDEX('Hồ sơ cáp'!E$5:E$25,MATCH($B$4,'Hồ sơ cáp'!$A$5:$A$25,0))&amp;""</f>
        <v/>
      </c>
    </row>
    <row r="10">
      <c r="A10" s="14" t="inlineStr">
        <is>
          <t>Dài (m)</t>
        </is>
      </c>
      <c r="B10" s="8">
        <f>INDEX('Hồ sơ cáp'!F$5:F$25,MATCH($B$4,'Hồ sơ cáp'!$A$5:$A$25,0))&amp;""</f>
        <v/>
      </c>
    </row>
    <row r="11">
      <c r="A11" s="14" t="inlineStr">
        <is>
          <t>Chỉ số mét đầu</t>
        </is>
      </c>
      <c r="B11" s="8">
        <f>INDEX('Hồ sơ cáp'!G$5:G$25,MATCH($B$4,'Hồ sơ cáp'!$A$5:$A$25,0))&amp;""</f>
        <v/>
      </c>
    </row>
    <row r="12">
      <c r="A12" s="14" t="inlineStr">
        <is>
          <t>Chỉ số mét cuối</t>
        </is>
      </c>
      <c r="B12" s="8">
        <f>INDEX('Hồ sơ cáp'!H$5:H$25,MATCH($B$4,'Hồ sơ cáp'!$A$5:$A$25,0))&amp;""</f>
        <v/>
      </c>
    </row>
    <row r="13">
      <c r="A13" s="14" t="inlineStr">
        <is>
          <t>Dòng sổ cáp</t>
        </is>
      </c>
      <c r="B13" s="8">
        <f>INDEX('Hồ sơ cáp'!I$5:I$25,MATCH($B$4,'Hồ sơ cáp'!$A$5:$A$25,0))&amp;""</f>
        <v/>
      </c>
    </row>
    <row r="14">
      <c r="A14" s="14" t="inlineStr">
        <is>
          <t>Core đang chạy (link)</t>
        </is>
      </c>
      <c r="B14" s="8">
        <f>INDEX('Hồ sơ cáp'!J$5:J$25,MATCH($B$4,'Hồ sơ cáp'!$A$5:$A$25,0))&amp;""</f>
        <v/>
      </c>
    </row>
    <row r="15">
      <c r="A15" s="14" t="inlineStr">
        <is>
          <t>Core hư</t>
        </is>
      </c>
      <c r="B15" s="8">
        <f>INDEX('Hồ sơ cáp'!K$5:K$25,MATCH($B$4,'Hồ sơ cáp'!$A$5:$A$25,0))&amp;""</f>
        <v/>
      </c>
    </row>
    <row r="16">
      <c r="A16" s="14" t="inlineStr">
        <is>
          <t>Core có nhãn, chưa gán</t>
        </is>
      </c>
      <c r="B16" s="8">
        <f>INDEX('Hồ sơ cáp'!L$5:L$25,MATCH($B$4,'Hồ sơ cáp'!$A$5:$A$25,0))&amp;""</f>
        <v/>
      </c>
    </row>
    <row r="17">
      <c r="A17" s="14" t="inlineStr">
        <is>
          <t>Trạm ghi trong nhãn</t>
        </is>
      </c>
      <c r="B17" s="8">
        <f>INDEX('Hồ sơ cáp'!M$5:M$25,MATCH($B$4,'Hồ sơ cáp'!$A$5:$A$25,0))&amp;""</f>
        <v/>
      </c>
    </row>
    <row r="18">
      <c r="A18" s="14" t="inlineStr">
        <is>
          <t>Core trống</t>
        </is>
      </c>
      <c r="B18" s="8">
        <f>INDEX('Hồ sơ cáp'!N$5:N$25,MATCH($B$4,'Hồ sơ cáp'!$A$5:$A$25,0))&amp;""</f>
        <v/>
      </c>
    </row>
    <row r="19">
      <c r="A19" s="14" t="inlineStr">
        <is>
          <t>Hệ quả khi đứt cáp</t>
        </is>
      </c>
      <c r="B19" s="8">
        <f>INDEX('Hồ sơ cáp'!O$5:O$25,MATCH($B$4,'Hồ sơ cáp'!$A$5:$A$25,0))&amp;""</f>
        <v/>
      </c>
    </row>
  </sheetData>
  <dataValidations count="1">
    <dataValidation sqref="B4" showDropDown="0" showInputMessage="0" showErrorMessage="0" allowBlank="0" type="list">
      <formula1>='Hồ sơ cáp'!$A$5:$A$25</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K2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24" customWidth="1" min="2" max="2"/>
    <col width="5" customWidth="1" min="3" max="3"/>
    <col width="9" customWidth="1" min="4" max="4"/>
    <col width="26" customWidth="1" min="5" max="5"/>
    <col width="8" customWidth="1" min="6" max="6"/>
    <col width="10" customWidth="1" min="7" max="7"/>
    <col width="10" customWidth="1" min="8" max="8"/>
    <col width="12" customWidth="1" min="9" max="9"/>
    <col width="26" customWidth="1" min="10" max="10"/>
    <col width="60" customWidth="1" min="11" max="11"/>
  </cols>
  <sheetData>
    <row r="1">
      <c r="A1" s="1" t="inlineStr">
        <is>
          <t>Cân đối tải giữa các cáp và kiểm tra quy tắc cáp vào trạm</t>
        </is>
      </c>
    </row>
    <row r="2">
      <c r="A2" s="2" t="inlineStr">
        <is>
          <t>Quy tắc: cáp vào trạm từ MX trục gần trạm (&lt;300 m) chấp nhận nếu ≥12FO; cáp dùng chung nhiều link được phép nhưng cần cân đối. "Số link" = số link đang mô tả chạy trên cáp = số link mất cùng lúc khi đứt cáp.</t>
        </is>
      </c>
    </row>
    <row r="4" ht="32" customHeight="1">
      <c r="A4" s="3" t="inlineStr">
        <is>
          <t>Mã</t>
        </is>
      </c>
      <c r="B4" s="3" t="inlineStr">
        <is>
          <t>Mã cáp (sổ)</t>
        </is>
      </c>
      <c r="C4" s="3" t="inlineStr">
        <is>
          <t>FO</t>
        </is>
      </c>
      <c r="D4" s="3" t="inlineStr">
        <is>
          <t>Dài (m)</t>
        </is>
      </c>
      <c r="E4" s="3" t="inlineStr">
        <is>
          <t>Loại</t>
        </is>
      </c>
      <c r="F4" s="3" t="inlineStr">
        <is>
          <t>Số link</t>
        </is>
      </c>
      <c r="G4" s="3" t="inlineStr">
        <is>
          <t>Ring</t>
        </is>
      </c>
      <c r="H4" s="3" t="inlineStr">
        <is>
          <t>Core dùng</t>
        </is>
      </c>
      <c r="I4" s="3" t="inlineStr">
        <is>
          <t>Tỷ lệ core dùng</t>
        </is>
      </c>
      <c r="J4" s="3" t="inlineStr">
        <is>
          <t>Kiểm tra quy tắc</t>
        </is>
      </c>
      <c r="K4" s="3" t="inlineStr">
        <is>
          <t>Hệ quả khi đứt</t>
        </is>
      </c>
    </row>
    <row r="5">
      <c r="A5" s="4" t="inlineStr">
        <is>
          <t>C01</t>
        </is>
      </c>
      <c r="B5" s="4" t="inlineStr">
        <is>
          <t>ADSS 9/2009</t>
        </is>
      </c>
      <c r="C5" s="4" t="n">
        <v>24</v>
      </c>
      <c r="D5" s="4" t="n">
        <v>150</v>
      </c>
      <c r="E5" s="4" t="inlineStr">
        <is>
          <t>cáp trục</t>
        </is>
      </c>
      <c r="F5" s="4" t="n">
        <v>2</v>
      </c>
      <c r="G5" s="4" t="inlineStr">
        <is>
          <t>R1+R2</t>
        </is>
      </c>
      <c r="H5" s="4" t="n">
        <v>4</v>
      </c>
      <c r="I5" s="15">
        <f>H5/C5</f>
        <v/>
      </c>
      <c r="J5" s="4" t="inlineStr">
        <is>
          <t>—</t>
        </is>
      </c>
      <c r="K5" s="4" t="inlineStr">
        <is>
          <t>các link R1-01, R2-01 mất một hướng, ring vẫn bảo vệ</t>
        </is>
      </c>
    </row>
    <row r="6">
      <c r="A6" s="4" t="inlineStr">
        <is>
          <t>C02</t>
        </is>
      </c>
      <c r="B6" s="4" t="inlineStr">
        <is>
          <t>SACOM 8/2014</t>
        </is>
      </c>
      <c r="C6" s="4" t="n">
        <v>12</v>
      </c>
      <c r="D6" s="4" t="n">
        <v>680</v>
      </c>
      <c r="E6" s="4" t="inlineStr">
        <is>
          <t>cáp trục</t>
        </is>
      </c>
      <c r="F6" s="4" t="n">
        <v>2</v>
      </c>
      <c r="G6" s="4" t="inlineStr">
        <is>
          <t>R1+R2</t>
        </is>
      </c>
      <c r="H6" s="4" t="n">
        <v>4</v>
      </c>
      <c r="I6" s="15">
        <f>H6/C6</f>
        <v/>
      </c>
      <c r="J6" s="4" t="inlineStr">
        <is>
          <t>—</t>
        </is>
      </c>
      <c r="K6" s="4" t="inlineStr">
        <is>
          <t>các link R1-01, R2-01 mất một hướng, ring vẫn bảo vệ</t>
        </is>
      </c>
    </row>
    <row r="7">
      <c r="A7" s="4" t="inlineStr">
        <is>
          <t>C03</t>
        </is>
      </c>
      <c r="B7" s="4" t="inlineStr">
        <is>
          <t>FOCAL 9/2020</t>
        </is>
      </c>
      <c r="C7" s="4" t="n">
        <v>12</v>
      </c>
      <c r="D7" s="4" t="n">
        <v>150</v>
      </c>
      <c r="E7" s="4" t="inlineStr">
        <is>
          <t>cáp vào trạm</t>
        </is>
      </c>
      <c r="F7" s="4" t="n">
        <v>2</v>
      </c>
      <c r="G7" s="4" t="inlineStr">
        <is>
          <t>R2</t>
        </is>
      </c>
      <c r="H7" s="4" t="n">
        <v>4</v>
      </c>
      <c r="I7" s="15">
        <f>H7/C7</f>
        <v/>
      </c>
      <c r="J7" s="16" t="inlineStr">
        <is>
          <t>đạt (&lt;300 m, ≥12FO)</t>
        </is>
      </c>
      <c r="K7" s="4" t="inlineStr">
        <is>
          <t>MẤT KẾT NỐI: HNB054</t>
        </is>
      </c>
    </row>
    <row r="8">
      <c r="A8" s="4" t="inlineStr">
        <is>
          <t>C04</t>
        </is>
      </c>
      <c r="B8" s="4" t="inlineStr">
        <is>
          <t>FOCAL 9/2020</t>
        </is>
      </c>
      <c r="C8" s="4" t="n">
        <v>12</v>
      </c>
      <c r="D8" s="4" t="n">
        <v>1060</v>
      </c>
      <c r="E8" s="4" t="inlineStr">
        <is>
          <t>cáp trục</t>
        </is>
      </c>
      <c r="F8" s="4" t="n">
        <v>2</v>
      </c>
      <c r="G8" s="4" t="inlineStr">
        <is>
          <t>R1+R2</t>
        </is>
      </c>
      <c r="H8" s="4" t="n">
        <v>4</v>
      </c>
      <c r="I8" s="15">
        <f>H8/C8</f>
        <v/>
      </c>
      <c r="J8" s="4" t="inlineStr">
        <is>
          <t>—</t>
        </is>
      </c>
      <c r="K8" s="4" t="inlineStr">
        <is>
          <t>các link R1-01, R2-02 mất một hướng, ring vẫn bảo vệ</t>
        </is>
      </c>
    </row>
    <row r="9">
      <c r="A9" s="4" t="inlineStr">
        <is>
          <t>C05</t>
        </is>
      </c>
      <c r="B9" s="4" t="inlineStr">
        <is>
          <t>(chưa ghi mã cáp trong sổ)</t>
        </is>
      </c>
      <c r="C9" s="4" t="n">
        <v>12</v>
      </c>
      <c r="D9" s="4" t="n">
        <v>220</v>
      </c>
      <c r="E9" s="4" t="inlineStr">
        <is>
          <t>cáp vào trạm</t>
        </is>
      </c>
      <c r="F9" s="4" t="n">
        <v>2</v>
      </c>
      <c r="G9" s="4" t="inlineStr">
        <is>
          <t>R2</t>
        </is>
      </c>
      <c r="H9" s="4" t="n">
        <v>4</v>
      </c>
      <c r="I9" s="15">
        <f>H9/C9</f>
        <v/>
      </c>
      <c r="J9" s="16" t="inlineStr">
        <is>
          <t>đạt (&lt;300 m, ≥12FO)</t>
        </is>
      </c>
      <c r="K9" s="4" t="inlineStr">
        <is>
          <t>MẤT KẾT NỐI: HNB006</t>
        </is>
      </c>
    </row>
    <row r="10">
      <c r="A10" s="4" t="inlineStr">
        <is>
          <t>C06</t>
        </is>
      </c>
      <c r="B10" s="4" t="inlineStr">
        <is>
          <t>(chưa ghi mã cáp trong sổ)</t>
        </is>
      </c>
      <c r="C10" s="4" t="n">
        <v>12</v>
      </c>
      <c r="D10" s="4" t="n">
        <v>845</v>
      </c>
      <c r="E10" s="4" t="inlineStr">
        <is>
          <t>cáp trục</t>
        </is>
      </c>
      <c r="F10" s="4" t="n">
        <v>2</v>
      </c>
      <c r="G10" s="4" t="inlineStr">
        <is>
          <t>R1+R2</t>
        </is>
      </c>
      <c r="H10" s="4" t="n">
        <v>4</v>
      </c>
      <c r="I10" s="15">
        <f>H10/C10</f>
        <v/>
      </c>
      <c r="J10" s="4" t="inlineStr">
        <is>
          <t>—</t>
        </is>
      </c>
      <c r="K10" s="4" t="inlineStr">
        <is>
          <t>các link R1-01, R2-03 mất một hướng, ring vẫn bảo vệ</t>
        </is>
      </c>
    </row>
    <row r="11">
      <c r="A11" s="4" t="inlineStr">
        <is>
          <t>C09</t>
        </is>
      </c>
      <c r="B11" s="4" t="inlineStr">
        <is>
          <t>(chưa ghi mã cáp trong sổ)</t>
        </is>
      </c>
      <c r="C11" s="4" t="n">
        <v>12</v>
      </c>
      <c r="D11" s="4" t="n">
        <v>770</v>
      </c>
      <c r="E11" s="4" t="inlineStr">
        <is>
          <t>cáp trục</t>
        </is>
      </c>
      <c r="F11" s="4" t="n">
        <v>2</v>
      </c>
      <c r="G11" s="4" t="inlineStr">
        <is>
          <t>R1+R2</t>
        </is>
      </c>
      <c r="H11" s="4" t="n">
        <v>4</v>
      </c>
      <c r="I11" s="15">
        <f>H11/C11</f>
        <v/>
      </c>
      <c r="J11" s="4" t="inlineStr">
        <is>
          <t>—</t>
        </is>
      </c>
      <c r="K11" s="4" t="inlineStr">
        <is>
          <t>các link R1-04, R2-04 mất một hướng, ring vẫn bảo vệ</t>
        </is>
      </c>
    </row>
    <row r="12">
      <c r="A12" s="4" t="inlineStr">
        <is>
          <t>C10</t>
        </is>
      </c>
      <c r="B12" s="4" t="inlineStr">
        <is>
          <t>TPKL</t>
        </is>
      </c>
      <c r="C12" s="4" t="n">
        <v>12</v>
      </c>
      <c r="D12" s="4" t="n">
        <v>6250</v>
      </c>
      <c r="E12" s="4" t="inlineStr">
        <is>
          <t>cáp trục</t>
        </is>
      </c>
      <c r="F12" s="4" t="n">
        <v>2</v>
      </c>
      <c r="G12" s="4" t="inlineStr">
        <is>
          <t>R1+R2</t>
        </is>
      </c>
      <c r="H12" s="4" t="n">
        <v>4</v>
      </c>
      <c r="I12" s="15">
        <f>H12/C12</f>
        <v/>
      </c>
      <c r="J12" s="4" t="inlineStr">
        <is>
          <t>—</t>
        </is>
      </c>
      <c r="K12" s="4" t="inlineStr">
        <is>
          <t>các link R1-04, R2-04 mất một hướng, ring vẫn bảo vệ</t>
        </is>
      </c>
    </row>
    <row r="13">
      <c r="A13" s="4" t="inlineStr">
        <is>
          <t>C11</t>
        </is>
      </c>
      <c r="B13" s="4" t="inlineStr">
        <is>
          <t>TPKL Postef 11/2016</t>
        </is>
      </c>
      <c r="C13" s="4" t="n">
        <v>24</v>
      </c>
      <c r="D13" s="4" t="n">
        <v>3236</v>
      </c>
      <c r="E13" s="4" t="inlineStr">
        <is>
          <t>cáp trục</t>
        </is>
      </c>
      <c r="F13" s="4" t="n">
        <v>2</v>
      </c>
      <c r="G13" s="4" t="inlineStr">
        <is>
          <t>R1+R2</t>
        </is>
      </c>
      <c r="H13" s="4" t="n">
        <v>4</v>
      </c>
      <c r="I13" s="15">
        <f>H13/C13</f>
        <v/>
      </c>
      <c r="J13" s="4" t="inlineStr">
        <is>
          <t>—</t>
        </is>
      </c>
      <c r="K13" s="4" t="inlineStr">
        <is>
          <t>các link R1-04, R2-04 mất một hướng, ring vẫn bảo vệ</t>
        </is>
      </c>
    </row>
    <row r="14">
      <c r="A14" s="4" t="inlineStr">
        <is>
          <t>C12</t>
        </is>
      </c>
      <c r="B14" s="4" t="inlineStr">
        <is>
          <t>(chưa ghi mã cáp trong sổ)</t>
        </is>
      </c>
      <c r="C14" s="4" t="n">
        <v>12</v>
      </c>
      <c r="D14" s="4" t="n">
        <v>1040</v>
      </c>
      <c r="E14" s="4" t="inlineStr">
        <is>
          <t>cáp trục</t>
        </is>
      </c>
      <c r="F14" s="4" t="n">
        <v>2</v>
      </c>
      <c r="G14" s="4" t="inlineStr">
        <is>
          <t>R1+R2</t>
        </is>
      </c>
      <c r="H14" s="4" t="n">
        <v>4</v>
      </c>
      <c r="I14" s="15">
        <f>H14/C14</f>
        <v/>
      </c>
      <c r="J14" s="4" t="inlineStr">
        <is>
          <t>—</t>
        </is>
      </c>
      <c r="K14" s="4" t="inlineStr">
        <is>
          <t>các link R1-04, R2-04 mất một hướng, ring vẫn bảo vệ</t>
        </is>
      </c>
    </row>
    <row r="15">
      <c r="A15" s="4" t="inlineStr">
        <is>
          <t>C13</t>
        </is>
      </c>
      <c r="B15" s="4" t="inlineStr">
        <is>
          <t>(chưa ghi mã cáp trong sổ)</t>
        </is>
      </c>
      <c r="C15" s="4" t="n">
        <v>12</v>
      </c>
      <c r="D15" s="4" t="n">
        <v>1408</v>
      </c>
      <c r="E15" s="4" t="inlineStr">
        <is>
          <t>cáp trục</t>
        </is>
      </c>
      <c r="F15" s="4" t="n">
        <v>2</v>
      </c>
      <c r="G15" s="4" t="inlineStr">
        <is>
          <t>R1+R2</t>
        </is>
      </c>
      <c r="H15" s="4" t="n">
        <v>4</v>
      </c>
      <c r="I15" s="15">
        <f>H15/C15</f>
        <v/>
      </c>
      <c r="J15" s="4" t="inlineStr">
        <is>
          <t>—</t>
        </is>
      </c>
      <c r="K15" s="4" t="inlineStr">
        <is>
          <t>các link R1-04, R2-04 mất một hướng, ring vẫn bảo vệ</t>
        </is>
      </c>
    </row>
    <row r="16">
      <c r="A16" s="4" t="inlineStr">
        <is>
          <t>C14</t>
        </is>
      </c>
      <c r="B16" s="4" t="inlineStr">
        <is>
          <t>(chưa ghi mã cáp trong sổ)</t>
        </is>
      </c>
      <c r="C16" s="4" t="n">
        <v>12</v>
      </c>
      <c r="D16" s="4" t="n">
        <v>1092</v>
      </c>
      <c r="E16" s="4" t="inlineStr">
        <is>
          <t>cáp trục</t>
        </is>
      </c>
      <c r="F16" s="4" t="n">
        <v>2</v>
      </c>
      <c r="G16" s="4" t="inlineStr">
        <is>
          <t>R1+R2</t>
        </is>
      </c>
      <c r="H16" s="4" t="n">
        <v>4</v>
      </c>
      <c r="I16" s="15">
        <f>H16/C16</f>
        <v/>
      </c>
      <c r="J16" s="4" t="inlineStr">
        <is>
          <t>—</t>
        </is>
      </c>
      <c r="K16" s="4" t="inlineStr">
        <is>
          <t>các link R1-04, R2-04 mất một hướng, ring vẫn bảo vệ</t>
        </is>
      </c>
    </row>
    <row r="17">
      <c r="A17" s="4" t="inlineStr">
        <is>
          <t>C15</t>
        </is>
      </c>
      <c r="B17" s="4" t="inlineStr">
        <is>
          <t>(chưa ghi mã cáp trong sổ)</t>
        </is>
      </c>
      <c r="C17" s="4" t="n">
        <v>12</v>
      </c>
      <c r="D17" s="4" t="n">
        <v>777</v>
      </c>
      <c r="E17" s="4" t="inlineStr">
        <is>
          <t>cáp trục</t>
        </is>
      </c>
      <c r="F17" s="4" t="n">
        <v>2</v>
      </c>
      <c r="G17" s="4" t="inlineStr">
        <is>
          <t>R1+R2</t>
        </is>
      </c>
      <c r="H17" s="4" t="n">
        <v>4</v>
      </c>
      <c r="I17" s="15">
        <f>H17/C17</f>
        <v/>
      </c>
      <c r="J17" s="4" t="inlineStr">
        <is>
          <t>—</t>
        </is>
      </c>
      <c r="K17" s="4" t="inlineStr">
        <is>
          <t>các link R1-04, R2-04 mất một hướng, ring vẫn bảo vệ</t>
        </is>
      </c>
    </row>
    <row r="18">
      <c r="A18" s="4" t="inlineStr">
        <is>
          <t>C16</t>
        </is>
      </c>
      <c r="B18" s="4" t="inlineStr">
        <is>
          <t>(chưa ghi mã cáp trong sổ)</t>
        </is>
      </c>
      <c r="C18" s="4" t="n">
        <v>12</v>
      </c>
      <c r="D18" s="4" t="n">
        <v>640</v>
      </c>
      <c r="E18" s="4" t="inlineStr">
        <is>
          <t>cáp trục</t>
        </is>
      </c>
      <c r="F18" s="4" t="n">
        <v>2</v>
      </c>
      <c r="G18" s="4" t="inlineStr">
        <is>
          <t>R1+R2</t>
        </is>
      </c>
      <c r="H18" s="4" t="n">
        <v>4</v>
      </c>
      <c r="I18" s="15">
        <f>H18/C18</f>
        <v/>
      </c>
      <c r="J18" s="4" t="inlineStr">
        <is>
          <t>—</t>
        </is>
      </c>
      <c r="K18" s="4" t="inlineStr">
        <is>
          <t>các link R1-04, R2-04 mất một hướng, ring vẫn bảo vệ</t>
        </is>
      </c>
    </row>
    <row r="19">
      <c r="A19" s="4" t="inlineStr">
        <is>
          <t>C17</t>
        </is>
      </c>
      <c r="B19" s="4" t="inlineStr">
        <is>
          <t>POSTEF</t>
        </is>
      </c>
      <c r="C19" s="4" t="n">
        <v>24</v>
      </c>
      <c r="D19" s="4" t="n">
        <v>260</v>
      </c>
      <c r="E19" s="4" t="inlineStr">
        <is>
          <t>cáp vào trạm</t>
        </is>
      </c>
      <c r="F19" s="4" t="n">
        <v>2</v>
      </c>
      <c r="G19" s="4" t="inlineStr">
        <is>
          <t>R1+R2</t>
        </is>
      </c>
      <c r="H19" s="4" t="n">
        <v>4</v>
      </c>
      <c r="I19" s="15">
        <f>H19/C19</f>
        <v/>
      </c>
      <c r="J19" s="16" t="inlineStr">
        <is>
          <t>đạt (&lt;300 m, ≥12FO)</t>
        </is>
      </c>
      <c r="K19" s="4" t="inlineStr">
        <is>
          <t>các link R1-04, R2-04 mất một hướng, ring vẫn bảo vệ</t>
        </is>
      </c>
    </row>
    <row r="20">
      <c r="A20" s="4" t="inlineStr">
        <is>
          <t>C07</t>
        </is>
      </c>
      <c r="B20" s="4" t="inlineStr">
        <is>
          <t>FOCAL 2020</t>
        </is>
      </c>
      <c r="C20" s="4" t="n">
        <v>6</v>
      </c>
      <c r="D20" s="4" t="n">
        <v>545</v>
      </c>
      <c r="E20" s="4" t="inlineStr">
        <is>
          <t>cáp riêng tới trạm (&gt;=300 m)</t>
        </is>
      </c>
      <c r="F20" s="4" t="n">
        <v>1</v>
      </c>
      <c r="G20" s="4" t="inlineStr">
        <is>
          <t>R2</t>
        </is>
      </c>
      <c r="H20" s="4" t="n">
        <v>2</v>
      </c>
      <c r="I20" s="15">
        <f>H20/C20</f>
        <v/>
      </c>
      <c r="J20" s="4" t="inlineStr">
        <is>
          <t>—</t>
        </is>
      </c>
      <c r="K20" s="4" t="inlineStr">
        <is>
          <t>các link R2-03 mất một hướng, ring vẫn bảo vệ</t>
        </is>
      </c>
    </row>
    <row r="21">
      <c r="A21" s="4" t="inlineStr">
        <is>
          <t>C08</t>
        </is>
      </c>
      <c r="B21" s="4" t="inlineStr">
        <is>
          <t>FOCAL 2020</t>
        </is>
      </c>
      <c r="C21" s="4" t="n">
        <v>6</v>
      </c>
      <c r="D21" s="4" t="n">
        <v>550</v>
      </c>
      <c r="E21" s="4" t="inlineStr">
        <is>
          <t>cáp riêng tới trạm (&gt;=300 m)</t>
        </is>
      </c>
      <c r="F21" s="4" t="n">
        <v>1</v>
      </c>
      <c r="G21" s="4" t="inlineStr">
        <is>
          <t>R2</t>
        </is>
      </c>
      <c r="H21" s="4" t="n">
        <v>2</v>
      </c>
      <c r="I21" s="15">
        <f>H21/C21</f>
        <v/>
      </c>
      <c r="J21" s="4" t="inlineStr">
        <is>
          <t>—</t>
        </is>
      </c>
      <c r="K21" s="4" t="inlineStr">
        <is>
          <t>các link R2-04 mất một hướng, ring vẫn bảo vệ</t>
        </is>
      </c>
    </row>
    <row r="22">
      <c r="A22" s="4" t="inlineStr">
        <is>
          <t>C18</t>
        </is>
      </c>
      <c r="B22" s="4" t="inlineStr">
        <is>
          <t>FOCAL 2020</t>
        </is>
      </c>
      <c r="C22" s="4" t="n">
        <v>6</v>
      </c>
      <c r="D22" s="4" t="n">
        <v>1933</v>
      </c>
      <c r="E22" s="4" t="inlineStr">
        <is>
          <t>cáp riêng tới trạm (&gt;=300 m)</t>
        </is>
      </c>
      <c r="F22" s="4" t="n">
        <v>1</v>
      </c>
      <c r="G22" s="4" t="inlineStr">
        <is>
          <t>R1</t>
        </is>
      </c>
      <c r="H22" s="4" t="n">
        <v>2</v>
      </c>
      <c r="I22" s="15">
        <f>H22/C22</f>
        <v/>
      </c>
      <c r="J22" s="4" t="inlineStr">
        <is>
          <t>—</t>
        </is>
      </c>
      <c r="K22" s="4" t="inlineStr">
        <is>
          <t>các link R1-01 mất một hướng, ring vẫn bảo vệ</t>
        </is>
      </c>
    </row>
    <row r="23">
      <c r="A23" s="4" t="inlineStr">
        <is>
          <t>C19</t>
        </is>
      </c>
      <c r="B23" s="4" t="inlineStr">
        <is>
          <t>FOCAL 2020</t>
        </is>
      </c>
      <c r="C23" s="4" t="n">
        <v>6</v>
      </c>
      <c r="D23" s="4" t="n">
        <v>3086</v>
      </c>
      <c r="E23" s="4" t="inlineStr">
        <is>
          <t>giữa hai trạm</t>
        </is>
      </c>
      <c r="F23" s="4" t="n">
        <v>1</v>
      </c>
      <c r="G23" s="4" t="inlineStr">
        <is>
          <t>R1</t>
        </is>
      </c>
      <c r="H23" s="4" t="n">
        <v>2</v>
      </c>
      <c r="I23" s="15">
        <f>H23/C23</f>
        <v/>
      </c>
      <c r="J23" s="4" t="inlineStr">
        <is>
          <t>—</t>
        </is>
      </c>
      <c r="K23" s="4" t="inlineStr">
        <is>
          <t>các link R1-02 mất một hướng, ring vẫn bảo vệ</t>
        </is>
      </c>
    </row>
    <row r="24">
      <c r="A24" s="4" t="inlineStr">
        <is>
          <t>C20</t>
        </is>
      </c>
      <c r="B24" s="4" t="inlineStr">
        <is>
          <t>FOCAL 2020</t>
        </is>
      </c>
      <c r="C24" s="4" t="n">
        <v>6</v>
      </c>
      <c r="D24" s="4" t="n">
        <v>4405</v>
      </c>
      <c r="E24" s="4" t="inlineStr">
        <is>
          <t>giữa hai trạm</t>
        </is>
      </c>
      <c r="F24" s="4" t="n">
        <v>1</v>
      </c>
      <c r="G24" s="4" t="inlineStr">
        <is>
          <t>R1</t>
        </is>
      </c>
      <c r="H24" s="4" t="n">
        <v>2</v>
      </c>
      <c r="I24" s="15">
        <f>H24/C24</f>
        <v/>
      </c>
      <c r="J24" s="4" t="inlineStr">
        <is>
          <t>—</t>
        </is>
      </c>
      <c r="K24" s="4" t="inlineStr">
        <is>
          <t>các link R1-03 mất một hướng, ring vẫn bảo vệ</t>
        </is>
      </c>
    </row>
    <row r="25">
      <c r="A25" s="4" t="inlineStr">
        <is>
          <t>C21</t>
        </is>
      </c>
      <c r="B25" s="4" t="inlineStr">
        <is>
          <t>FOCAL 2020</t>
        </is>
      </c>
      <c r="C25" s="4" t="n">
        <v>6</v>
      </c>
      <c r="D25" s="4" t="n">
        <v>1680</v>
      </c>
      <c r="E25" s="4" t="inlineStr">
        <is>
          <t>cáp riêng tới trạm (&gt;=300 m)</t>
        </is>
      </c>
      <c r="F25" s="4" t="n">
        <v>1</v>
      </c>
      <c r="G25" s="4" t="inlineStr">
        <is>
          <t>R1</t>
        </is>
      </c>
      <c r="H25" s="4" t="n">
        <v>2</v>
      </c>
      <c r="I25" s="15">
        <f>H25/C25</f>
        <v/>
      </c>
      <c r="J25" s="4" t="inlineStr">
        <is>
          <t>—</t>
        </is>
      </c>
      <c r="K25" s="4" t="inlineStr">
        <is>
          <t>các link R1-04 mất một hướng, ring vẫn bảo vệ</t>
        </is>
      </c>
    </row>
  </sheetData>
  <autoFilter ref="A4:K25"/>
  <conditionalFormatting sqref="I5:I25">
    <cfRule type="cellIs" priority="1" operator="greaterThan" dxfId="0">
      <formula>0.5</formula>
    </cfRule>
  </conditionalFormatting>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J96"/>
  <sheetViews>
    <sheetView showGridLines="0" workbookViewId="0">
      <pane ySplit="4" topLeftCell="A5" activePane="bottomLeft" state="frozen"/>
      <selection pane="bottomLeft" activeCell="A1" sqref="A1"/>
    </sheetView>
  </sheetViews>
  <sheetFormatPr baseColWidth="8" defaultRowHeight="15"/>
  <cols>
    <col width="9" customWidth="1" min="1" max="1"/>
    <col width="9" customWidth="1" min="2" max="2"/>
    <col width="9" customWidth="1" min="3" max="3"/>
    <col width="12" customWidth="1" min="4" max="4"/>
    <col width="14" customWidth="1" min="5" max="5"/>
    <col width="10" customWidth="1" min="6" max="6"/>
    <col width="9" customWidth="1" min="7" max="7"/>
    <col width="26" customWidth="1" min="8" max="8"/>
    <col width="60" customWidth="1" min="9" max="9"/>
    <col width="50" customWidth="1" min="10" max="10"/>
  </cols>
  <sheetData>
    <row r="1">
      <c r="A1" s="1" t="inlineStr">
        <is>
          <t>Đường đi từng link ring qua ODF – cáp – măng xông (SFP 1310 nm, 2 core/link)</t>
        </is>
      </c>
    </row>
    <row r="2">
      <c r="A2" s="2" t="inlineStr">
        <is>
          <t>Mô tả do người dùng cung cấp; độ dài cáp từ sổ độ dài; đối chiếu nhãn với sơ đồ MX. Link chưa hoàn chỉnh ghi rõ.</t>
        </is>
      </c>
    </row>
    <row r="4" ht="32" customHeight="1">
      <c r="A4" s="3" t="inlineStr">
        <is>
          <t>Link</t>
        </is>
      </c>
      <c r="B4" s="3" t="inlineStr">
        <is>
          <t>Từ</t>
        </is>
      </c>
      <c r="C4" s="3" t="inlineStr">
        <is>
          <t>Đến</t>
        </is>
      </c>
      <c r="D4" s="3" t="inlineStr">
        <is>
          <t>Tổng cáp (m)</t>
        </is>
      </c>
      <c r="E4" s="3" t="inlineStr">
        <is>
          <t>OTDR tham chiếu (m)</t>
        </is>
      </c>
      <c r="F4" s="3" t="inlineStr">
        <is>
          <t>Lệch (m)</t>
        </is>
      </c>
      <c r="G4" s="3" t="inlineStr">
        <is>
          <t>Lệch %</t>
        </is>
      </c>
      <c r="H4" s="3" t="inlineStr">
        <is>
          <t>Kết luận</t>
        </is>
      </c>
      <c r="I4" s="3" t="inlineStr">
        <is>
          <t>Ghi chú</t>
        </is>
      </c>
    </row>
    <row r="5">
      <c r="A5" s="4" t="inlineStr">
        <is>
          <t>R1-01</t>
        </is>
      </c>
      <c r="B5" s="4" t="inlineStr">
        <is>
          <t>NBE12</t>
        </is>
      </c>
      <c r="C5" s="4" t="inlineStr">
        <is>
          <t>HNB059</t>
        </is>
      </c>
      <c r="D5" s="4">
        <f>SUMIFS($G$17:$G$2000,$A$17:$A$2000,A5,$C$17:$C$2000,"cáp")</f>
        <v/>
      </c>
      <c r="E5" s="4" t="n">
        <v>4672</v>
      </c>
      <c r="F5" s="4">
        <f>D5-E5</f>
        <v/>
      </c>
      <c r="G5" s="17">
        <f>F5/E5</f>
        <v/>
      </c>
      <c r="H5" s="4">
        <f>IF(ABS(G5)&lt;=0.02,"Khớp (≤2%)","Lệch &gt;2%: kiểm tra")</f>
        <v/>
      </c>
      <c r="I5" s="4" t="inlineStr">
        <is>
          <t>OTDR tham chiếu: ODF AGG ghi 4672 m</t>
        </is>
      </c>
    </row>
    <row r="6">
      <c r="A6" s="4" t="inlineStr">
        <is>
          <t>R1-02</t>
        </is>
      </c>
      <c r="B6" s="4" t="inlineStr">
        <is>
          <t>HNB059</t>
        </is>
      </c>
      <c r="C6" s="4" t="inlineStr">
        <is>
          <t>HNB060</t>
        </is>
      </c>
      <c r="D6" s="4">
        <f>SUMIFS($G$17:$G$2000,$A$17:$A$2000,A6,$C$17:$C$2000,"cáp")</f>
        <v/>
      </c>
      <c r="E6" s="4" t="n">
        <v>3082</v>
      </c>
      <c r="F6" s="4">
        <f>D6-E6</f>
        <v/>
      </c>
      <c r="G6" s="17">
        <f>F6/E6</f>
        <v/>
      </c>
      <c r="H6" s="4">
        <f>IF(ABS(G6)&lt;=0.02,"Khớp (≤2%)","Lệch &gt;2%: kiểm tra")</f>
        <v/>
      </c>
      <c r="I6" s="4" t="inlineStr">
        <is>
          <t>OTDR tham chiếu: BBNT (số thống nhất)</t>
        </is>
      </c>
    </row>
    <row r="7">
      <c r="A7" s="4" t="inlineStr">
        <is>
          <t>R1-03</t>
        </is>
      </c>
      <c r="B7" s="4" t="inlineStr">
        <is>
          <t>HNB060</t>
        </is>
      </c>
      <c r="C7" s="4" t="inlineStr">
        <is>
          <t>HNB048</t>
        </is>
      </c>
      <c r="D7" s="4">
        <f>SUMIFS($G$17:$G$2000,$A$17:$A$2000,A7,$C$17:$C$2000,"cáp")</f>
        <v/>
      </c>
      <c r="E7" s="4" t="n">
        <v>4410</v>
      </c>
      <c r="F7" s="4">
        <f>D7-E7</f>
        <v/>
      </c>
      <c r="G7" s="17">
        <f>F7/E7</f>
        <v/>
      </c>
      <c r="H7" s="4">
        <f>IF(ABS(G7)&lt;=0.02,"Khớp (≤2%)","Lệch &gt;2%: kiểm tra")</f>
        <v/>
      </c>
      <c r="I7" s="4" t="inlineStr">
        <is>
          <t>OTDR tham chiếu: BBNT (số thống nhất)</t>
        </is>
      </c>
    </row>
    <row r="8">
      <c r="A8" s="4" t="inlineStr">
        <is>
          <t>R1-04</t>
        </is>
      </c>
      <c r="B8" s="4" t="inlineStr">
        <is>
          <t>HNB048</t>
        </is>
      </c>
      <c r="C8" s="4" t="inlineStr">
        <is>
          <t>NBE22</t>
        </is>
      </c>
      <c r="D8" s="4">
        <f>SUMIFS($G$17:$G$2000,$A$17:$A$2000,A8,$C$17:$C$2000,"cáp")</f>
        <v/>
      </c>
      <c r="E8" s="4" t="n">
        <v>17153</v>
      </c>
      <c r="F8" s="4">
        <f>D8-E8</f>
        <v/>
      </c>
      <c r="G8" s="17">
        <f>F8/E8</f>
        <v/>
      </c>
      <c r="H8" s="4">
        <f>IF(ABS(G8)&lt;=0.02,"Khớp (≤2%)","Lệch &gt;2%: kiểm tra")</f>
        <v/>
      </c>
      <c r="I8" s="4" t="inlineStr">
        <is>
          <t>OTDR tham chiếu: ODF AGG ghi 17153 m</t>
        </is>
      </c>
    </row>
    <row r="9">
      <c r="A9" s="4" t="inlineStr">
        <is>
          <t>R2-01</t>
        </is>
      </c>
      <c r="B9" s="4" t="inlineStr">
        <is>
          <t>NBE12</t>
        </is>
      </c>
      <c r="C9" s="4" t="inlineStr">
        <is>
          <t>HNB054</t>
        </is>
      </c>
      <c r="D9" s="4">
        <f>SUMIFS($G$17:$G$2000,$A$17:$A$2000,A9,$C$17:$C$2000,"cáp")</f>
        <v/>
      </c>
      <c r="E9" s="4" t="n">
        <v>982</v>
      </c>
      <c r="F9" s="4">
        <f>D9-E9</f>
        <v/>
      </c>
      <c r="G9" s="17">
        <f>F9/E9</f>
        <v/>
      </c>
      <c r="H9" s="4">
        <f>IF(ABS(G9)&lt;=0.02,"Khớp (≤2%)","Lệch &gt;2%: kiểm tra")</f>
        <v/>
      </c>
      <c r="I9" s="4" t="inlineStr">
        <is>
          <t>OTDR tham chiếu: ODF AGG ghi 982/988 m</t>
        </is>
      </c>
    </row>
    <row r="10">
      <c r="A10" s="4" t="inlineStr">
        <is>
          <t>R2-02</t>
        </is>
      </c>
      <c r="B10" s="4" t="inlineStr">
        <is>
          <t>HNB054</t>
        </is>
      </c>
      <c r="C10" s="4" t="inlineStr">
        <is>
          <t>HNB006</t>
        </is>
      </c>
      <c r="D10" s="4">
        <f>SUMIFS($G$17:$G$2000,$A$17:$A$2000,A10,$C$17:$C$2000,"cáp")</f>
        <v/>
      </c>
      <c r="E10" s="4" t="n">
        <v>1433</v>
      </c>
      <c r="F10" s="4">
        <f>D10-E10</f>
        <v/>
      </c>
      <c r="G10" s="17">
        <f>F10/E10</f>
        <v/>
      </c>
      <c r="H10" s="4">
        <f>IF(ABS(G10)&lt;=0.02,"Khớp (≤2%)","Lệch &gt;2%: kiểm tra")</f>
        <v/>
      </c>
      <c r="I10" s="4" t="inlineStr">
        <is>
          <t>OTDR tham chiếu: BBNT (số thống nhất)</t>
        </is>
      </c>
    </row>
    <row r="11">
      <c r="A11" s="4" t="inlineStr">
        <is>
          <t>R2-03</t>
        </is>
      </c>
      <c r="B11" s="4" t="inlineStr">
        <is>
          <t>HNB006</t>
        </is>
      </c>
      <c r="C11" s="4" t="inlineStr">
        <is>
          <t>HNB091</t>
        </is>
      </c>
      <c r="D11" s="4">
        <f>SUMIFS($G$17:$G$2000,$A$17:$A$2000,A11,$C$17:$C$2000,"cáp")</f>
        <v/>
      </c>
      <c r="E11" s="4" t="n">
        <v>1607</v>
      </c>
      <c r="F11" s="4">
        <f>D11-E11</f>
        <v/>
      </c>
      <c r="G11" s="17">
        <f>F11/E11</f>
        <v/>
      </c>
      <c r="H11" s="4">
        <f>IF(ABS(G11)&lt;=0.02,"Khớp (≤2%)","Lệch &gt;2%: kiểm tra")</f>
        <v/>
      </c>
      <c r="I11" s="4" t="inlineStr">
        <is>
          <t>OTDR tham chiếu: BBNT (số thống nhất)</t>
        </is>
      </c>
    </row>
    <row r="12">
      <c r="A12" s="4" t="inlineStr">
        <is>
          <t>R2-04</t>
        </is>
      </c>
      <c r="B12" s="4" t="inlineStr">
        <is>
          <t>HNB091</t>
        </is>
      </c>
      <c r="C12" s="4" t="inlineStr">
        <is>
          <t>NBE22</t>
        </is>
      </c>
      <c r="D12" s="4">
        <f>SUMIFS($G$17:$G$2000,$A$17:$A$2000,A12,$C$17:$C$2000,"cáp")</f>
        <v/>
      </c>
      <c r="E12" s="4" t="n">
        <v>16028</v>
      </c>
      <c r="F12" s="4">
        <f>D12-E12</f>
        <v/>
      </c>
      <c r="G12" s="17">
        <f>F12/E12</f>
        <v/>
      </c>
      <c r="H12" s="4">
        <f>IF(ABS(G12)&lt;=0.02,"Khớp (≤2%)","Lệch &gt;2%: kiểm tra")</f>
        <v/>
      </c>
      <c r="I12" s="4" t="inlineStr">
        <is>
          <t>OTDR tham chiếu: ODF AGG ghi 16028 m</t>
        </is>
      </c>
    </row>
    <row r="15">
      <c r="A15" s="18" t="inlineStr">
        <is>
          <t>Chi tiết từng bước</t>
        </is>
      </c>
    </row>
    <row r="16" ht="32" customHeight="1">
      <c r="A16" s="3" t="inlineStr">
        <is>
          <t>Link</t>
        </is>
      </c>
      <c r="B16" s="3" t="inlineStr">
        <is>
          <t>Bước</t>
        </is>
      </c>
      <c r="C16" s="3" t="inlineStr">
        <is>
          <t>Loại</t>
        </is>
      </c>
      <c r="D16" s="3" t="inlineStr">
        <is>
          <t>Vị trí / cáp</t>
        </is>
      </c>
      <c r="E16" s="3" t="inlineStr">
        <is>
          <t>Từ → Đến</t>
        </is>
      </c>
      <c r="F16" s="3" t="inlineStr">
        <is>
          <t>Core</t>
        </is>
      </c>
      <c r="G16" s="3" t="inlineStr">
        <is>
          <t>Dài (m)</t>
        </is>
      </c>
      <c r="H16" s="3" t="inlineStr">
        <is>
          <t>Cộng dồn (m)</t>
        </is>
      </c>
      <c r="I16" s="3" t="inlineStr">
        <is>
          <t>Đối chiếu sơ đồ MX</t>
        </is>
      </c>
      <c r="J16" s="3" t="inlineStr">
        <is>
          <t>Ghi chú</t>
        </is>
      </c>
    </row>
    <row r="17">
      <c r="A17" s="4" t="inlineStr">
        <is>
          <t>R1-01</t>
        </is>
      </c>
      <c r="B17" s="4" t="n">
        <v>1</v>
      </c>
      <c r="C17" s="14" t="inlineStr">
        <is>
          <t>ODF</t>
        </is>
      </c>
      <c r="D17" s="4" t="inlineStr">
        <is>
          <t>NBE12: ODF-02 24FO hướng NVT</t>
        </is>
      </c>
      <c r="E17" s="4" t="inlineStr"/>
      <c r="F17" s="4" t="inlineStr">
        <is>
          <t>3+4</t>
        </is>
      </c>
      <c r="G17" s="4" t="n"/>
      <c r="H17" s="4" t="n"/>
      <c r="I17" s="4" t="inlineStr"/>
      <c r="J17" s="4" t="inlineStr">
        <is>
          <t>ODF AGG ghi cổng 3-4: HNB059 ring 1</t>
        </is>
      </c>
    </row>
    <row r="18">
      <c r="A18" s="4" t="inlineStr">
        <is>
          <t>R1-01</t>
        </is>
      </c>
      <c r="B18" s="4" t="n">
        <v>2</v>
      </c>
      <c r="C18" s="14" t="inlineStr">
        <is>
          <t>cáp</t>
        </is>
      </c>
      <c r="D18" s="4" t="inlineStr">
        <is>
          <t>ADSS 9/2009</t>
        </is>
      </c>
      <c r="E18" s="4" t="inlineStr">
        <is>
          <t>VNPT Long Thới (ODF-02 NBE12) → MX nhập đài Long Thới–NVT</t>
        </is>
      </c>
      <c r="F18" s="4" t="inlineStr">
        <is>
          <t>3+4</t>
        </is>
      </c>
      <c r="G18" s="4" t="n">
        <v>150</v>
      </c>
      <c r="H18" s="4">
        <f>SUM(G17:G18)</f>
        <v/>
      </c>
      <c r="I18" s="4" t="inlineStr"/>
      <c r="J18" s="4" t="inlineStr">
        <is>
          <t>Sổ độ dài cáp (Tổng Hợp): 150 m</t>
        </is>
      </c>
    </row>
    <row r="19">
      <c r="A19" s="4" t="inlineStr">
        <is>
          <t>R1-01</t>
        </is>
      </c>
      <c r="B19" s="4" t="n">
        <v>3</v>
      </c>
      <c r="C19" s="19" t="inlineStr">
        <is>
          <t>măng xông</t>
        </is>
      </c>
      <c r="D19" s="4" t="inlineStr">
        <is>
          <t>MX nhập đài Long Thới–NVT</t>
        </is>
      </c>
      <c r="E19" s="4" t="inlineStr"/>
      <c r="F19" s="4" t="inlineStr">
        <is>
          <t>3+4 ↔ 3+4</t>
        </is>
      </c>
      <c r="G19" s="4" t="n"/>
      <c r="H19" s="4" t="n"/>
      <c r="I19" s="20" t="inlineStr">
        <is>
          <t>chưa có sơ đồ — không xác định cáp trong sơ đồ MX</t>
        </is>
      </c>
      <c r="J19" s="4" t="inlineStr"/>
    </row>
    <row r="20">
      <c r="A20" s="4" t="inlineStr">
        <is>
          <t>R1-01</t>
        </is>
      </c>
      <c r="B20" s="4" t="n">
        <v>4</v>
      </c>
      <c r="C20" s="14" t="inlineStr">
        <is>
          <t>cáp</t>
        </is>
      </c>
      <c r="D20" s="4" t="inlineStr">
        <is>
          <t>SACOM 8/2014</t>
        </is>
      </c>
      <c r="E20" s="4" t="inlineStr">
        <is>
          <t>MX nhập đài Long Thới–NVT → MX_NVT_01</t>
        </is>
      </c>
      <c r="F20" s="4" t="inlineStr">
        <is>
          <t>3+4</t>
        </is>
      </c>
      <c r="G20" s="4" t="n">
        <v>680</v>
      </c>
      <c r="H20" s="4">
        <f>SUM(G17:G20)</f>
        <v/>
      </c>
      <c r="I20" s="4" t="inlineStr"/>
      <c r="J20" s="4" t="inlineStr">
        <is>
          <t>Sổ độ dài cáp (Tổng Hợp): 680 m</t>
        </is>
      </c>
    </row>
    <row r="21">
      <c r="A21" s="4" t="inlineStr">
        <is>
          <t>R1-01</t>
        </is>
      </c>
      <c r="B21" s="4" t="n">
        <v>5</v>
      </c>
      <c r="C21" s="19" t="inlineStr">
        <is>
          <t>măng xông</t>
        </is>
      </c>
      <c r="D21" s="4" t="inlineStr">
        <is>
          <t>MX_NVT_01</t>
        </is>
      </c>
      <c r="E21" s="4" t="inlineStr"/>
      <c r="F21" s="4" t="inlineStr">
        <is>
          <t>3+4 ↔ 3+4</t>
        </is>
      </c>
      <c r="G21" s="4" t="n"/>
      <c r="H21" s="4" t="n"/>
      <c r="I21" s="20" t="inlineStr">
        <is>
          <t>chưa có nhãn — sơ đồ MX chưa ghi nhãn cho các core này</t>
        </is>
      </c>
      <c r="J21" s="4" t="inlineStr">
        <is>
          <t>đi thẳng trục, không rẽ vào HNB054</t>
        </is>
      </c>
    </row>
    <row r="22">
      <c r="A22" s="4" t="inlineStr">
        <is>
          <t>R1-01</t>
        </is>
      </c>
      <c r="B22" s="4" t="n">
        <v>6</v>
      </c>
      <c r="C22" s="14" t="inlineStr">
        <is>
          <t>cáp</t>
        </is>
      </c>
      <c r="D22" s="4" t="inlineStr">
        <is>
          <t>FOCAL 9/2020 trục (gồm 175 m ngầm)</t>
        </is>
      </c>
      <c r="E22" s="4" t="inlineStr">
        <is>
          <t>MX_NVT_01 → MX_NVT_02A</t>
        </is>
      </c>
      <c r="F22" s="4" t="inlineStr">
        <is>
          <t>3+4</t>
        </is>
      </c>
      <c r="G22" s="4" t="n">
        <v>1060</v>
      </c>
      <c r="H22" s="4">
        <f>SUM(G17:G22)</f>
        <v/>
      </c>
      <c r="I22" s="4" t="inlineStr"/>
      <c r="J22" s="4" t="inlineStr">
        <is>
          <t>Sổ độ dài cáp (Tổng Hợp): 1060 m</t>
        </is>
      </c>
    </row>
    <row r="23">
      <c r="A23" s="4" t="inlineStr">
        <is>
          <t>R1-01</t>
        </is>
      </c>
      <c r="B23" s="4" t="n">
        <v>7</v>
      </c>
      <c r="C23" s="19" t="inlineStr">
        <is>
          <t>măng xông</t>
        </is>
      </c>
      <c r="D23" s="4" t="inlineStr">
        <is>
          <t>MX_NVT_02A</t>
        </is>
      </c>
      <c r="E23" s="4" t="inlineStr"/>
      <c r="F23" s="4" t="inlineStr">
        <is>
          <t>3+4 ↔ 3+4</t>
        </is>
      </c>
      <c r="G23" s="4" t="n"/>
      <c r="H23" s="4" t="n"/>
      <c r="I23" s="16" t="inlineStr">
        <is>
          <t>khớp sơ đồ — nhãn B</t>
        </is>
      </c>
      <c r="J23" s="4" t="inlineStr">
        <is>
          <t>nhãn B (sơ đồ) đi thẳng về NVT_03A</t>
        </is>
      </c>
    </row>
    <row r="24">
      <c r="A24" s="4" t="inlineStr">
        <is>
          <t>R1-01</t>
        </is>
      </c>
      <c r="B24" s="4" t="n">
        <v>8</v>
      </c>
      <c r="C24" s="14" t="inlineStr">
        <is>
          <t>cáp</t>
        </is>
      </c>
      <c r="D24" s="4" t="inlineStr">
        <is>
          <t>12FO NVT_02A → NVT_03A</t>
        </is>
      </c>
      <c r="E24" s="4" t="inlineStr">
        <is>
          <t>MX_NVT_02A → MX_NVT_03A</t>
        </is>
      </c>
      <c r="F24" s="4" t="inlineStr">
        <is>
          <t>3+4</t>
        </is>
      </c>
      <c r="G24" s="4" t="n">
        <v>845</v>
      </c>
      <c r="H24" s="4">
        <f>SUM(G17:G24)</f>
        <v/>
      </c>
      <c r="I24" s="4" t="inlineStr"/>
      <c r="J24" s="4" t="inlineStr">
        <is>
          <t>Sổ độ dài cáp (Tổng Hợp): 845 m</t>
        </is>
      </c>
    </row>
    <row r="25">
      <c r="A25" s="4" t="inlineStr">
        <is>
          <t>R1-01</t>
        </is>
      </c>
      <c r="B25" s="4" t="n">
        <v>9</v>
      </c>
      <c r="C25" s="19" t="inlineStr">
        <is>
          <t>măng xông</t>
        </is>
      </c>
      <c r="D25" s="4" t="inlineStr">
        <is>
          <t>MX_NVT_03A</t>
        </is>
      </c>
      <c r="E25" s="4" t="inlineStr"/>
      <c r="F25" s="4" t="inlineStr">
        <is>
          <t>3+4 ↔ 1+2</t>
        </is>
      </c>
      <c r="G25" s="4" t="n"/>
      <c r="H25" s="4" t="n"/>
      <c r="I25" s="20" t="inlineStr">
        <is>
          <t>chưa có sơ đồ — không xác định cáp trong sơ đồ MX</t>
        </is>
      </c>
      <c r="J25" s="4" t="inlineStr">
        <is>
          <t>rẽ vào 6FO đi HNB059 (quy ước 6FO riêng dùng 1,2)</t>
        </is>
      </c>
    </row>
    <row r="26">
      <c r="A26" s="4" t="inlineStr">
        <is>
          <t>R1-01</t>
        </is>
      </c>
      <c r="B26" s="4" t="n">
        <v>10</v>
      </c>
      <c r="C26" s="14" t="inlineStr">
        <is>
          <t>cáp</t>
        </is>
      </c>
      <c r="D26" s="4" t="inlineStr">
        <is>
          <t>FOCAL 2020 vào HNB059 (6FO)</t>
        </is>
      </c>
      <c r="E26" s="4" t="inlineStr">
        <is>
          <t>MX_NVT_03A → HNB059</t>
        </is>
      </c>
      <c r="F26" s="4" t="inlineStr">
        <is>
          <t>1+2</t>
        </is>
      </c>
      <c r="G26" s="4" t="n">
        <v>1933</v>
      </c>
      <c r="H26" s="4">
        <f>SUM(G17:G26)</f>
        <v/>
      </c>
      <c r="I26" s="4" t="inlineStr"/>
      <c r="J26" s="4" t="inlineStr">
        <is>
          <t>Sổ độ dài cáp (Tổng Hợp): 1933 m</t>
        </is>
      </c>
    </row>
    <row r="27">
      <c r="A27" s="4" t="inlineStr">
        <is>
          <t>R1-01</t>
        </is>
      </c>
      <c r="B27" s="4" t="n">
        <v>11</v>
      </c>
      <c r="C27" s="14" t="inlineStr">
        <is>
          <t>ODF</t>
        </is>
      </c>
      <c r="D27" s="4" t="inlineStr">
        <is>
          <t>HNB059: ODF-HNB059 (hướng NBE12)</t>
        </is>
      </c>
      <c r="E27" s="4" t="inlineStr"/>
      <c r="F27" s="4" t="inlineStr">
        <is>
          <t>1+2</t>
        </is>
      </c>
      <c r="G27" s="4" t="n"/>
      <c r="H27" s="4" t="n"/>
      <c r="I27" s="4" t="inlineStr"/>
      <c r="J27" s="4" t="inlineStr"/>
    </row>
    <row r="28">
      <c r="A28" s="4" t="inlineStr">
        <is>
          <t>R1-02</t>
        </is>
      </c>
      <c r="B28" s="4" t="n">
        <v>1</v>
      </c>
      <c r="C28" s="14" t="inlineStr">
        <is>
          <t>ODF</t>
        </is>
      </c>
      <c r="D28" s="4" t="inlineStr">
        <is>
          <t>HNB059: ODF-HNB059 (hướng HNB060)</t>
        </is>
      </c>
      <c r="E28" s="4" t="inlineStr"/>
      <c r="F28" s="4" t="inlineStr">
        <is>
          <t>1+2</t>
        </is>
      </c>
      <c r="G28" s="4" t="n"/>
      <c r="H28" s="4" t="n"/>
      <c r="I28" s="4" t="inlineStr"/>
      <c r="J28" s="4" t="inlineStr"/>
    </row>
    <row r="29">
      <c r="A29" s="4" t="inlineStr">
        <is>
          <t>R1-02</t>
        </is>
      </c>
      <c r="B29" s="4" t="n">
        <v>2</v>
      </c>
      <c r="C29" s="14" t="inlineStr">
        <is>
          <t>cáp</t>
        </is>
      </c>
      <c r="D29" s="4" t="inlineStr">
        <is>
          <t>FOCAL 2020 HNB059 → HNB060 (6FO)</t>
        </is>
      </c>
      <c r="E29" s="4" t="inlineStr">
        <is>
          <t>HNB059 → HNB060</t>
        </is>
      </c>
      <c r="F29" s="4" t="inlineStr">
        <is>
          <t>1+2</t>
        </is>
      </c>
      <c r="G29" s="4" t="n">
        <v>3086</v>
      </c>
      <c r="H29" s="4">
        <f>SUM(G28:G29)</f>
        <v/>
      </c>
      <c r="I29" s="4" t="inlineStr"/>
      <c r="J29" s="4" t="inlineStr">
        <is>
          <t>Sổ độ dài cáp (Tổng Hợp): 3086 m</t>
        </is>
      </c>
    </row>
    <row r="30">
      <c r="A30" s="4" t="inlineStr">
        <is>
          <t>R1-02</t>
        </is>
      </c>
      <c r="B30" s="4" t="n">
        <v>3</v>
      </c>
      <c r="C30" s="14" t="inlineStr">
        <is>
          <t>ODF</t>
        </is>
      </c>
      <c r="D30" s="4" t="inlineStr">
        <is>
          <t>HNB060: ODF-HNB060 (hướng HNB059)</t>
        </is>
      </c>
      <c r="E30" s="4" t="inlineStr"/>
      <c r="F30" s="4" t="inlineStr">
        <is>
          <t>1+2</t>
        </is>
      </c>
      <c r="G30" s="4" t="n"/>
      <c r="H30" s="4" t="n"/>
      <c r="I30" s="4" t="inlineStr"/>
      <c r="J30" s="4" t="inlineStr"/>
    </row>
    <row r="31">
      <c r="A31" s="4" t="inlineStr">
        <is>
          <t>R1-03</t>
        </is>
      </c>
      <c r="B31" s="4" t="n">
        <v>1</v>
      </c>
      <c r="C31" s="14" t="inlineStr">
        <is>
          <t>ODF</t>
        </is>
      </c>
      <c r="D31" s="4" t="inlineStr">
        <is>
          <t>HNB060: ODF-HNB060 (hướng HNB048)</t>
        </is>
      </c>
      <c r="E31" s="4" t="inlineStr"/>
      <c r="F31" s="4" t="inlineStr">
        <is>
          <t>1+2</t>
        </is>
      </c>
      <c r="G31" s="4" t="n"/>
      <c r="H31" s="4" t="n"/>
      <c r="I31" s="4" t="inlineStr"/>
      <c r="J31" s="4" t="inlineStr"/>
    </row>
    <row r="32">
      <c r="A32" s="4" t="inlineStr">
        <is>
          <t>R1-03</t>
        </is>
      </c>
      <c r="B32" s="4" t="n">
        <v>2</v>
      </c>
      <c r="C32" s="14" t="inlineStr">
        <is>
          <t>cáp</t>
        </is>
      </c>
      <c r="D32" s="4" t="inlineStr">
        <is>
          <t>FOCAL 2020 HNB060 → HNB048 (6FO)</t>
        </is>
      </c>
      <c r="E32" s="4" t="inlineStr">
        <is>
          <t>HNB060 → HNB048</t>
        </is>
      </c>
      <c r="F32" s="4" t="inlineStr">
        <is>
          <t>1+2</t>
        </is>
      </c>
      <c r="G32" s="4" t="n">
        <v>4405</v>
      </c>
      <c r="H32" s="4">
        <f>SUM(G31:G32)</f>
        <v/>
      </c>
      <c r="I32" s="4" t="inlineStr"/>
      <c r="J32" s="4" t="inlineStr">
        <is>
          <t>Sổ độ dài cáp (Tổng Hợp): 4405 m</t>
        </is>
      </c>
    </row>
    <row r="33">
      <c r="A33" s="4" t="inlineStr">
        <is>
          <t>R1-03</t>
        </is>
      </c>
      <c r="B33" s="4" t="n">
        <v>3</v>
      </c>
      <c r="C33" s="14" t="inlineStr">
        <is>
          <t>ODF</t>
        </is>
      </c>
      <c r="D33" s="4" t="inlineStr">
        <is>
          <t>HNB048: ODF-HNB048 (hướng HNB060)</t>
        </is>
      </c>
      <c r="E33" s="4" t="inlineStr"/>
      <c r="F33" s="4" t="inlineStr">
        <is>
          <t>1+2</t>
        </is>
      </c>
      <c r="G33" s="4" t="n"/>
      <c r="H33" s="4" t="n"/>
      <c r="I33" s="4" t="inlineStr"/>
      <c r="J33" s="4" t="inlineStr"/>
    </row>
    <row r="34">
      <c r="A34" s="4" t="inlineStr">
        <is>
          <t>R1-04</t>
        </is>
      </c>
      <c r="B34" s="4" t="n">
        <v>1</v>
      </c>
      <c r="C34" s="14" t="inlineStr">
        <is>
          <t>ODF</t>
        </is>
      </c>
      <c r="D34" s="4" t="inlineStr">
        <is>
          <t>HNB048: ODF-HNB048 (hướng ra NBE22)</t>
        </is>
      </c>
      <c r="E34" s="4" t="inlineStr"/>
      <c r="F34" s="4" t="inlineStr">
        <is>
          <t>1+2</t>
        </is>
      </c>
      <c r="G34" s="4" t="n"/>
      <c r="H34" s="4" t="n"/>
      <c r="I34" s="4" t="inlineStr"/>
      <c r="J34" s="4" t="inlineStr"/>
    </row>
    <row r="35">
      <c r="A35" s="4" t="inlineStr">
        <is>
          <t>R1-04</t>
        </is>
      </c>
      <c r="B35" s="4" t="n">
        <v>2</v>
      </c>
      <c r="C35" s="14" t="inlineStr">
        <is>
          <t>cáp</t>
        </is>
      </c>
      <c r="D35" s="4" t="inlineStr">
        <is>
          <t>FOCAL 2020 HNB048 → MX_NVT_03B (6FO)</t>
        </is>
      </c>
      <c r="E35" s="4" t="inlineStr">
        <is>
          <t>HNB048 → MX_NVT_03B</t>
        </is>
      </c>
      <c r="F35" s="4" t="inlineStr">
        <is>
          <t>1+2</t>
        </is>
      </c>
      <c r="G35" s="4" t="n">
        <v>1680</v>
      </c>
      <c r="H35" s="4">
        <f>SUM(G34:G35)</f>
        <v/>
      </c>
      <c r="I35" s="4" t="inlineStr"/>
      <c r="J35" s="4" t="inlineStr">
        <is>
          <t>Sổ độ dài cáp (Tổng Hợp): 1680 m</t>
        </is>
      </c>
    </row>
    <row r="36">
      <c r="A36" s="4" t="inlineStr">
        <is>
          <t>R1-04</t>
        </is>
      </c>
      <c r="B36" s="4" t="n">
        <v>3</v>
      </c>
      <c r="C36" s="19" t="inlineStr">
        <is>
          <t>măng xông</t>
        </is>
      </c>
      <c r="D36" s="4" t="inlineStr">
        <is>
          <t>MX_NVT_03B</t>
        </is>
      </c>
      <c r="E36" s="4" t="inlineStr"/>
      <c r="F36" s="4" t="inlineStr">
        <is>
          <t>1+2 ↔ 3+4</t>
        </is>
      </c>
      <c r="G36" s="4" t="n"/>
      <c r="H36" s="4" t="n"/>
      <c r="I36" s="20" t="inlineStr">
        <is>
          <t>chưa có sơ đồ — không xác định cáp trong sơ đồ MX</t>
        </is>
      </c>
      <c r="J36" s="4" t="inlineStr">
        <is>
          <t>6FO 1,2 hàn vào trục 12FO core 3,4 (đoạn dùng chung)</t>
        </is>
      </c>
    </row>
    <row r="37">
      <c r="A37" s="4" t="inlineStr">
        <is>
          <t>R1-04</t>
        </is>
      </c>
      <c r="B37" s="4" t="n">
        <v>4</v>
      </c>
      <c r="C37" s="14" t="inlineStr">
        <is>
          <t>cáp</t>
        </is>
      </c>
      <c r="D37" s="4" t="inlineStr">
        <is>
          <t>12FO NVT_03B → NVT_02B</t>
        </is>
      </c>
      <c r="E37" s="4" t="inlineStr">
        <is>
          <t>MX_NVT_03B → MX_NVT_02B</t>
        </is>
      </c>
      <c r="F37" s="4" t="inlineStr">
        <is>
          <t>3+4</t>
        </is>
      </c>
      <c r="G37" s="4" t="n">
        <v>770</v>
      </c>
      <c r="H37" s="4">
        <f>SUM(G34:G37)</f>
        <v/>
      </c>
      <c r="I37" s="4" t="inlineStr"/>
      <c r="J37" s="4" t="inlineStr">
        <is>
          <t>Sổ độ dài cáp (Tổng Hợp): 770 m</t>
        </is>
      </c>
    </row>
    <row r="38">
      <c r="A38" s="4" t="inlineStr">
        <is>
          <t>R1-04</t>
        </is>
      </c>
      <c r="B38" s="4" t="n">
        <v>5</v>
      </c>
      <c r="C38" s="19" t="inlineStr">
        <is>
          <t>măng xông</t>
        </is>
      </c>
      <c r="D38" s="4" t="inlineStr">
        <is>
          <t>MX_NVT_02B</t>
        </is>
      </c>
      <c r="E38" s="4" t="inlineStr"/>
      <c r="F38" s="4" t="inlineStr">
        <is>
          <t>3+4 ↔ 3+4</t>
        </is>
      </c>
      <c r="G38" s="4" t="n"/>
      <c r="H38" s="4" t="n"/>
      <c r="I38" s="16" t="inlineStr">
        <is>
          <t>khớp sơ đồ — nhãn B</t>
        </is>
      </c>
      <c r="J38" s="4" t="inlineStr">
        <is>
          <t>nhãn B (sơ đồ)</t>
        </is>
      </c>
    </row>
    <row r="39">
      <c r="A39" s="4" t="inlineStr">
        <is>
          <t>R1-04</t>
        </is>
      </c>
      <c r="B39" s="4" t="n">
        <v>6</v>
      </c>
      <c r="C39" s="14" t="inlineStr">
        <is>
          <t>cáp</t>
        </is>
      </c>
      <c r="D39" s="4" t="inlineStr">
        <is>
          <t>TPKL 12FO trục NVT_02B → LVL-05 (qua MX thẳng nối dài)</t>
        </is>
      </c>
      <c r="E39" s="4" t="inlineStr">
        <is>
          <t>MX_NVT_02B → MX_LVL-05</t>
        </is>
      </c>
      <c r="F39" s="4" t="inlineStr">
        <is>
          <t>3+4</t>
        </is>
      </c>
      <c r="G39" s="4" t="n">
        <v>6250</v>
      </c>
      <c r="H39" s="4">
        <f>SUM(G34:G39)</f>
        <v/>
      </c>
      <c r="I39" s="4" t="inlineStr"/>
      <c r="J39" s="4" t="inlineStr">
        <is>
          <t>Sổ độ dài cáp (Tổng Hợp): 6250 m (ghi chú sổ: 7020 = 785+1745+3715+770)</t>
        </is>
      </c>
    </row>
    <row r="40">
      <c r="A40" s="4" t="inlineStr">
        <is>
          <t>R1-04</t>
        </is>
      </c>
      <c r="B40" s="4" t="n">
        <v>7</v>
      </c>
      <c r="C40" s="19" t="inlineStr">
        <is>
          <t>măng xông</t>
        </is>
      </c>
      <c r="D40" s="4" t="inlineStr">
        <is>
          <t>MX_LVL-05</t>
        </is>
      </c>
      <c r="E40" s="4" t="inlineStr"/>
      <c r="F40" s="4" t="inlineStr">
        <is>
          <t>3+4 ↔ 21+22</t>
        </is>
      </c>
      <c r="G40" s="4" t="n"/>
      <c r="H40" s="4" t="n"/>
      <c r="I40" s="16" t="inlineStr">
        <is>
          <t>khớp sơ đồ — nhãn D</t>
        </is>
      </c>
      <c r="J40" s="4" t="inlineStr">
        <is>
          <t>nhãn D, trạm HNB048 (sơ đồ)</t>
        </is>
      </c>
    </row>
    <row r="41">
      <c r="A41" s="4" t="inlineStr">
        <is>
          <t>R1-04</t>
        </is>
      </c>
      <c r="B41" s="4" t="n">
        <v>8</v>
      </c>
      <c r="C41" s="14" t="inlineStr">
        <is>
          <t>cáp</t>
        </is>
      </c>
      <c r="D41" s="4" t="inlineStr">
        <is>
          <t>TPKL POSTEF 11/2016</t>
        </is>
      </c>
      <c r="E41" s="4" t="inlineStr">
        <is>
          <t>MX_LVL-05 → MX_NB-01</t>
        </is>
      </c>
      <c r="F41" s="4" t="inlineStr">
        <is>
          <t>21+22</t>
        </is>
      </c>
      <c r="G41" s="4" t="n">
        <v>3236</v>
      </c>
      <c r="H41" s="4">
        <f>SUM(G34:G41)</f>
        <v/>
      </c>
      <c r="I41" s="4" t="inlineStr"/>
      <c r="J41" s="4" t="inlineStr">
        <is>
          <t>Sổ độ dài cáp (Tổng Hợp): 3236 m</t>
        </is>
      </c>
    </row>
    <row r="42">
      <c r="A42" s="4" t="inlineStr">
        <is>
          <t>R1-04</t>
        </is>
      </c>
      <c r="B42" s="4" t="n">
        <v>9</v>
      </c>
      <c r="C42" s="19" t="inlineStr">
        <is>
          <t>măng xông</t>
        </is>
      </c>
      <c r="D42" s="4" t="inlineStr">
        <is>
          <t>MX_NB-01</t>
        </is>
      </c>
      <c r="E42" s="4" t="inlineStr"/>
      <c r="F42" s="4" t="inlineStr">
        <is>
          <t>21+22 ↔ 3+4</t>
        </is>
      </c>
      <c r="G42" s="4" t="n"/>
      <c r="H42" s="4" t="n"/>
      <c r="I42" s="16" t="inlineStr">
        <is>
          <t>khớp sơ đồ — nhãn B</t>
        </is>
      </c>
      <c r="J42" s="4" t="inlineStr"/>
    </row>
    <row r="43">
      <c r="A43" s="4" t="inlineStr">
        <is>
          <t>R1-04</t>
        </is>
      </c>
      <c r="B43" s="4" t="n">
        <v>10</v>
      </c>
      <c r="C43" s="14" t="inlineStr">
        <is>
          <t>cáp</t>
        </is>
      </c>
      <c r="D43" s="4" t="inlineStr">
        <is>
          <t>12FO NB-01 → NB-02</t>
        </is>
      </c>
      <c r="E43" s="4" t="inlineStr">
        <is>
          <t>MX_NB-01 → MX_NB-02</t>
        </is>
      </c>
      <c r="F43" s="4" t="inlineStr">
        <is>
          <t>3+4</t>
        </is>
      </c>
      <c r="G43" s="4" t="n">
        <v>1040</v>
      </c>
      <c r="H43" s="4">
        <f>SUM(G34:G43)</f>
        <v/>
      </c>
      <c r="I43" s="4" t="inlineStr"/>
      <c r="J43" s="4" t="inlineStr">
        <is>
          <t>Sổ độ dài cáp (Tổng Hợp): 1040 m (NB Phạm Thị Kỳ → nhập đài Long Thới-NB)</t>
        </is>
      </c>
    </row>
    <row r="44">
      <c r="A44" s="4" t="inlineStr">
        <is>
          <t>R1-04</t>
        </is>
      </c>
      <c r="B44" s="4" t="n">
        <v>11</v>
      </c>
      <c r="C44" s="19" t="inlineStr">
        <is>
          <t>măng xông</t>
        </is>
      </c>
      <c r="D44" s="4" t="inlineStr">
        <is>
          <t>MX_NB-02</t>
        </is>
      </c>
      <c r="E44" s="4" t="inlineStr"/>
      <c r="F44" s="4" t="inlineStr">
        <is>
          <t>3+4 ↔ 3+4</t>
        </is>
      </c>
      <c r="G44" s="4" t="n"/>
      <c r="H44" s="4" t="n"/>
      <c r="I44" s="20" t="inlineStr">
        <is>
          <t>chưa có sơ đồ — không xác định cáp trong sơ đồ MX</t>
        </is>
      </c>
      <c r="J44" s="4" t="inlineStr"/>
    </row>
    <row r="45">
      <c r="A45" s="4" t="inlineStr">
        <is>
          <t>R1-04</t>
        </is>
      </c>
      <c r="B45" s="4" t="n">
        <v>12</v>
      </c>
      <c r="C45" s="14" t="inlineStr">
        <is>
          <t>cáp</t>
        </is>
      </c>
      <c r="D45" s="4" t="inlineStr">
        <is>
          <t>12FO NB-02 → NB-03</t>
        </is>
      </c>
      <c r="E45" s="4" t="inlineStr">
        <is>
          <t>MX_NB-02 → MX_NB-03</t>
        </is>
      </c>
      <c r="F45" s="4" t="inlineStr">
        <is>
          <t>3+4</t>
        </is>
      </c>
      <c r="G45" s="4" t="n">
        <v>1408</v>
      </c>
      <c r="H45" s="4">
        <f>SUM(G34:G45)</f>
        <v/>
      </c>
      <c r="I45" s="4" t="inlineStr"/>
      <c r="J45" s="4" t="inlineStr">
        <is>
          <t>Sổ độ dài cáp (Tổng Hợp): 1408 m</t>
        </is>
      </c>
    </row>
    <row r="46">
      <c r="A46" s="4" t="inlineStr">
        <is>
          <t>R1-04</t>
        </is>
      </c>
      <c r="B46" s="4" t="n">
        <v>13</v>
      </c>
      <c r="C46" s="19" t="inlineStr">
        <is>
          <t>măng xông</t>
        </is>
      </c>
      <c r="D46" s="4" t="inlineStr">
        <is>
          <t>MX_NB-03</t>
        </is>
      </c>
      <c r="E46" s="4" t="inlineStr"/>
      <c r="F46" s="4" t="inlineStr">
        <is>
          <t>3+4 ↔ 3+4</t>
        </is>
      </c>
      <c r="G46" s="4" t="n"/>
      <c r="H46" s="4" t="n"/>
      <c r="I46" s="20" t="inlineStr">
        <is>
          <t>chưa có sơ đồ — không xác định cáp trong sơ đồ MX</t>
        </is>
      </c>
      <c r="J46" s="4" t="inlineStr"/>
    </row>
    <row r="47">
      <c r="A47" s="4" t="inlineStr">
        <is>
          <t>R1-04</t>
        </is>
      </c>
      <c r="B47" s="4" t="n">
        <v>14</v>
      </c>
      <c r="C47" s="14" t="inlineStr">
        <is>
          <t>cáp</t>
        </is>
      </c>
      <c r="D47" s="4" t="inlineStr">
        <is>
          <t>12FO NB-03 → NB-04</t>
        </is>
      </c>
      <c r="E47" s="4" t="inlineStr">
        <is>
          <t>MX_NB-03 → MX_NB-04</t>
        </is>
      </c>
      <c r="F47" s="4" t="inlineStr">
        <is>
          <t>3+4</t>
        </is>
      </c>
      <c r="G47" s="4" t="n">
        <v>1092</v>
      </c>
      <c r="H47" s="4">
        <f>SUM(G34:G47)</f>
        <v/>
      </c>
      <c r="I47" s="4" t="inlineStr"/>
      <c r="J47" s="4" t="inlineStr">
        <is>
          <t>Sổ độ dài cáp (Tổng Hợp): 1092 m</t>
        </is>
      </c>
    </row>
    <row r="48">
      <c r="A48" s="4" t="inlineStr">
        <is>
          <t>R1-04</t>
        </is>
      </c>
      <c r="B48" s="4" t="n">
        <v>15</v>
      </c>
      <c r="C48" s="19" t="inlineStr">
        <is>
          <t>măng xông</t>
        </is>
      </c>
      <c r="D48" s="4" t="inlineStr">
        <is>
          <t>MX_NB-04</t>
        </is>
      </c>
      <c r="E48" s="4" t="inlineStr"/>
      <c r="F48" s="4" t="inlineStr">
        <is>
          <t>3+4 ↔ 3+4</t>
        </is>
      </c>
      <c r="G48" s="4" t="n"/>
      <c r="H48" s="4" t="n"/>
      <c r="I48" s="20" t="inlineStr">
        <is>
          <t>chưa có sơ đồ — không xác định cáp trong sơ đồ MX</t>
        </is>
      </c>
      <c r="J48" s="4" t="inlineStr"/>
    </row>
    <row r="49">
      <c r="A49" s="4" t="inlineStr">
        <is>
          <t>R1-04</t>
        </is>
      </c>
      <c r="B49" s="4" t="n">
        <v>16</v>
      </c>
      <c r="C49" s="14" t="inlineStr">
        <is>
          <t>cáp</t>
        </is>
      </c>
      <c r="D49" s="4" t="inlineStr">
        <is>
          <t>12FO NB-04 → MX thẳng HTP</t>
        </is>
      </c>
      <c r="E49" s="4" t="inlineStr">
        <is>
          <t>MX_NB-04 → MX thẳng HTP</t>
        </is>
      </c>
      <c r="F49" s="4" t="inlineStr">
        <is>
          <t>3+4</t>
        </is>
      </c>
      <c r="G49" s="4" t="n">
        <v>777</v>
      </c>
      <c r="H49" s="4">
        <f>SUM(G34:G49)</f>
        <v/>
      </c>
      <c r="I49" s="4" t="inlineStr"/>
      <c r="J49" s="4" t="inlineStr">
        <is>
          <t>Sổ độ dài cáp (Tổng Hợp): 777 m (MX thẳng HTP: hết đoạn 600 m từ SG mới trên đường HTP; người dùng xác nhận)</t>
        </is>
      </c>
    </row>
    <row r="50">
      <c r="A50" s="4" t="inlineStr">
        <is>
          <t>R1-04</t>
        </is>
      </c>
      <c r="B50" s="4" t="n">
        <v>17</v>
      </c>
      <c r="C50" s="19" t="inlineStr">
        <is>
          <t>măng xông</t>
        </is>
      </c>
      <c r="D50" s="4" t="inlineStr">
        <is>
          <t>MX thẳng HTP</t>
        </is>
      </c>
      <c r="E50" s="4" t="inlineStr"/>
      <c r="F50" s="4" t="inlineStr">
        <is>
          <t>3+4 ↔ 3+4</t>
        </is>
      </c>
      <c r="G50" s="4" t="n"/>
      <c r="H50" s="4" t="n"/>
      <c r="I50" s="20" t="inlineStr">
        <is>
          <t>chưa có sơ đồ — không xác định cáp trong sơ đồ MX</t>
        </is>
      </c>
      <c r="J50" s="4" t="inlineStr">
        <is>
          <t>MX thẳng nối dài</t>
        </is>
      </c>
    </row>
    <row r="51">
      <c r="A51" s="4" t="inlineStr">
        <is>
          <t>R1-04</t>
        </is>
      </c>
      <c r="B51" s="4" t="n">
        <v>18</v>
      </c>
      <c r="C51" s="14" t="inlineStr">
        <is>
          <t>cáp</t>
        </is>
      </c>
      <c r="D51" s="4" t="inlineStr">
        <is>
          <t>12FO MX thẳng HTP → HTP-03B</t>
        </is>
      </c>
      <c r="E51" s="4" t="inlineStr">
        <is>
          <t>MX thẳng HTP → MX_HTP-03B</t>
        </is>
      </c>
      <c r="F51" s="4" t="inlineStr">
        <is>
          <t>3+4</t>
        </is>
      </c>
      <c r="G51" s="4" t="n">
        <v>640</v>
      </c>
      <c r="H51" s="4">
        <f>SUM(G34:G51)</f>
        <v/>
      </c>
      <c r="I51" s="4" t="inlineStr"/>
      <c r="J51" s="4" t="inlineStr">
        <is>
          <t>Sổ độ dài cáp (Tổng Hợp): 640 m</t>
        </is>
      </c>
    </row>
    <row r="52">
      <c r="A52" s="4" t="inlineStr">
        <is>
          <t>R1-04</t>
        </is>
      </c>
      <c r="B52" s="4" t="n">
        <v>19</v>
      </c>
      <c r="C52" s="19" t="inlineStr">
        <is>
          <t>măng xông</t>
        </is>
      </c>
      <c r="D52" s="4" t="inlineStr">
        <is>
          <t>MX_HTP-03B</t>
        </is>
      </c>
      <c r="E52" s="4" t="inlineStr"/>
      <c r="F52" s="4" t="inlineStr">
        <is>
          <t>3+4 ↔ 3+4</t>
        </is>
      </c>
      <c r="G52" s="4" t="n"/>
      <c r="H52" s="4" t="n"/>
      <c r="I52" s="20" t="inlineStr">
        <is>
          <t>chưa có sơ đồ — không xác định cáp trong sơ đồ MX</t>
        </is>
      </c>
      <c r="J52" s="4" t="inlineStr"/>
    </row>
    <row r="53">
      <c r="A53" s="4" t="inlineStr">
        <is>
          <t>R1-04</t>
        </is>
      </c>
      <c r="B53" s="4" t="n">
        <v>20</v>
      </c>
      <c r="C53" s="14" t="inlineStr">
        <is>
          <t>cáp</t>
        </is>
      </c>
      <c r="D53" s="4" t="inlineStr">
        <is>
          <t>POSTEF 24FO nhập đài (cs 1550→1288)</t>
        </is>
      </c>
      <c r="E53" s="4" t="inlineStr">
        <is>
          <t>MX_HTP-03B → ODF-02 NBE22</t>
        </is>
      </c>
      <c r="F53" s="4" t="inlineStr">
        <is>
          <t>3+4</t>
        </is>
      </c>
      <c r="G53" s="4" t="n">
        <v>260</v>
      </c>
      <c r="H53" s="4">
        <f>SUM(G34:G53)</f>
        <v/>
      </c>
      <c r="I53" s="4" t="inlineStr"/>
      <c r="J53" s="4" t="inlineStr">
        <is>
          <t>Sổ độ dài cáp (Tổng Hợp): 260 m</t>
        </is>
      </c>
    </row>
    <row r="54">
      <c r="A54" s="4" t="inlineStr">
        <is>
          <t>R1-04</t>
        </is>
      </c>
      <c r="B54" s="4" t="n">
        <v>21</v>
      </c>
      <c r="C54" s="14" t="inlineStr">
        <is>
          <t>ODF</t>
        </is>
      </c>
      <c r="D54" s="4" t="inlineStr">
        <is>
          <t>NBE22: ODF-02 24FO NBE22 (cs 1288)</t>
        </is>
      </c>
      <c r="E54" s="4" t="inlineStr"/>
      <c r="F54" s="4" t="inlineStr">
        <is>
          <t>3+4</t>
        </is>
      </c>
      <c r="G54" s="4" t="n"/>
      <c r="H54" s="4" t="n"/>
      <c r="I54" s="4" t="inlineStr"/>
      <c r="J54" s="4" t="inlineStr">
        <is>
          <t>ODF AGG ghi cổng 3-4: HNB048 ring 1</t>
        </is>
      </c>
    </row>
    <row r="55">
      <c r="A55" s="4" t="inlineStr">
        <is>
          <t>R2-01</t>
        </is>
      </c>
      <c r="B55" s="4" t="n">
        <v>1</v>
      </c>
      <c r="C55" s="14" t="inlineStr">
        <is>
          <t>ODF</t>
        </is>
      </c>
      <c r="D55" s="4" t="inlineStr">
        <is>
          <t>NBE12: ODF-02 24FO hướng NVT</t>
        </is>
      </c>
      <c r="E55" s="4" t="inlineStr"/>
      <c r="F55" s="4" t="inlineStr">
        <is>
          <t>1+2</t>
        </is>
      </c>
      <c r="G55" s="4" t="n"/>
      <c r="H55" s="4" t="n"/>
      <c r="I55" s="4" t="inlineStr"/>
      <c r="J55" s="4" t="inlineStr">
        <is>
          <t>ODF AGG ghi cổng 1-2: HNB054 ring 2</t>
        </is>
      </c>
    </row>
    <row r="56">
      <c r="A56" s="4" t="inlineStr">
        <is>
          <t>R2-01</t>
        </is>
      </c>
      <c r="B56" s="4" t="n">
        <v>2</v>
      </c>
      <c r="C56" s="14" t="inlineStr">
        <is>
          <t>cáp</t>
        </is>
      </c>
      <c r="D56" s="4" t="inlineStr">
        <is>
          <t>ADSS 9/2009</t>
        </is>
      </c>
      <c r="E56" s="4" t="inlineStr">
        <is>
          <t>VNPT Long Thới (ODF-02 NBE12) → MX nhập đài Long Thới–NVT</t>
        </is>
      </c>
      <c r="F56" s="4" t="inlineStr">
        <is>
          <t>1+2</t>
        </is>
      </c>
      <c r="G56" s="4" t="n">
        <v>150</v>
      </c>
      <c r="H56" s="4">
        <f>SUM(G55:G56)</f>
        <v/>
      </c>
      <c r="I56" s="4" t="inlineStr"/>
      <c r="J56" s="4" t="inlineStr">
        <is>
          <t>Sổ độ dài cáp (Tổng Hợp): 150 m</t>
        </is>
      </c>
    </row>
    <row r="57">
      <c r="A57" s="4" t="inlineStr">
        <is>
          <t>R2-01</t>
        </is>
      </c>
      <c r="B57" s="4" t="n">
        <v>3</v>
      </c>
      <c r="C57" s="19" t="inlineStr">
        <is>
          <t>măng xông</t>
        </is>
      </c>
      <c r="D57" s="4" t="inlineStr">
        <is>
          <t>MX nhập đài Long Thới–NVT</t>
        </is>
      </c>
      <c r="E57" s="4" t="inlineStr"/>
      <c r="F57" s="4" t="inlineStr">
        <is>
          <t>1+2 ↔ 1+2</t>
        </is>
      </c>
      <c r="G57" s="4" t="n"/>
      <c r="H57" s="4" t="n"/>
      <c r="I57" s="20" t="inlineStr">
        <is>
          <t>chưa có sơ đồ — không xác định cáp trong sơ đồ MX</t>
        </is>
      </c>
      <c r="J57" s="4" t="inlineStr">
        <is>
          <t>MX thẳng, chưa có sơ đồ nhãn</t>
        </is>
      </c>
    </row>
    <row r="58">
      <c r="A58" s="4" t="inlineStr">
        <is>
          <t>R2-01</t>
        </is>
      </c>
      <c r="B58" s="4" t="n">
        <v>4</v>
      </c>
      <c r="C58" s="14" t="inlineStr">
        <is>
          <t>cáp</t>
        </is>
      </c>
      <c r="D58" s="4" t="inlineStr">
        <is>
          <t>SACOM 8/2014</t>
        </is>
      </c>
      <c r="E58" s="4" t="inlineStr">
        <is>
          <t>MX nhập đài Long Thới–NVT → MX_NVT_01</t>
        </is>
      </c>
      <c r="F58" s="4" t="inlineStr">
        <is>
          <t>1+2</t>
        </is>
      </c>
      <c r="G58" s="4" t="n">
        <v>680</v>
      </c>
      <c r="H58" s="4">
        <f>SUM(G55:G58)</f>
        <v/>
      </c>
      <c r="I58" s="4" t="inlineStr"/>
      <c r="J58" s="4" t="inlineStr">
        <is>
          <t>Sổ độ dài cáp (Tổng Hợp): 680 m</t>
        </is>
      </c>
    </row>
    <row r="59">
      <c r="A59" s="4" t="inlineStr">
        <is>
          <t>R2-01</t>
        </is>
      </c>
      <c r="B59" s="4" t="n">
        <v>5</v>
      </c>
      <c r="C59" s="19" t="inlineStr">
        <is>
          <t>măng xông</t>
        </is>
      </c>
      <c r="D59" s="4" t="inlineStr">
        <is>
          <t>MX_NVT_01</t>
        </is>
      </c>
      <c r="E59" s="4" t="inlineStr"/>
      <c r="F59" s="4" t="inlineStr">
        <is>
          <t>1+2 ↔ 1+2</t>
        </is>
      </c>
      <c r="G59" s="4" t="n"/>
      <c r="H59" s="4" t="n"/>
      <c r="I59" s="20" t="inlineStr">
        <is>
          <t>chưa có nhãn — sơ đồ MX chưa ghi nhãn cho các core này</t>
        </is>
      </c>
      <c r="J59" s="4" t="inlineStr"/>
    </row>
    <row r="60">
      <c r="A60" s="4" t="inlineStr">
        <is>
          <t>R2-01</t>
        </is>
      </c>
      <c r="B60" s="4" t="n">
        <v>6</v>
      </c>
      <c r="C60" s="14" t="inlineStr">
        <is>
          <t>cáp</t>
        </is>
      </c>
      <c r="D60" s="4" t="inlineStr">
        <is>
          <t>FOCAL 9/2020 (vào HNB054)</t>
        </is>
      </c>
      <c r="E60" s="4" t="inlineStr">
        <is>
          <t>MX_NVT_01 → HNB054</t>
        </is>
      </c>
      <c r="F60" s="4" t="inlineStr">
        <is>
          <t>1+2</t>
        </is>
      </c>
      <c r="G60" s="4" t="n">
        <v>150</v>
      </c>
      <c r="H60" s="4">
        <f>SUM(G55:G60)</f>
        <v/>
      </c>
      <c r="I60" s="4" t="inlineStr"/>
      <c r="J60" s="4" t="inlineStr">
        <is>
          <t>Sổ độ dài cáp (Tổng Hợp): 150 m</t>
        </is>
      </c>
    </row>
    <row r="61">
      <c r="A61" s="4" t="inlineStr">
        <is>
          <t>R2-01</t>
        </is>
      </c>
      <c r="B61" s="4" t="n">
        <v>7</v>
      </c>
      <c r="C61" s="14" t="inlineStr">
        <is>
          <t>ODF</t>
        </is>
      </c>
      <c r="D61" s="4" t="inlineStr">
        <is>
          <t>HNB054: ODF-HNB054 (hướng NBE12)</t>
        </is>
      </c>
      <c r="E61" s="4" t="inlineStr"/>
      <c r="F61" s="4" t="inlineStr">
        <is>
          <t>1+2</t>
        </is>
      </c>
      <c r="G61" s="4" t="n"/>
      <c r="H61" s="4" t="n"/>
      <c r="I61" s="4" t="inlineStr"/>
      <c r="J61" s="4" t="inlineStr"/>
    </row>
    <row r="62">
      <c r="A62" s="4" t="inlineStr">
        <is>
          <t>R2-02</t>
        </is>
      </c>
      <c r="B62" s="4" t="n">
        <v>1</v>
      </c>
      <c r="C62" s="14" t="inlineStr">
        <is>
          <t>ODF</t>
        </is>
      </c>
      <c r="D62" s="4" t="inlineStr">
        <is>
          <t>HNB054: ODF-HNB054 (hướng ra)</t>
        </is>
      </c>
      <c r="E62" s="4" t="inlineStr"/>
      <c r="F62" s="4" t="inlineStr">
        <is>
          <t>3+4</t>
        </is>
      </c>
      <c r="G62" s="4" t="n"/>
      <c r="H62" s="4" t="n"/>
      <c r="I62" s="4" t="inlineStr"/>
      <c r="J62" s="4" t="inlineStr"/>
    </row>
    <row r="63">
      <c r="A63" s="4" t="inlineStr">
        <is>
          <t>R2-02</t>
        </is>
      </c>
      <c r="B63" s="4" t="n">
        <v>2</v>
      </c>
      <c r="C63" s="14" t="inlineStr">
        <is>
          <t>cáp</t>
        </is>
      </c>
      <c r="D63" s="4" t="inlineStr">
        <is>
          <t>FOCAL 9/2020 (vào HNB054)</t>
        </is>
      </c>
      <c r="E63" s="4" t="inlineStr">
        <is>
          <t>MX_NVT_01 → HNB054</t>
        </is>
      </c>
      <c r="F63" s="4" t="inlineStr">
        <is>
          <t>3+4</t>
        </is>
      </c>
      <c r="G63" s="4" t="n">
        <v>150</v>
      </c>
      <c r="H63" s="4">
        <f>SUM(G62:G63)</f>
        <v/>
      </c>
      <c r="I63" s="4" t="inlineStr"/>
      <c r="J63" s="4" t="inlineStr">
        <is>
          <t>Sổ độ dài cáp (Tổng Hợp): 150 m</t>
        </is>
      </c>
    </row>
    <row r="64">
      <c r="A64" s="4" t="inlineStr">
        <is>
          <t>R2-02</t>
        </is>
      </c>
      <c r="B64" s="4" t="n">
        <v>3</v>
      </c>
      <c r="C64" s="19" t="inlineStr">
        <is>
          <t>măng xông</t>
        </is>
      </c>
      <c r="D64" s="4" t="inlineStr">
        <is>
          <t>MX_NVT_01</t>
        </is>
      </c>
      <c r="E64" s="4" t="inlineStr"/>
      <c r="F64" s="4" t="inlineStr">
        <is>
          <t>3+4 ↔ 1+2</t>
        </is>
      </c>
      <c r="G64" s="4" t="n"/>
      <c r="H64" s="4" t="n"/>
      <c r="I64" s="20" t="inlineStr">
        <is>
          <t>chưa có nhãn — sơ đồ MX chưa ghi nhãn cho các core này</t>
        </is>
      </c>
      <c r="J64" s="4" t="inlineStr"/>
    </row>
    <row r="65">
      <c r="A65" s="4" t="inlineStr">
        <is>
          <t>R2-02</t>
        </is>
      </c>
      <c r="B65" s="4" t="n">
        <v>4</v>
      </c>
      <c r="C65" s="14" t="inlineStr">
        <is>
          <t>cáp</t>
        </is>
      </c>
      <c r="D65" s="4" t="inlineStr">
        <is>
          <t>FOCAL 9/2020 trục (gồm 175 m ngầm)</t>
        </is>
      </c>
      <c r="E65" s="4" t="inlineStr">
        <is>
          <t>MX_NVT_01 → MX_NVT_02A</t>
        </is>
      </c>
      <c r="F65" s="4" t="inlineStr">
        <is>
          <t>1+2</t>
        </is>
      </c>
      <c r="G65" s="4" t="n">
        <v>1060</v>
      </c>
      <c r="H65" s="4">
        <f>SUM(G62:G65)</f>
        <v/>
      </c>
      <c r="I65" s="4" t="inlineStr"/>
      <c r="J65" s="4" t="inlineStr">
        <is>
          <t>Sổ độ dài cáp (Tổng Hợp): 1060 m</t>
        </is>
      </c>
    </row>
    <row r="66">
      <c r="A66" s="4" t="inlineStr">
        <is>
          <t>R2-02</t>
        </is>
      </c>
      <c r="B66" s="4" t="n">
        <v>5</v>
      </c>
      <c r="C66" s="19" t="inlineStr">
        <is>
          <t>măng xông</t>
        </is>
      </c>
      <c r="D66" s="4" t="inlineStr">
        <is>
          <t>MX_NVT_02A</t>
        </is>
      </c>
      <c r="E66" s="4" t="inlineStr"/>
      <c r="F66" s="4" t="inlineStr">
        <is>
          <t>1+2 ↔ 1+2</t>
        </is>
      </c>
      <c r="G66" s="4" t="n"/>
      <c r="H66" s="4" t="n"/>
      <c r="I66" s="16" t="inlineStr">
        <is>
          <t>khớp sơ đồ — nhãn A</t>
        </is>
      </c>
      <c r="J66" s="4" t="inlineStr">
        <is>
          <t>hàn 1,2 vào 1,2 đi vào HNB006</t>
        </is>
      </c>
    </row>
    <row r="67">
      <c r="A67" s="4" t="inlineStr">
        <is>
          <t>R2-02</t>
        </is>
      </c>
      <c r="B67" s="4" t="n">
        <v>6</v>
      </c>
      <c r="C67" s="14" t="inlineStr">
        <is>
          <t>cáp</t>
        </is>
      </c>
      <c r="D67" s="4" t="inlineStr">
        <is>
          <t>12FO vào HNB006</t>
        </is>
      </c>
      <c r="E67" s="4" t="inlineStr">
        <is>
          <t>MX_NVT_02A → HNB006</t>
        </is>
      </c>
      <c r="F67" s="4" t="inlineStr">
        <is>
          <t>1+2</t>
        </is>
      </c>
      <c r="G67" s="4" t="n">
        <v>220</v>
      </c>
      <c r="H67" s="4">
        <f>SUM(G62:G67)</f>
        <v/>
      </c>
      <c r="I67" s="4" t="inlineStr"/>
      <c r="J67" s="4" t="inlineStr">
        <is>
          <t>Sổ độ dài cáp (Tổng Hợp): 220 m</t>
        </is>
      </c>
    </row>
    <row r="68">
      <c r="A68" s="4" t="inlineStr">
        <is>
          <t>R2-02</t>
        </is>
      </c>
      <c r="B68" s="4" t="n">
        <v>7</v>
      </c>
      <c r="C68" s="14" t="inlineStr">
        <is>
          <t>ODF</t>
        </is>
      </c>
      <c r="D68" s="4" t="inlineStr">
        <is>
          <t>HNB006: ODF-HNB006 (hướng HNB054)</t>
        </is>
      </c>
      <c r="E68" s="4" t="inlineStr"/>
      <c r="F68" s="4" t="inlineStr">
        <is>
          <t>1+2</t>
        </is>
      </c>
      <c r="G68" s="4" t="n"/>
      <c r="H68" s="4" t="n"/>
      <c r="I68" s="4" t="inlineStr"/>
      <c r="J68" s="4" t="inlineStr"/>
    </row>
    <row r="69">
      <c r="A69" s="4" t="inlineStr">
        <is>
          <t>R2-03</t>
        </is>
      </c>
      <c r="B69" s="4" t="n">
        <v>1</v>
      </c>
      <c r="C69" s="14" t="inlineStr">
        <is>
          <t>ODF</t>
        </is>
      </c>
      <c r="D69" s="4" t="inlineStr">
        <is>
          <t>HNB006: ODF-HNB006 (hướng ra)</t>
        </is>
      </c>
      <c r="E69" s="4" t="inlineStr"/>
      <c r="F69" s="4" t="inlineStr">
        <is>
          <t>3+4</t>
        </is>
      </c>
      <c r="G69" s="4" t="n"/>
      <c r="H69" s="4" t="n"/>
      <c r="I69" s="4" t="inlineStr"/>
      <c r="J69" s="4" t="inlineStr"/>
    </row>
    <row r="70">
      <c r="A70" s="4" t="inlineStr">
        <is>
          <t>R2-03</t>
        </is>
      </c>
      <c r="B70" s="4" t="n">
        <v>2</v>
      </c>
      <c r="C70" s="14" t="inlineStr">
        <is>
          <t>cáp</t>
        </is>
      </c>
      <c r="D70" s="4" t="inlineStr">
        <is>
          <t>12FO vào HNB006</t>
        </is>
      </c>
      <c r="E70" s="4" t="inlineStr">
        <is>
          <t>MX_NVT_02A → HNB006</t>
        </is>
      </c>
      <c r="F70" s="4" t="inlineStr">
        <is>
          <t>3+4</t>
        </is>
      </c>
      <c r="G70" s="4" t="n">
        <v>220</v>
      </c>
      <c r="H70" s="4">
        <f>SUM(G69:G70)</f>
        <v/>
      </c>
      <c r="I70" s="4" t="inlineStr"/>
      <c r="J70" s="4" t="inlineStr">
        <is>
          <t>Sổ độ dài cáp (Tổng Hợp): 220 m</t>
        </is>
      </c>
    </row>
    <row r="71">
      <c r="A71" s="4" t="inlineStr">
        <is>
          <t>R2-03</t>
        </is>
      </c>
      <c r="B71" s="4" t="n">
        <v>3</v>
      </c>
      <c r="C71" s="19" t="inlineStr">
        <is>
          <t>măng xông</t>
        </is>
      </c>
      <c r="D71" s="4" t="inlineStr">
        <is>
          <t>MX_NVT_02A</t>
        </is>
      </c>
      <c r="E71" s="4" t="inlineStr"/>
      <c r="F71" s="4" t="inlineStr">
        <is>
          <t>3+4 ↔ 5+2</t>
        </is>
      </c>
      <c r="G71" s="4" t="n"/>
      <c r="H71" s="4" t="n"/>
      <c r="I71" s="16" t="inlineStr">
        <is>
          <t>khớp sơ đồ (thay core hư) — thiết kế 3↔1+4↔2; thực tế 3↔5+4↔2</t>
        </is>
      </c>
      <c r="J71" s="4" t="inlineStr">
        <is>
          <t>thiết kế ban đầu 3↔1, 4↔2; core 1 hư nên 3 phối với 5 (phát sinh thực tế)</t>
        </is>
      </c>
    </row>
    <row r="72">
      <c r="A72" s="4" t="inlineStr">
        <is>
          <t>R2-03</t>
        </is>
      </c>
      <c r="B72" s="4" t="n">
        <v>4</v>
      </c>
      <c r="C72" s="14" t="inlineStr">
        <is>
          <t>cáp</t>
        </is>
      </c>
      <c r="D72" s="4" t="inlineStr">
        <is>
          <t>12FO NVT_02A → NVT_03A</t>
        </is>
      </c>
      <c r="E72" s="4" t="inlineStr">
        <is>
          <t>MX_NVT_02A → MX_NVT_03A</t>
        </is>
      </c>
      <c r="F72" s="4" t="inlineStr">
        <is>
          <t>5+2</t>
        </is>
      </c>
      <c r="G72" s="4" t="n">
        <v>845</v>
      </c>
      <c r="H72" s="4">
        <f>SUM(G69:G72)</f>
        <v/>
      </c>
      <c r="I72" s="4" t="inlineStr"/>
      <c r="J72" s="4" t="inlineStr">
        <is>
          <t>Sổ độ dài cáp (Tổng Hợp): 845 m</t>
        </is>
      </c>
    </row>
    <row r="73">
      <c r="A73" s="4" t="inlineStr">
        <is>
          <t>R2-03</t>
        </is>
      </c>
      <c r="B73" s="4" t="n">
        <v>5</v>
      </c>
      <c r="C73" s="19" t="inlineStr">
        <is>
          <t>măng xông</t>
        </is>
      </c>
      <c r="D73" s="4" t="inlineStr">
        <is>
          <t>MX_NVT_03A</t>
        </is>
      </c>
      <c r="E73" s="4" t="inlineStr"/>
      <c r="F73" s="4" t="inlineStr">
        <is>
          <t>5+2 ↔ 1+2</t>
        </is>
      </c>
      <c r="G73" s="4" t="n"/>
      <c r="H73" s="4" t="n"/>
      <c r="I73" s="20" t="inlineStr">
        <is>
          <t>chưa có sơ đồ — không xác định cáp trong sơ đồ MX</t>
        </is>
      </c>
      <c r="J73" s="4" t="inlineStr">
        <is>
          <t>hàn 5,2 vào 1,2 sợi 6FO vào HNB091</t>
        </is>
      </c>
    </row>
    <row r="74">
      <c r="A74" s="4" t="inlineStr">
        <is>
          <t>R2-03</t>
        </is>
      </c>
      <c r="B74" s="4" t="n">
        <v>6</v>
      </c>
      <c r="C74" s="14" t="inlineStr">
        <is>
          <t>cáp</t>
        </is>
      </c>
      <c r="D74" s="4" t="inlineStr">
        <is>
          <t>FOCAL 2020 vào HNB091 (6FO #1)</t>
        </is>
      </c>
      <c r="E74" s="4" t="inlineStr">
        <is>
          <t>MX_NVT_03A → HNB091</t>
        </is>
      </c>
      <c r="F74" s="4" t="inlineStr">
        <is>
          <t>1+2</t>
        </is>
      </c>
      <c r="G74" s="4" t="n">
        <v>545</v>
      </c>
      <c r="H74" s="4">
        <f>SUM(G69:G74)</f>
        <v/>
      </c>
      <c r="I74" s="4" t="inlineStr"/>
      <c r="J74" s="4" t="inlineStr">
        <is>
          <t>Sổ độ dài cáp (Tổng Hợp): 545 m</t>
        </is>
      </c>
    </row>
    <row r="75">
      <c r="A75" s="4" t="inlineStr">
        <is>
          <t>R2-03</t>
        </is>
      </c>
      <c r="B75" s="4" t="n">
        <v>7</v>
      </c>
      <c r="C75" s="14" t="inlineStr">
        <is>
          <t>ODF</t>
        </is>
      </c>
      <c r="D75" s="4" t="inlineStr">
        <is>
          <t>HNB091: ODF-HNB091 (hướng HNB006)</t>
        </is>
      </c>
      <c r="E75" s="4" t="inlineStr"/>
      <c r="F75" s="4" t="inlineStr">
        <is>
          <t>1+2</t>
        </is>
      </c>
      <c r="G75" s="4" t="n"/>
      <c r="H75" s="4" t="n"/>
      <c r="I75" s="4" t="inlineStr"/>
      <c r="J75" s="4" t="inlineStr"/>
    </row>
    <row r="76">
      <c r="A76" s="4" t="inlineStr">
        <is>
          <t>R2-04</t>
        </is>
      </c>
      <c r="B76" s="4" t="n">
        <v>1</v>
      </c>
      <c r="C76" s="14" t="inlineStr">
        <is>
          <t>ODF</t>
        </is>
      </c>
      <c r="D76" s="4" t="inlineStr">
        <is>
          <t>HNB091: ODF-HNB091 (hướng ra)</t>
        </is>
      </c>
      <c r="E76" s="4" t="inlineStr"/>
      <c r="F76" s="4" t="inlineStr">
        <is>
          <t>1+2</t>
        </is>
      </c>
      <c r="G76" s="4" t="n"/>
      <c r="H76" s="4" t="n"/>
      <c r="I76" s="4" t="inlineStr"/>
      <c r="J76" s="4" t="inlineStr"/>
    </row>
    <row r="77">
      <c r="A77" s="4" t="inlineStr">
        <is>
          <t>R2-04</t>
        </is>
      </c>
      <c r="B77" s="4" t="n">
        <v>2</v>
      </c>
      <c r="C77" s="14" t="inlineStr">
        <is>
          <t>cáp</t>
        </is>
      </c>
      <c r="D77" s="4" t="inlineStr">
        <is>
          <t>FOCAL 2020 ra HNB091 (6FO #2)</t>
        </is>
      </c>
      <c r="E77" s="4" t="inlineStr">
        <is>
          <t>HNB091 → MX_NVT_03B</t>
        </is>
      </c>
      <c r="F77" s="4" t="inlineStr">
        <is>
          <t>1+2</t>
        </is>
      </c>
      <c r="G77" s="4" t="n">
        <v>550</v>
      </c>
      <c r="H77" s="4">
        <f>SUM(G76:G77)</f>
        <v/>
      </c>
      <c r="I77" s="4" t="inlineStr"/>
      <c r="J77" s="4" t="inlineStr">
        <is>
          <t>Sổ độ dài cáp (Tổng Hợp): 550 m</t>
        </is>
      </c>
    </row>
    <row r="78">
      <c r="A78" s="4" t="inlineStr">
        <is>
          <t>R2-04</t>
        </is>
      </c>
      <c r="B78" s="4" t="n">
        <v>3</v>
      </c>
      <c r="C78" s="19" t="inlineStr">
        <is>
          <t>măng xông</t>
        </is>
      </c>
      <c r="D78" s="4" t="inlineStr">
        <is>
          <t>MX_NVT_03B</t>
        </is>
      </c>
      <c r="E78" s="4" t="inlineStr"/>
      <c r="F78" s="4" t="inlineStr">
        <is>
          <t>1+2 ↔ 1+2</t>
        </is>
      </c>
      <c r="G78" s="4" t="n"/>
      <c r="H78" s="4" t="n"/>
      <c r="I78" s="20" t="inlineStr">
        <is>
          <t>chưa có sơ đồ — không xác định cáp trong sơ đồ MX</t>
        </is>
      </c>
      <c r="J78" s="4" t="inlineStr">
        <is>
          <t>hàn 1,2 vào 1,2 sợi 12FO về NVT_02B</t>
        </is>
      </c>
    </row>
    <row r="79">
      <c r="A79" s="4" t="inlineStr">
        <is>
          <t>R2-04</t>
        </is>
      </c>
      <c r="B79" s="4" t="n">
        <v>4</v>
      </c>
      <c r="C79" s="14" t="inlineStr">
        <is>
          <t>cáp</t>
        </is>
      </c>
      <c r="D79" s="4" t="inlineStr">
        <is>
          <t>12FO NVT_03B → NVT_02B</t>
        </is>
      </c>
      <c r="E79" s="4" t="inlineStr">
        <is>
          <t>MX_NVT_03B → MX_NVT_02B</t>
        </is>
      </c>
      <c r="F79" s="4" t="inlineStr">
        <is>
          <t>1+2</t>
        </is>
      </c>
      <c r="G79" s="4" t="n">
        <v>770</v>
      </c>
      <c r="H79" s="4">
        <f>SUM(G76:G79)</f>
        <v/>
      </c>
      <c r="I79" s="4" t="inlineStr"/>
      <c r="J79" s="4" t="inlineStr">
        <is>
          <t>Sổ độ dài cáp (Tổng Hợp): 770 m</t>
        </is>
      </c>
    </row>
    <row r="80">
      <c r="A80" s="4" t="inlineStr">
        <is>
          <t>R2-04</t>
        </is>
      </c>
      <c r="B80" s="4" t="n">
        <v>5</v>
      </c>
      <c r="C80" s="19" t="inlineStr">
        <is>
          <t>măng xông</t>
        </is>
      </c>
      <c r="D80" s="4" t="inlineStr">
        <is>
          <t>MX_NVT_02B</t>
        </is>
      </c>
      <c r="E80" s="4" t="inlineStr"/>
      <c r="F80" s="4" t="inlineStr">
        <is>
          <t>1+2 ↔ 1+2</t>
        </is>
      </c>
      <c r="G80" s="4" t="n"/>
      <c r="H80" s="4" t="n"/>
      <c r="I80" s="16" t="inlineStr">
        <is>
          <t>khớp sơ đồ — nhãn A</t>
        </is>
      </c>
      <c r="J80" s="4" t="inlineStr"/>
    </row>
    <row r="81">
      <c r="A81" s="4" t="inlineStr">
        <is>
          <t>R2-04</t>
        </is>
      </c>
      <c r="B81" s="4" t="n">
        <v>6</v>
      </c>
      <c r="C81" s="14" t="inlineStr">
        <is>
          <t>cáp</t>
        </is>
      </c>
      <c r="D81" s="4" t="inlineStr">
        <is>
          <t>TPKL 12FO trục NVT_02B → LVL-05 (qua MX thẳng nối dài)</t>
        </is>
      </c>
      <c r="E81" s="4" t="inlineStr">
        <is>
          <t>MX_NVT_02B → MX_LVL-05</t>
        </is>
      </c>
      <c r="F81" s="4" t="inlineStr">
        <is>
          <t>1+2</t>
        </is>
      </c>
      <c r="G81" s="4" t="n">
        <v>6250</v>
      </c>
      <c r="H81" s="4">
        <f>SUM(G76:G81)</f>
        <v/>
      </c>
      <c r="I81" s="4" t="inlineStr"/>
      <c r="J81" s="4" t="inlineStr">
        <is>
          <t>Sổ độ dài cáp (Tổng Hợp): 6250 m (ghi chú sổ: 7020 = 785+1745+3715+770)</t>
        </is>
      </c>
    </row>
    <row r="82">
      <c r="A82" s="4" t="inlineStr">
        <is>
          <t>R2-04</t>
        </is>
      </c>
      <c r="B82" s="4" t="n">
        <v>7</v>
      </c>
      <c r="C82" s="19" t="inlineStr">
        <is>
          <t>măng xông</t>
        </is>
      </c>
      <c r="D82" s="4" t="inlineStr">
        <is>
          <t>MX_LVL-05</t>
        </is>
      </c>
      <c r="E82" s="4" t="inlineStr"/>
      <c r="F82" s="4" t="inlineStr">
        <is>
          <t>1+2 ↔ 19+20</t>
        </is>
      </c>
      <c r="G82" s="4" t="n"/>
      <c r="H82" s="4" t="n"/>
      <c r="I82" s="16" t="inlineStr">
        <is>
          <t>khớp sơ đồ — nhãn D</t>
        </is>
      </c>
      <c r="J82" s="4" t="inlineStr">
        <is>
          <t>hàn 1,2 vào 19,20 sợi 24FO TPKL POSTEF 11/2016</t>
        </is>
      </c>
    </row>
    <row r="83">
      <c r="A83" s="4" t="inlineStr">
        <is>
          <t>R2-04</t>
        </is>
      </c>
      <c r="B83" s="4" t="n">
        <v>8</v>
      </c>
      <c r="C83" s="14" t="inlineStr">
        <is>
          <t>cáp</t>
        </is>
      </c>
      <c r="D83" s="4" t="inlineStr">
        <is>
          <t>TPKL POSTEF 11/2016</t>
        </is>
      </c>
      <c r="E83" s="4" t="inlineStr">
        <is>
          <t>MX_LVL-05 → MX_NB-01</t>
        </is>
      </c>
      <c r="F83" s="4" t="inlineStr">
        <is>
          <t>19+20</t>
        </is>
      </c>
      <c r="G83" s="4" t="n">
        <v>3236</v>
      </c>
      <c r="H83" s="4">
        <f>SUM(G76:G83)</f>
        <v/>
      </c>
      <c r="I83" s="4" t="inlineStr"/>
      <c r="J83" s="4" t="inlineStr">
        <is>
          <t>Sổ độ dài cáp (Tổng Hợp): 3236 m</t>
        </is>
      </c>
    </row>
    <row r="84">
      <c r="A84" s="4" t="inlineStr">
        <is>
          <t>R2-04</t>
        </is>
      </c>
      <c r="B84" s="4" t="n">
        <v>9</v>
      </c>
      <c r="C84" s="19" t="inlineStr">
        <is>
          <t>măng xông</t>
        </is>
      </c>
      <c r="D84" s="4" t="inlineStr">
        <is>
          <t>MX_NB-01</t>
        </is>
      </c>
      <c r="E84" s="4" t="inlineStr"/>
      <c r="F84" s="4" t="inlineStr">
        <is>
          <t>19+20 ↔ 1+2</t>
        </is>
      </c>
      <c r="G84" s="4" t="n"/>
      <c r="H84" s="4" t="n"/>
      <c r="I84" s="16" t="inlineStr">
        <is>
          <t>khớp sơ đồ — nhãn B</t>
        </is>
      </c>
      <c r="J84" s="4" t="inlineStr"/>
    </row>
    <row r="85">
      <c r="A85" s="4" t="inlineStr">
        <is>
          <t>R2-04</t>
        </is>
      </c>
      <c r="B85" s="4" t="n">
        <v>10</v>
      </c>
      <c r="C85" s="14" t="inlineStr">
        <is>
          <t>cáp</t>
        </is>
      </c>
      <c r="D85" s="4" t="inlineStr">
        <is>
          <t>12FO NB-01 → NB-02</t>
        </is>
      </c>
      <c r="E85" s="4" t="inlineStr">
        <is>
          <t>MX_NB-01 → MX_NB-02</t>
        </is>
      </c>
      <c r="F85" s="4" t="inlineStr">
        <is>
          <t>1+2</t>
        </is>
      </c>
      <c r="G85" s="4" t="n">
        <v>1040</v>
      </c>
      <c r="H85" s="4">
        <f>SUM(G76:G85)</f>
        <v/>
      </c>
      <c r="I85" s="4" t="inlineStr"/>
      <c r="J85" s="4" t="inlineStr">
        <is>
          <t>Sổ độ dài cáp (Tổng Hợp): 1040 m (NB Phạm Thị Kỳ → nhập đài Long Thới-NB)</t>
        </is>
      </c>
    </row>
    <row r="86">
      <c r="A86" s="4" t="inlineStr">
        <is>
          <t>R2-04</t>
        </is>
      </c>
      <c r="B86" s="4" t="n">
        <v>11</v>
      </c>
      <c r="C86" s="19" t="inlineStr">
        <is>
          <t>măng xông</t>
        </is>
      </c>
      <c r="D86" s="4" t="inlineStr">
        <is>
          <t>MX_NB-02</t>
        </is>
      </c>
      <c r="E86" s="4" t="inlineStr"/>
      <c r="F86" s="4" t="inlineStr">
        <is>
          <t>1+2 ↔ 1+2</t>
        </is>
      </c>
      <c r="G86" s="4" t="n"/>
      <c r="H86" s="4" t="n"/>
      <c r="I86" s="20" t="inlineStr">
        <is>
          <t>chưa có sơ đồ — không xác định cáp trong sơ đồ MX</t>
        </is>
      </c>
      <c r="J86" s="4" t="inlineStr"/>
    </row>
    <row r="87">
      <c r="A87" s="4" t="inlineStr">
        <is>
          <t>R2-04</t>
        </is>
      </c>
      <c r="B87" s="4" t="n">
        <v>12</v>
      </c>
      <c r="C87" s="14" t="inlineStr">
        <is>
          <t>cáp</t>
        </is>
      </c>
      <c r="D87" s="4" t="inlineStr">
        <is>
          <t>12FO NB-02 → NB-03</t>
        </is>
      </c>
      <c r="E87" s="4" t="inlineStr">
        <is>
          <t>MX_NB-02 → MX_NB-03</t>
        </is>
      </c>
      <c r="F87" s="4" t="inlineStr">
        <is>
          <t>1+2</t>
        </is>
      </c>
      <c r="G87" s="4" t="n">
        <v>1408</v>
      </c>
      <c r="H87" s="4">
        <f>SUM(G76:G87)</f>
        <v/>
      </c>
      <c r="I87" s="4" t="inlineStr"/>
      <c r="J87" s="4" t="inlineStr">
        <is>
          <t>Sổ độ dài cáp (Tổng Hợp): 1408 m</t>
        </is>
      </c>
    </row>
    <row r="88">
      <c r="A88" s="4" t="inlineStr">
        <is>
          <t>R2-04</t>
        </is>
      </c>
      <c r="B88" s="4" t="n">
        <v>13</v>
      </c>
      <c r="C88" s="19" t="inlineStr">
        <is>
          <t>măng xông</t>
        </is>
      </c>
      <c r="D88" s="4" t="inlineStr">
        <is>
          <t>MX_NB-03</t>
        </is>
      </c>
      <c r="E88" s="4" t="inlineStr"/>
      <c r="F88" s="4" t="inlineStr">
        <is>
          <t>1+2 ↔ 1+2</t>
        </is>
      </c>
      <c r="G88" s="4" t="n"/>
      <c r="H88" s="4" t="n"/>
      <c r="I88" s="20" t="inlineStr">
        <is>
          <t>chưa có sơ đồ — không xác định cáp trong sơ đồ MX</t>
        </is>
      </c>
      <c r="J88" s="4" t="inlineStr"/>
    </row>
    <row r="89">
      <c r="A89" s="4" t="inlineStr">
        <is>
          <t>R2-04</t>
        </is>
      </c>
      <c r="B89" s="4" t="n">
        <v>14</v>
      </c>
      <c r="C89" s="14" t="inlineStr">
        <is>
          <t>cáp</t>
        </is>
      </c>
      <c r="D89" s="4" t="inlineStr">
        <is>
          <t>12FO NB-03 → NB-04</t>
        </is>
      </c>
      <c r="E89" s="4" t="inlineStr">
        <is>
          <t>MX_NB-03 → MX_NB-04</t>
        </is>
      </c>
      <c r="F89" s="4" t="inlineStr">
        <is>
          <t>1+2</t>
        </is>
      </c>
      <c r="G89" s="4" t="n">
        <v>1092</v>
      </c>
      <c r="H89" s="4">
        <f>SUM(G76:G89)</f>
        <v/>
      </c>
      <c r="I89" s="4" t="inlineStr"/>
      <c r="J89" s="4" t="inlineStr">
        <is>
          <t>Sổ độ dài cáp (Tổng Hợp): 1092 m</t>
        </is>
      </c>
    </row>
    <row r="90">
      <c r="A90" s="4" t="inlineStr">
        <is>
          <t>R2-04</t>
        </is>
      </c>
      <c r="B90" s="4" t="n">
        <v>15</v>
      </c>
      <c r="C90" s="19" t="inlineStr">
        <is>
          <t>măng xông</t>
        </is>
      </c>
      <c r="D90" s="4" t="inlineStr">
        <is>
          <t>MX_NB-04</t>
        </is>
      </c>
      <c r="E90" s="4" t="inlineStr"/>
      <c r="F90" s="4" t="inlineStr">
        <is>
          <t>1+2 ↔ 1+2</t>
        </is>
      </c>
      <c r="G90" s="4" t="n"/>
      <c r="H90" s="4" t="n"/>
      <c r="I90" s="20" t="inlineStr">
        <is>
          <t>chưa có sơ đồ — không xác định cáp trong sơ đồ MX</t>
        </is>
      </c>
      <c r="J90" s="4" t="inlineStr"/>
    </row>
    <row r="91">
      <c r="A91" s="4" t="inlineStr">
        <is>
          <t>R2-04</t>
        </is>
      </c>
      <c r="B91" s="4" t="n">
        <v>16</v>
      </c>
      <c r="C91" s="14" t="inlineStr">
        <is>
          <t>cáp</t>
        </is>
      </c>
      <c r="D91" s="4" t="inlineStr">
        <is>
          <t>12FO NB-04 → MX thẳng HTP</t>
        </is>
      </c>
      <c r="E91" s="4" t="inlineStr">
        <is>
          <t>MX_NB-04 → MX thẳng HTP</t>
        </is>
      </c>
      <c r="F91" s="4" t="inlineStr">
        <is>
          <t>1+2</t>
        </is>
      </c>
      <c r="G91" s="4" t="n">
        <v>777</v>
      </c>
      <c r="H91" s="4">
        <f>SUM(G76:G91)</f>
        <v/>
      </c>
      <c r="I91" s="4" t="inlineStr"/>
      <c r="J91" s="4" t="inlineStr">
        <is>
          <t>Sổ độ dài cáp (Tổng Hợp): 777 m (MX thẳng HTP: hết đoạn 600 m từ SG mới trên đường HTP; người dùng xác nhận)</t>
        </is>
      </c>
    </row>
    <row r="92">
      <c r="A92" s="4" t="inlineStr">
        <is>
          <t>R2-04</t>
        </is>
      </c>
      <c r="B92" s="4" t="n">
        <v>17</v>
      </c>
      <c r="C92" s="19" t="inlineStr">
        <is>
          <t>măng xông</t>
        </is>
      </c>
      <c r="D92" s="4" t="inlineStr">
        <is>
          <t>MX thẳng HTP</t>
        </is>
      </c>
      <c r="E92" s="4" t="inlineStr"/>
      <c r="F92" s="4" t="inlineStr">
        <is>
          <t>1+2 ↔ 1+2</t>
        </is>
      </c>
      <c r="G92" s="4" t="n"/>
      <c r="H92" s="4" t="n"/>
      <c r="I92" s="20" t="inlineStr">
        <is>
          <t>chưa có sơ đồ — không xác định cáp trong sơ đồ MX</t>
        </is>
      </c>
      <c r="J92" s="4" t="inlineStr">
        <is>
          <t>MX thẳng nối dài (xác nhận: hết đoạn 600 m từ SG mới trên đường HTP, 10.680424, 106.748376)</t>
        </is>
      </c>
    </row>
    <row r="93">
      <c r="A93" s="4" t="inlineStr">
        <is>
          <t>R2-04</t>
        </is>
      </c>
      <c r="B93" s="4" t="n">
        <v>18</v>
      </c>
      <c r="C93" s="14" t="inlineStr">
        <is>
          <t>cáp</t>
        </is>
      </c>
      <c r="D93" s="4" t="inlineStr">
        <is>
          <t>12FO MX thẳng HTP → HTP-03B</t>
        </is>
      </c>
      <c r="E93" s="4" t="inlineStr">
        <is>
          <t>MX thẳng HTP → MX_HTP-03B</t>
        </is>
      </c>
      <c r="F93" s="4" t="inlineStr">
        <is>
          <t>1+2</t>
        </is>
      </c>
      <c r="G93" s="4" t="n">
        <v>640</v>
      </c>
      <c r="H93" s="4">
        <f>SUM(G76:G93)</f>
        <v/>
      </c>
      <c r="I93" s="4" t="inlineStr"/>
      <c r="J93" s="4" t="inlineStr">
        <is>
          <t>Sổ độ dài cáp (Tổng Hợp): 640 m</t>
        </is>
      </c>
    </row>
    <row r="94">
      <c r="A94" s="4" t="inlineStr">
        <is>
          <t>R2-04</t>
        </is>
      </c>
      <c r="B94" s="4" t="n">
        <v>19</v>
      </c>
      <c r="C94" s="19" t="inlineStr">
        <is>
          <t>măng xông</t>
        </is>
      </c>
      <c r="D94" s="4" t="inlineStr">
        <is>
          <t>MX_HTP-03B</t>
        </is>
      </c>
      <c r="E94" s="4" t="inlineStr"/>
      <c r="F94" s="4" t="inlineStr">
        <is>
          <t>1+2 ↔ 1+2</t>
        </is>
      </c>
      <c r="G94" s="4" t="n"/>
      <c r="H94" s="4" t="n"/>
      <c r="I94" s="20" t="inlineStr">
        <is>
          <t>chưa có sơ đồ — không xác định cáp trong sơ đồ MX</t>
        </is>
      </c>
      <c r="J94" s="4" t="inlineStr">
        <is>
          <t>hàn 1,2 vào sợi nhập đài POSTEF 24FO (chỉ số 1550→1288)</t>
        </is>
      </c>
    </row>
    <row r="95">
      <c r="A95" s="4" t="inlineStr">
        <is>
          <t>R2-04</t>
        </is>
      </c>
      <c r="B95" s="4" t="n">
        <v>20</v>
      </c>
      <c r="C95" s="14" t="inlineStr">
        <is>
          <t>cáp</t>
        </is>
      </c>
      <c r="D95" s="4" t="inlineStr">
        <is>
          <t>POSTEF 24FO nhập đài (cs 1550→1288)</t>
        </is>
      </c>
      <c r="E95" s="4" t="inlineStr">
        <is>
          <t>MX_HTP-03B → ODF-02 NBE22</t>
        </is>
      </c>
      <c r="F95" s="4" t="inlineStr">
        <is>
          <t>1+2</t>
        </is>
      </c>
      <c r="G95" s="4" t="n">
        <v>260</v>
      </c>
      <c r="H95" s="4">
        <f>SUM(G76:G95)</f>
        <v/>
      </c>
      <c r="I95" s="4" t="inlineStr"/>
      <c r="J95" s="4" t="inlineStr">
        <is>
          <t>Sổ độ dài cáp (Tổng Hợp): 260 m</t>
        </is>
      </c>
    </row>
    <row r="96">
      <c r="A96" s="4" t="inlineStr">
        <is>
          <t>R2-04</t>
        </is>
      </c>
      <c r="B96" s="4" t="n">
        <v>21</v>
      </c>
      <c r="C96" s="14" t="inlineStr">
        <is>
          <t>ODF</t>
        </is>
      </c>
      <c r="D96" s="4" t="inlineStr">
        <is>
          <t>NBE22: ODF-02 24FO NBE22 (cs 1288)</t>
        </is>
      </c>
      <c r="E96" s="4" t="inlineStr"/>
      <c r="F96" s="4" t="inlineStr">
        <is>
          <t>1+2</t>
        </is>
      </c>
      <c r="G96" s="4" t="n"/>
      <c r="H96" s="4" t="n"/>
      <c r="I96" s="4" t="inlineStr"/>
      <c r="J96" s="4" t="inlineStr">
        <is>
          <t>ODF AGG ghi cổng 1-2: HNB091 ring 2</t>
        </is>
      </c>
    </row>
  </sheetData>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I60"/>
  <sheetViews>
    <sheetView showGridLines="0" workbookViewId="0">
      <pane ySplit="4" topLeftCell="A5" activePane="bottomLeft" state="frozen"/>
      <selection pane="bottomLeft" activeCell="A1" sqref="A1"/>
    </sheetView>
  </sheetViews>
  <sheetFormatPr baseColWidth="8" defaultRowHeight="15"/>
  <cols>
    <col width="26" customWidth="1" min="1" max="1"/>
    <col width="8" customWidth="1" min="2" max="2"/>
    <col width="38" customWidth="1" min="3" max="3"/>
    <col width="7" customWidth="1" min="4" max="4"/>
    <col width="4" customWidth="1" min="5" max="5"/>
    <col width="38" customWidth="1" min="6" max="6"/>
    <col width="7" customWidth="1" min="7" max="7"/>
    <col width="30" customWidth="1" min="8" max="8"/>
    <col width="60" customWidth="1" min="9" max="9"/>
  </cols>
  <sheetData>
    <row r="1">
      <c r="A1" s="1" t="inlineStr">
        <is>
          <t>Bảng phối core dựng lại từ đường đi người dùng mô tả</t>
        </is>
      </c>
    </row>
    <row r="2">
      <c r="A2" s="2" t="inlineStr">
        <is>
          <t>Mỗi dòng = một core hàn tại một măng xông, theo từng link. Cột đối chiếu so với nhãn trong sơ đồ MX gốc (nếu có). Hoàn thiện dần khi có thêm đường đi.</t>
        </is>
      </c>
    </row>
    <row r="4" ht="32" customHeight="1">
      <c r="A4" s="3" t="inlineStr">
        <is>
          <t>Măng xông</t>
        </is>
      </c>
      <c r="B4" s="3" t="inlineStr">
        <is>
          <t>Link</t>
        </is>
      </c>
      <c r="C4" s="3" t="inlineStr">
        <is>
          <t>Cáp A</t>
        </is>
      </c>
      <c r="D4" s="3" t="inlineStr">
        <is>
          <t>Core A</t>
        </is>
      </c>
      <c r="E4" s="3" t="inlineStr">
        <is>
          <t>↔</t>
        </is>
      </c>
      <c r="F4" s="3" t="inlineStr">
        <is>
          <t>Cáp B</t>
        </is>
      </c>
      <c r="G4" s="3" t="inlineStr">
        <is>
          <t>Core B</t>
        </is>
      </c>
      <c r="H4" s="3" t="inlineStr">
        <is>
          <t>Đối chiếu sơ đồ MX</t>
        </is>
      </c>
      <c r="I4" s="3" t="inlineStr">
        <is>
          <t>Ghi chú</t>
        </is>
      </c>
    </row>
    <row r="5">
      <c r="A5" s="4" t="inlineStr">
        <is>
          <t>MX nhập đài Long Thới–NVT</t>
        </is>
      </c>
      <c r="B5" s="4" t="inlineStr">
        <is>
          <t>R1-01</t>
        </is>
      </c>
      <c r="C5" s="4" t="inlineStr">
        <is>
          <t>C01 ADSS 9/2009 24FO</t>
        </is>
      </c>
      <c r="D5" s="4" t="n">
        <v>3</v>
      </c>
      <c r="E5" s="4" t="inlineStr">
        <is>
          <t>↔</t>
        </is>
      </c>
      <c r="F5" s="4" t="inlineStr">
        <is>
          <t>C02 SACOM 8/2014 12FO</t>
        </is>
      </c>
      <c r="G5" s="4" t="n">
        <v>3</v>
      </c>
      <c r="H5" s="20" t="inlineStr">
        <is>
          <t>chưa có sơ đồ</t>
        </is>
      </c>
      <c r="I5" s="4" t="inlineStr"/>
    </row>
    <row r="6">
      <c r="A6" s="4" t="inlineStr">
        <is>
          <t>MX nhập đài Long Thới–NVT</t>
        </is>
      </c>
      <c r="B6" s="4" t="inlineStr">
        <is>
          <t>R1-01</t>
        </is>
      </c>
      <c r="C6" s="4" t="inlineStr">
        <is>
          <t>C01 ADSS 9/2009 24FO</t>
        </is>
      </c>
      <c r="D6" s="4" t="n">
        <v>4</v>
      </c>
      <c r="E6" s="4" t="inlineStr">
        <is>
          <t>↔</t>
        </is>
      </c>
      <c r="F6" s="4" t="inlineStr">
        <is>
          <t>C02 SACOM 8/2014 12FO</t>
        </is>
      </c>
      <c r="G6" s="4" t="n">
        <v>4</v>
      </c>
      <c r="H6" s="20" t="inlineStr">
        <is>
          <t>chưa có sơ đồ</t>
        </is>
      </c>
      <c r="I6" s="4" t="inlineStr"/>
    </row>
    <row r="7">
      <c r="A7" s="4" t="inlineStr">
        <is>
          <t>MX_NVT_01</t>
        </is>
      </c>
      <c r="B7" s="4" t="inlineStr">
        <is>
          <t>R1-01</t>
        </is>
      </c>
      <c r="C7" s="4" t="inlineStr">
        <is>
          <t>C02 SACOM 8/2014 12FO</t>
        </is>
      </c>
      <c r="D7" s="4" t="n">
        <v>3</v>
      </c>
      <c r="E7" s="4" t="inlineStr">
        <is>
          <t>↔</t>
        </is>
      </c>
      <c r="F7" s="4" t="inlineStr">
        <is>
          <t>C04 FOCAL 9/2020 trục (gồm 175 m ngầm) 12FO</t>
        </is>
      </c>
      <c r="G7" s="4" t="n">
        <v>3</v>
      </c>
      <c r="H7" s="20" t="inlineStr">
        <is>
          <t>chưa có nhãn</t>
        </is>
      </c>
      <c r="I7" s="4" t="inlineStr">
        <is>
          <t>đi thẳng trục, không rẽ vào HNB054</t>
        </is>
      </c>
    </row>
    <row r="8">
      <c r="A8" s="4" t="inlineStr">
        <is>
          <t>MX_NVT_01</t>
        </is>
      </c>
      <c r="B8" s="4" t="inlineStr">
        <is>
          <t>R1-01</t>
        </is>
      </c>
      <c r="C8" s="4" t="inlineStr">
        <is>
          <t>C02 SACOM 8/2014 12FO</t>
        </is>
      </c>
      <c r="D8" s="4" t="n">
        <v>4</v>
      </c>
      <c r="E8" s="4" t="inlineStr">
        <is>
          <t>↔</t>
        </is>
      </c>
      <c r="F8" s="4" t="inlineStr">
        <is>
          <t>C04 FOCAL 9/2020 trục (gồm 175 m ngầm) 12FO</t>
        </is>
      </c>
      <c r="G8" s="4" t="n">
        <v>4</v>
      </c>
      <c r="H8" s="20" t="inlineStr">
        <is>
          <t>chưa có nhãn</t>
        </is>
      </c>
      <c r="I8" s="4" t="inlineStr">
        <is>
          <t>đi thẳng trục, không rẽ vào HNB054</t>
        </is>
      </c>
    </row>
    <row r="9">
      <c r="A9" s="4" t="inlineStr">
        <is>
          <t>MX_NVT_02A</t>
        </is>
      </c>
      <c r="B9" s="4" t="inlineStr">
        <is>
          <t>R1-01</t>
        </is>
      </c>
      <c r="C9" s="4" t="inlineStr">
        <is>
          <t>C04 FOCAL 9/2020 trục (gồm 175 m ngầm) 12FO</t>
        </is>
      </c>
      <c r="D9" s="4" t="n">
        <v>3</v>
      </c>
      <c r="E9" s="4" t="inlineStr">
        <is>
          <t>↔</t>
        </is>
      </c>
      <c r="F9" s="4" t="inlineStr">
        <is>
          <t>C06 12FO NVT_02A → NVT_03A 12FO</t>
        </is>
      </c>
      <c r="G9" s="4" t="n">
        <v>3</v>
      </c>
      <c r="H9" s="16" t="inlineStr">
        <is>
          <t>khớp sơ đồ</t>
        </is>
      </c>
      <c r="I9" s="4" t="inlineStr">
        <is>
          <t>nhãn B (sơ đồ) đi thẳng về NVT_03A</t>
        </is>
      </c>
    </row>
    <row r="10">
      <c r="A10" s="4" t="inlineStr">
        <is>
          <t>MX_NVT_02A</t>
        </is>
      </c>
      <c r="B10" s="4" t="inlineStr">
        <is>
          <t>R1-01</t>
        </is>
      </c>
      <c r="C10" s="4" t="inlineStr">
        <is>
          <t>C04 FOCAL 9/2020 trục (gồm 175 m ngầm) 12FO</t>
        </is>
      </c>
      <c r="D10" s="4" t="n">
        <v>4</v>
      </c>
      <c r="E10" s="4" t="inlineStr">
        <is>
          <t>↔</t>
        </is>
      </c>
      <c r="F10" s="4" t="inlineStr">
        <is>
          <t>C06 12FO NVT_02A → NVT_03A 12FO</t>
        </is>
      </c>
      <c r="G10" s="4" t="n">
        <v>4</v>
      </c>
      <c r="H10" s="16" t="inlineStr">
        <is>
          <t>khớp sơ đồ</t>
        </is>
      </c>
      <c r="I10" s="4" t="inlineStr">
        <is>
          <t>nhãn B (sơ đồ) đi thẳng về NVT_03A</t>
        </is>
      </c>
    </row>
    <row r="11">
      <c r="A11" s="4" t="inlineStr">
        <is>
          <t>MX_NVT_03A</t>
        </is>
      </c>
      <c r="B11" s="4" t="inlineStr">
        <is>
          <t>R1-01</t>
        </is>
      </c>
      <c r="C11" s="4" t="inlineStr">
        <is>
          <t>C06 12FO NVT_02A → NVT_03A 12FO</t>
        </is>
      </c>
      <c r="D11" s="4" t="n">
        <v>3</v>
      </c>
      <c r="E11" s="4" t="inlineStr">
        <is>
          <t>↔</t>
        </is>
      </c>
      <c r="F11" s="4" t="inlineStr">
        <is>
          <t>C18 FOCAL 2020 vào HNB059 (6FO) 6FO</t>
        </is>
      </c>
      <c r="G11" s="4" t="n">
        <v>1</v>
      </c>
      <c r="H11" s="20" t="inlineStr">
        <is>
          <t>chưa có sơ đồ</t>
        </is>
      </c>
      <c r="I11" s="4" t="inlineStr">
        <is>
          <t>rẽ vào 6FO đi HNB059 (quy ước 6FO riêng dùng 1,2)</t>
        </is>
      </c>
    </row>
    <row r="12">
      <c r="A12" s="4" t="inlineStr">
        <is>
          <t>MX_NVT_03A</t>
        </is>
      </c>
      <c r="B12" s="4" t="inlineStr">
        <is>
          <t>R1-01</t>
        </is>
      </c>
      <c r="C12" s="4" t="inlineStr">
        <is>
          <t>C06 12FO NVT_02A → NVT_03A 12FO</t>
        </is>
      </c>
      <c r="D12" s="4" t="n">
        <v>4</v>
      </c>
      <c r="E12" s="4" t="inlineStr">
        <is>
          <t>↔</t>
        </is>
      </c>
      <c r="F12" s="4" t="inlineStr">
        <is>
          <t>C18 FOCAL 2020 vào HNB059 (6FO) 6FO</t>
        </is>
      </c>
      <c r="G12" s="4" t="n">
        <v>2</v>
      </c>
      <c r="H12" s="20" t="inlineStr">
        <is>
          <t>chưa có sơ đồ</t>
        </is>
      </c>
      <c r="I12" s="4" t="inlineStr">
        <is>
          <t>rẽ vào 6FO đi HNB059 (quy ước 6FO riêng dùng 1,2)</t>
        </is>
      </c>
    </row>
    <row r="13">
      <c r="A13" s="4" t="inlineStr">
        <is>
          <t>MX_NVT_03B</t>
        </is>
      </c>
      <c r="B13" s="4" t="inlineStr">
        <is>
          <t>R1-04</t>
        </is>
      </c>
      <c r="C13" s="4" t="inlineStr">
        <is>
          <t>C21 FOCAL 2020 HNB048 → MX_NVT_03B (6FO) 6FO</t>
        </is>
      </c>
      <c r="D13" s="4" t="n">
        <v>1</v>
      </c>
      <c r="E13" s="4" t="inlineStr">
        <is>
          <t>↔</t>
        </is>
      </c>
      <c r="F13" s="4" t="inlineStr">
        <is>
          <t>C09 12FO NVT_03B → NVT_02B 12FO</t>
        </is>
      </c>
      <c r="G13" s="4" t="n">
        <v>3</v>
      </c>
      <c r="H13" s="20" t="inlineStr">
        <is>
          <t>chưa có sơ đồ</t>
        </is>
      </c>
      <c r="I13" s="4" t="inlineStr">
        <is>
          <t>6FO 1,2 hàn vào trục 12FO core 3,4 (đoạn dùng chung)</t>
        </is>
      </c>
    </row>
    <row r="14">
      <c r="A14" s="4" t="inlineStr">
        <is>
          <t>MX_NVT_03B</t>
        </is>
      </c>
      <c r="B14" s="4" t="inlineStr">
        <is>
          <t>R1-04</t>
        </is>
      </c>
      <c r="C14" s="4" t="inlineStr">
        <is>
          <t>C21 FOCAL 2020 HNB048 → MX_NVT_03B (6FO) 6FO</t>
        </is>
      </c>
      <c r="D14" s="4" t="n">
        <v>2</v>
      </c>
      <c r="E14" s="4" t="inlineStr">
        <is>
          <t>↔</t>
        </is>
      </c>
      <c r="F14" s="4" t="inlineStr">
        <is>
          <t>C09 12FO NVT_03B → NVT_02B 12FO</t>
        </is>
      </c>
      <c r="G14" s="4" t="n">
        <v>4</v>
      </c>
      <c r="H14" s="20" t="inlineStr">
        <is>
          <t>chưa có sơ đồ</t>
        </is>
      </c>
      <c r="I14" s="4" t="inlineStr">
        <is>
          <t>6FO 1,2 hàn vào trục 12FO core 3,4 (đoạn dùng chung)</t>
        </is>
      </c>
    </row>
    <row r="15">
      <c r="A15" s="4" t="inlineStr">
        <is>
          <t>MX_NVT_02B</t>
        </is>
      </c>
      <c r="B15" s="4" t="inlineStr">
        <is>
          <t>R1-04</t>
        </is>
      </c>
      <c r="C15" s="4" t="inlineStr">
        <is>
          <t>C09 12FO NVT_03B → NVT_02B 12FO</t>
        </is>
      </c>
      <c r="D15" s="4" t="n">
        <v>3</v>
      </c>
      <c r="E15" s="4" t="inlineStr">
        <is>
          <t>↔</t>
        </is>
      </c>
      <c r="F15" s="4" t="inlineStr">
        <is>
          <t>C10 TPKL 12FO trục NVT_02B → LVL-05 (qua MX thẳng nối dài) 12FO</t>
        </is>
      </c>
      <c r="G15" s="4" t="n">
        <v>3</v>
      </c>
      <c r="H15" s="16" t="inlineStr">
        <is>
          <t>khớp sơ đồ</t>
        </is>
      </c>
      <c r="I15" s="4" t="inlineStr">
        <is>
          <t>nhãn B (sơ đồ)</t>
        </is>
      </c>
    </row>
    <row r="16">
      <c r="A16" s="4" t="inlineStr">
        <is>
          <t>MX_NVT_02B</t>
        </is>
      </c>
      <c r="B16" s="4" t="inlineStr">
        <is>
          <t>R1-04</t>
        </is>
      </c>
      <c r="C16" s="4" t="inlineStr">
        <is>
          <t>C09 12FO NVT_03B → NVT_02B 12FO</t>
        </is>
      </c>
      <c r="D16" s="4" t="n">
        <v>4</v>
      </c>
      <c r="E16" s="4" t="inlineStr">
        <is>
          <t>↔</t>
        </is>
      </c>
      <c r="F16" s="4" t="inlineStr">
        <is>
          <t>C10 TPKL 12FO trục NVT_02B → LVL-05 (qua MX thẳng nối dài) 12FO</t>
        </is>
      </c>
      <c r="G16" s="4" t="n">
        <v>4</v>
      </c>
      <c r="H16" s="16" t="inlineStr">
        <is>
          <t>khớp sơ đồ</t>
        </is>
      </c>
      <c r="I16" s="4" t="inlineStr">
        <is>
          <t>nhãn B (sơ đồ)</t>
        </is>
      </c>
    </row>
    <row r="17">
      <c r="A17" s="4" t="inlineStr">
        <is>
          <t>MX_LVL-05</t>
        </is>
      </c>
      <c r="B17" s="4" t="inlineStr">
        <is>
          <t>R1-04</t>
        </is>
      </c>
      <c r="C17" s="4" t="inlineStr">
        <is>
          <t>C10 TPKL 12FO trục NVT_02B → LVL-05 (qua MX thẳng nối dài) 12FO</t>
        </is>
      </c>
      <c r="D17" s="4" t="n">
        <v>3</v>
      </c>
      <c r="E17" s="4" t="inlineStr">
        <is>
          <t>↔</t>
        </is>
      </c>
      <c r="F17" s="4" t="inlineStr">
        <is>
          <t>C11 TPKL POSTEF 11/2016 24FO</t>
        </is>
      </c>
      <c r="G17" s="4" t="n">
        <v>21</v>
      </c>
      <c r="H17" s="16" t="inlineStr">
        <is>
          <t>khớp sơ đồ</t>
        </is>
      </c>
      <c r="I17" s="4" t="inlineStr">
        <is>
          <t>nhãn D, trạm HNB048 (sơ đồ)</t>
        </is>
      </c>
    </row>
    <row r="18">
      <c r="A18" s="4" t="inlineStr">
        <is>
          <t>MX_LVL-05</t>
        </is>
      </c>
      <c r="B18" s="4" t="inlineStr">
        <is>
          <t>R1-04</t>
        </is>
      </c>
      <c r="C18" s="4" t="inlineStr">
        <is>
          <t>C10 TPKL 12FO trục NVT_02B → LVL-05 (qua MX thẳng nối dài) 12FO</t>
        </is>
      </c>
      <c r="D18" s="4" t="n">
        <v>4</v>
      </c>
      <c r="E18" s="4" t="inlineStr">
        <is>
          <t>↔</t>
        </is>
      </c>
      <c r="F18" s="4" t="inlineStr">
        <is>
          <t>C11 TPKL POSTEF 11/2016 24FO</t>
        </is>
      </c>
      <c r="G18" s="4" t="n">
        <v>22</v>
      </c>
      <c r="H18" s="16" t="inlineStr">
        <is>
          <t>khớp sơ đồ</t>
        </is>
      </c>
      <c r="I18" s="4" t="inlineStr">
        <is>
          <t>nhãn D, trạm HNB048 (sơ đồ)</t>
        </is>
      </c>
    </row>
    <row r="19">
      <c r="A19" s="4" t="inlineStr">
        <is>
          <t>MX_NB-01</t>
        </is>
      </c>
      <c r="B19" s="4" t="inlineStr">
        <is>
          <t>R1-04</t>
        </is>
      </c>
      <c r="C19" s="4" t="inlineStr">
        <is>
          <t>C11 TPKL POSTEF 11/2016 24FO</t>
        </is>
      </c>
      <c r="D19" s="4" t="n">
        <v>21</v>
      </c>
      <c r="E19" s="4" t="inlineStr">
        <is>
          <t>↔</t>
        </is>
      </c>
      <c r="F19" s="4" t="inlineStr">
        <is>
          <t>C12 12FO NB-01 → NB-02 12FO</t>
        </is>
      </c>
      <c r="G19" s="4" t="n">
        <v>3</v>
      </c>
      <c r="H19" s="16" t="inlineStr">
        <is>
          <t>khớp sơ đồ</t>
        </is>
      </c>
      <c r="I19" s="4" t="inlineStr"/>
    </row>
    <row r="20">
      <c r="A20" s="4" t="inlineStr">
        <is>
          <t>MX_NB-01</t>
        </is>
      </c>
      <c r="B20" s="4" t="inlineStr">
        <is>
          <t>R1-04</t>
        </is>
      </c>
      <c r="C20" s="4" t="inlineStr">
        <is>
          <t>C11 TPKL POSTEF 11/2016 24FO</t>
        </is>
      </c>
      <c r="D20" s="4" t="n">
        <v>22</v>
      </c>
      <c r="E20" s="4" t="inlineStr">
        <is>
          <t>↔</t>
        </is>
      </c>
      <c r="F20" s="4" t="inlineStr">
        <is>
          <t>C12 12FO NB-01 → NB-02 12FO</t>
        </is>
      </c>
      <c r="G20" s="4" t="n">
        <v>4</v>
      </c>
      <c r="H20" s="16" t="inlineStr">
        <is>
          <t>khớp sơ đồ</t>
        </is>
      </c>
      <c r="I20" s="4" t="inlineStr"/>
    </row>
    <row r="21">
      <c r="A21" s="4" t="inlineStr">
        <is>
          <t>MX_NB-02</t>
        </is>
      </c>
      <c r="B21" s="4" t="inlineStr">
        <is>
          <t>R1-04</t>
        </is>
      </c>
      <c r="C21" s="4" t="inlineStr">
        <is>
          <t>C12 12FO NB-01 → NB-02 12FO</t>
        </is>
      </c>
      <c r="D21" s="4" t="n">
        <v>3</v>
      </c>
      <c r="E21" s="4" t="inlineStr">
        <is>
          <t>↔</t>
        </is>
      </c>
      <c r="F21" s="4" t="inlineStr">
        <is>
          <t>C13 12FO NB-02 → NB-03 12FO</t>
        </is>
      </c>
      <c r="G21" s="4" t="n">
        <v>3</v>
      </c>
      <c r="H21" s="20" t="inlineStr">
        <is>
          <t>chưa có sơ đồ</t>
        </is>
      </c>
      <c r="I21" s="4" t="inlineStr"/>
    </row>
    <row r="22">
      <c r="A22" s="4" t="inlineStr">
        <is>
          <t>MX_NB-02</t>
        </is>
      </c>
      <c r="B22" s="4" t="inlineStr">
        <is>
          <t>R1-04</t>
        </is>
      </c>
      <c r="C22" s="4" t="inlineStr">
        <is>
          <t>C12 12FO NB-01 → NB-02 12FO</t>
        </is>
      </c>
      <c r="D22" s="4" t="n">
        <v>4</v>
      </c>
      <c r="E22" s="4" t="inlineStr">
        <is>
          <t>↔</t>
        </is>
      </c>
      <c r="F22" s="4" t="inlineStr">
        <is>
          <t>C13 12FO NB-02 → NB-03 12FO</t>
        </is>
      </c>
      <c r="G22" s="4" t="n">
        <v>4</v>
      </c>
      <c r="H22" s="20" t="inlineStr">
        <is>
          <t>chưa có sơ đồ</t>
        </is>
      </c>
      <c r="I22" s="4" t="inlineStr"/>
    </row>
    <row r="23">
      <c r="A23" s="4" t="inlineStr">
        <is>
          <t>MX_NB-03</t>
        </is>
      </c>
      <c r="B23" s="4" t="inlineStr">
        <is>
          <t>R1-04</t>
        </is>
      </c>
      <c r="C23" s="4" t="inlineStr">
        <is>
          <t>C13 12FO NB-02 → NB-03 12FO</t>
        </is>
      </c>
      <c r="D23" s="4" t="n">
        <v>3</v>
      </c>
      <c r="E23" s="4" t="inlineStr">
        <is>
          <t>↔</t>
        </is>
      </c>
      <c r="F23" s="4" t="inlineStr">
        <is>
          <t>C14 12FO NB-03 → NB-04 12FO</t>
        </is>
      </c>
      <c r="G23" s="4" t="n">
        <v>3</v>
      </c>
      <c r="H23" s="20" t="inlineStr">
        <is>
          <t>chưa có sơ đồ</t>
        </is>
      </c>
      <c r="I23" s="4" t="inlineStr"/>
    </row>
    <row r="24">
      <c r="A24" s="4" t="inlineStr">
        <is>
          <t>MX_NB-03</t>
        </is>
      </c>
      <c r="B24" s="4" t="inlineStr">
        <is>
          <t>R1-04</t>
        </is>
      </c>
      <c r="C24" s="4" t="inlineStr">
        <is>
          <t>C13 12FO NB-02 → NB-03 12FO</t>
        </is>
      </c>
      <c r="D24" s="4" t="n">
        <v>4</v>
      </c>
      <c r="E24" s="4" t="inlineStr">
        <is>
          <t>↔</t>
        </is>
      </c>
      <c r="F24" s="4" t="inlineStr">
        <is>
          <t>C14 12FO NB-03 → NB-04 12FO</t>
        </is>
      </c>
      <c r="G24" s="4" t="n">
        <v>4</v>
      </c>
      <c r="H24" s="20" t="inlineStr">
        <is>
          <t>chưa có sơ đồ</t>
        </is>
      </c>
      <c r="I24" s="4" t="inlineStr"/>
    </row>
    <row r="25">
      <c r="A25" s="4" t="inlineStr">
        <is>
          <t>MX_NB-04</t>
        </is>
      </c>
      <c r="B25" s="4" t="inlineStr">
        <is>
          <t>R1-04</t>
        </is>
      </c>
      <c r="C25" s="4" t="inlineStr">
        <is>
          <t>C14 12FO NB-03 → NB-04 12FO</t>
        </is>
      </c>
      <c r="D25" s="4" t="n">
        <v>3</v>
      </c>
      <c r="E25" s="4" t="inlineStr">
        <is>
          <t>↔</t>
        </is>
      </c>
      <c r="F25" s="4" t="inlineStr">
        <is>
          <t>C15 12FO NB-04 → MX thẳng HTP 12FO</t>
        </is>
      </c>
      <c r="G25" s="4" t="n">
        <v>3</v>
      </c>
      <c r="H25" s="20" t="inlineStr">
        <is>
          <t>chưa có sơ đồ</t>
        </is>
      </c>
      <c r="I25" s="4" t="inlineStr"/>
    </row>
    <row r="26">
      <c r="A26" s="4" t="inlineStr">
        <is>
          <t>MX_NB-04</t>
        </is>
      </c>
      <c r="B26" s="4" t="inlineStr">
        <is>
          <t>R1-04</t>
        </is>
      </c>
      <c r="C26" s="4" t="inlineStr">
        <is>
          <t>C14 12FO NB-03 → NB-04 12FO</t>
        </is>
      </c>
      <c r="D26" s="4" t="n">
        <v>4</v>
      </c>
      <c r="E26" s="4" t="inlineStr">
        <is>
          <t>↔</t>
        </is>
      </c>
      <c r="F26" s="4" t="inlineStr">
        <is>
          <t>C15 12FO NB-04 → MX thẳng HTP 12FO</t>
        </is>
      </c>
      <c r="G26" s="4" t="n">
        <v>4</v>
      </c>
      <c r="H26" s="20" t="inlineStr">
        <is>
          <t>chưa có sơ đồ</t>
        </is>
      </c>
      <c r="I26" s="4" t="inlineStr"/>
    </row>
    <row r="27">
      <c r="A27" s="4" t="inlineStr">
        <is>
          <t>MX thẳng HTP</t>
        </is>
      </c>
      <c r="B27" s="4" t="inlineStr">
        <is>
          <t>R1-04</t>
        </is>
      </c>
      <c r="C27" s="4" t="inlineStr">
        <is>
          <t>C15 12FO NB-04 → MX thẳng HTP 12FO</t>
        </is>
      </c>
      <c r="D27" s="4" t="n">
        <v>3</v>
      </c>
      <c r="E27" s="4" t="inlineStr">
        <is>
          <t>↔</t>
        </is>
      </c>
      <c r="F27" s="4" t="inlineStr">
        <is>
          <t>C16 12FO MX thẳng HTP → HTP-03B 12FO</t>
        </is>
      </c>
      <c r="G27" s="4" t="n">
        <v>3</v>
      </c>
      <c r="H27" s="20" t="inlineStr">
        <is>
          <t>chưa có sơ đồ</t>
        </is>
      </c>
      <c r="I27" s="4" t="inlineStr">
        <is>
          <t>MX thẳng nối dài</t>
        </is>
      </c>
    </row>
    <row r="28">
      <c r="A28" s="4" t="inlineStr">
        <is>
          <t>MX thẳng HTP</t>
        </is>
      </c>
      <c r="B28" s="4" t="inlineStr">
        <is>
          <t>R1-04</t>
        </is>
      </c>
      <c r="C28" s="4" t="inlineStr">
        <is>
          <t>C15 12FO NB-04 → MX thẳng HTP 12FO</t>
        </is>
      </c>
      <c r="D28" s="4" t="n">
        <v>4</v>
      </c>
      <c r="E28" s="4" t="inlineStr">
        <is>
          <t>↔</t>
        </is>
      </c>
      <c r="F28" s="4" t="inlineStr">
        <is>
          <t>C16 12FO MX thẳng HTP → HTP-03B 12FO</t>
        </is>
      </c>
      <c r="G28" s="4" t="n">
        <v>4</v>
      </c>
      <c r="H28" s="20" t="inlineStr">
        <is>
          <t>chưa có sơ đồ</t>
        </is>
      </c>
      <c r="I28" s="4" t="inlineStr">
        <is>
          <t>MX thẳng nối dài</t>
        </is>
      </c>
    </row>
    <row r="29">
      <c r="A29" s="4" t="inlineStr">
        <is>
          <t>MX_HTP-03B</t>
        </is>
      </c>
      <c r="B29" s="4" t="inlineStr">
        <is>
          <t>R1-04</t>
        </is>
      </c>
      <c r="C29" s="4" t="inlineStr">
        <is>
          <t>C16 12FO MX thẳng HTP → HTP-03B 12FO</t>
        </is>
      </c>
      <c r="D29" s="4" t="n">
        <v>3</v>
      </c>
      <c r="E29" s="4" t="inlineStr">
        <is>
          <t>↔</t>
        </is>
      </c>
      <c r="F29" s="4" t="inlineStr">
        <is>
          <t>C17 POSTEF 24FO nhập đài (cs 1550→1288) 24FO</t>
        </is>
      </c>
      <c r="G29" s="4" t="n">
        <v>3</v>
      </c>
      <c r="H29" s="20" t="inlineStr">
        <is>
          <t>chưa có sơ đồ</t>
        </is>
      </c>
      <c r="I29" s="4" t="inlineStr"/>
    </row>
    <row r="30">
      <c r="A30" s="4" t="inlineStr">
        <is>
          <t>MX_HTP-03B</t>
        </is>
      </c>
      <c r="B30" s="4" t="inlineStr">
        <is>
          <t>R1-04</t>
        </is>
      </c>
      <c r="C30" s="4" t="inlineStr">
        <is>
          <t>C16 12FO MX thẳng HTP → HTP-03B 12FO</t>
        </is>
      </c>
      <c r="D30" s="4" t="n">
        <v>4</v>
      </c>
      <c r="E30" s="4" t="inlineStr">
        <is>
          <t>↔</t>
        </is>
      </c>
      <c r="F30" s="4" t="inlineStr">
        <is>
          <t>C17 POSTEF 24FO nhập đài (cs 1550→1288) 24FO</t>
        </is>
      </c>
      <c r="G30" s="4" t="n">
        <v>4</v>
      </c>
      <c r="H30" s="20" t="inlineStr">
        <is>
          <t>chưa có sơ đồ</t>
        </is>
      </c>
      <c r="I30" s="4" t="inlineStr"/>
    </row>
    <row r="31">
      <c r="A31" s="4" t="inlineStr">
        <is>
          <t>MX nhập đài Long Thới–NVT</t>
        </is>
      </c>
      <c r="B31" s="4" t="inlineStr">
        <is>
          <t>R2-01</t>
        </is>
      </c>
      <c r="C31" s="4" t="inlineStr">
        <is>
          <t>C01 ADSS 9/2009 24FO</t>
        </is>
      </c>
      <c r="D31" s="4" t="n">
        <v>1</v>
      </c>
      <c r="E31" s="4" t="inlineStr">
        <is>
          <t>↔</t>
        </is>
      </c>
      <c r="F31" s="4" t="inlineStr">
        <is>
          <t>C02 SACOM 8/2014 12FO</t>
        </is>
      </c>
      <c r="G31" s="4" t="n">
        <v>1</v>
      </c>
      <c r="H31" s="20" t="inlineStr">
        <is>
          <t>chưa có sơ đồ</t>
        </is>
      </c>
      <c r="I31" s="4" t="inlineStr">
        <is>
          <t>MX thẳng, chưa có sơ đồ nhãn</t>
        </is>
      </c>
    </row>
    <row r="32">
      <c r="A32" s="4" t="inlineStr">
        <is>
          <t>MX nhập đài Long Thới–NVT</t>
        </is>
      </c>
      <c r="B32" s="4" t="inlineStr">
        <is>
          <t>R2-01</t>
        </is>
      </c>
      <c r="C32" s="4" t="inlineStr">
        <is>
          <t>C01 ADSS 9/2009 24FO</t>
        </is>
      </c>
      <c r="D32" s="4" t="n">
        <v>2</v>
      </c>
      <c r="E32" s="4" t="inlineStr">
        <is>
          <t>↔</t>
        </is>
      </c>
      <c r="F32" s="4" t="inlineStr">
        <is>
          <t>C02 SACOM 8/2014 12FO</t>
        </is>
      </c>
      <c r="G32" s="4" t="n">
        <v>2</v>
      </c>
      <c r="H32" s="20" t="inlineStr">
        <is>
          <t>chưa có sơ đồ</t>
        </is>
      </c>
      <c r="I32" s="4" t="inlineStr">
        <is>
          <t>MX thẳng, chưa có sơ đồ nhãn</t>
        </is>
      </c>
    </row>
    <row r="33">
      <c r="A33" s="4" t="inlineStr">
        <is>
          <t>MX_NVT_01</t>
        </is>
      </c>
      <c r="B33" s="4" t="inlineStr">
        <is>
          <t>R2-01</t>
        </is>
      </c>
      <c r="C33" s="4" t="inlineStr">
        <is>
          <t>C02 SACOM 8/2014 12FO</t>
        </is>
      </c>
      <c r="D33" s="4" t="n">
        <v>1</v>
      </c>
      <c r="E33" s="4" t="inlineStr">
        <is>
          <t>↔</t>
        </is>
      </c>
      <c r="F33" s="4" t="inlineStr">
        <is>
          <t>C03 FOCAL 9/2020 (vào HNB054) 12FO</t>
        </is>
      </c>
      <c r="G33" s="4" t="n">
        <v>1</v>
      </c>
      <c r="H33" s="20" t="inlineStr">
        <is>
          <t>chưa có nhãn</t>
        </is>
      </c>
      <c r="I33" s="4" t="inlineStr"/>
    </row>
    <row r="34">
      <c r="A34" s="4" t="inlineStr">
        <is>
          <t>MX_NVT_01</t>
        </is>
      </c>
      <c r="B34" s="4" t="inlineStr">
        <is>
          <t>R2-01</t>
        </is>
      </c>
      <c r="C34" s="4" t="inlineStr">
        <is>
          <t>C02 SACOM 8/2014 12FO</t>
        </is>
      </c>
      <c r="D34" s="4" t="n">
        <v>2</v>
      </c>
      <c r="E34" s="4" t="inlineStr">
        <is>
          <t>↔</t>
        </is>
      </c>
      <c r="F34" s="4" t="inlineStr">
        <is>
          <t>C03 FOCAL 9/2020 (vào HNB054) 12FO</t>
        </is>
      </c>
      <c r="G34" s="4" t="n">
        <v>2</v>
      </c>
      <c r="H34" s="20" t="inlineStr">
        <is>
          <t>chưa có nhãn</t>
        </is>
      </c>
      <c r="I34" s="4" t="inlineStr"/>
    </row>
    <row r="35">
      <c r="A35" s="4" t="inlineStr">
        <is>
          <t>MX_NVT_01</t>
        </is>
      </c>
      <c r="B35" s="4" t="inlineStr">
        <is>
          <t>R2-02</t>
        </is>
      </c>
      <c r="C35" s="4" t="inlineStr">
        <is>
          <t>C03 FOCAL 9/2020 (vào HNB054) 12FO</t>
        </is>
      </c>
      <c r="D35" s="4" t="n">
        <v>3</v>
      </c>
      <c r="E35" s="4" t="inlineStr">
        <is>
          <t>↔</t>
        </is>
      </c>
      <c r="F35" s="4" t="inlineStr">
        <is>
          <t>C04 FOCAL 9/2020 trục (gồm 175 m ngầm) 12FO</t>
        </is>
      </c>
      <c r="G35" s="4" t="n">
        <v>1</v>
      </c>
      <c r="H35" s="20" t="inlineStr">
        <is>
          <t>chưa có nhãn</t>
        </is>
      </c>
      <c r="I35" s="4" t="inlineStr"/>
    </row>
    <row r="36">
      <c r="A36" s="4" t="inlineStr">
        <is>
          <t>MX_NVT_01</t>
        </is>
      </c>
      <c r="B36" s="4" t="inlineStr">
        <is>
          <t>R2-02</t>
        </is>
      </c>
      <c r="C36" s="4" t="inlineStr">
        <is>
          <t>C03 FOCAL 9/2020 (vào HNB054) 12FO</t>
        </is>
      </c>
      <c r="D36" s="4" t="n">
        <v>4</v>
      </c>
      <c r="E36" s="4" t="inlineStr">
        <is>
          <t>↔</t>
        </is>
      </c>
      <c r="F36" s="4" t="inlineStr">
        <is>
          <t>C04 FOCAL 9/2020 trục (gồm 175 m ngầm) 12FO</t>
        </is>
      </c>
      <c r="G36" s="4" t="n">
        <v>2</v>
      </c>
      <c r="H36" s="20" t="inlineStr">
        <is>
          <t>chưa có nhãn</t>
        </is>
      </c>
      <c r="I36" s="4" t="inlineStr"/>
    </row>
    <row r="37">
      <c r="A37" s="4" t="inlineStr">
        <is>
          <t>MX_NVT_02A</t>
        </is>
      </c>
      <c r="B37" s="4" t="inlineStr">
        <is>
          <t>R2-02</t>
        </is>
      </c>
      <c r="C37" s="4" t="inlineStr">
        <is>
          <t>C04 FOCAL 9/2020 trục (gồm 175 m ngầm) 12FO</t>
        </is>
      </c>
      <c r="D37" s="4" t="n">
        <v>1</v>
      </c>
      <c r="E37" s="4" t="inlineStr">
        <is>
          <t>↔</t>
        </is>
      </c>
      <c r="F37" s="4" t="inlineStr">
        <is>
          <t>C05 12FO vào HNB006 12FO</t>
        </is>
      </c>
      <c r="G37" s="4" t="n">
        <v>1</v>
      </c>
      <c r="H37" s="16" t="inlineStr">
        <is>
          <t>khớp sơ đồ</t>
        </is>
      </c>
      <c r="I37" s="4" t="inlineStr">
        <is>
          <t>hàn 1,2 vào 1,2 đi vào HNB006</t>
        </is>
      </c>
    </row>
    <row r="38">
      <c r="A38" s="4" t="inlineStr">
        <is>
          <t>MX_NVT_02A</t>
        </is>
      </c>
      <c r="B38" s="4" t="inlineStr">
        <is>
          <t>R2-02</t>
        </is>
      </c>
      <c r="C38" s="4" t="inlineStr">
        <is>
          <t>C04 FOCAL 9/2020 trục (gồm 175 m ngầm) 12FO</t>
        </is>
      </c>
      <c r="D38" s="4" t="n">
        <v>2</v>
      </c>
      <c r="E38" s="4" t="inlineStr">
        <is>
          <t>↔</t>
        </is>
      </c>
      <c r="F38" s="4" t="inlineStr">
        <is>
          <t>C05 12FO vào HNB006 12FO</t>
        </is>
      </c>
      <c r="G38" s="4" t="n">
        <v>2</v>
      </c>
      <c r="H38" s="16" t="inlineStr">
        <is>
          <t>khớp sơ đồ</t>
        </is>
      </c>
      <c r="I38" s="4" t="inlineStr">
        <is>
          <t>hàn 1,2 vào 1,2 đi vào HNB006</t>
        </is>
      </c>
    </row>
    <row r="39">
      <c r="A39" s="4" t="inlineStr">
        <is>
          <t>MX_NVT_02A</t>
        </is>
      </c>
      <c r="B39" s="4" t="inlineStr">
        <is>
          <t>R2-03</t>
        </is>
      </c>
      <c r="C39" s="4" t="inlineStr">
        <is>
          <t>C05 12FO vào HNB006 12FO</t>
        </is>
      </c>
      <c r="D39" s="4" t="n">
        <v>3</v>
      </c>
      <c r="E39" s="4" t="inlineStr">
        <is>
          <t>↔</t>
        </is>
      </c>
      <c r="F39" s="4" t="inlineStr">
        <is>
          <t>C06 12FO NVT_02A → NVT_03A 12FO</t>
        </is>
      </c>
      <c r="G39" s="4" t="n">
        <v>5</v>
      </c>
      <c r="H39" s="16" t="inlineStr">
        <is>
          <t>khớp sơ đồ (thay core hư)</t>
        </is>
      </c>
      <c r="I39" s="4" t="inlineStr">
        <is>
          <t>thiết kế ban đầu 3↔1, 4↔2; core 1 hư nên 3 phối với 5 (phát sinh thực tế)</t>
        </is>
      </c>
    </row>
    <row r="40">
      <c r="A40" s="4" t="inlineStr">
        <is>
          <t>MX_NVT_02A</t>
        </is>
      </c>
      <c r="B40" s="4" t="inlineStr">
        <is>
          <t>R2-03</t>
        </is>
      </c>
      <c r="C40" s="4" t="inlineStr">
        <is>
          <t>C05 12FO vào HNB006 12FO</t>
        </is>
      </c>
      <c r="D40" s="4" t="n">
        <v>4</v>
      </c>
      <c r="E40" s="4" t="inlineStr">
        <is>
          <t>↔</t>
        </is>
      </c>
      <c r="F40" s="4" t="inlineStr">
        <is>
          <t>C06 12FO NVT_02A → NVT_03A 12FO</t>
        </is>
      </c>
      <c r="G40" s="4" t="n">
        <v>2</v>
      </c>
      <c r="H40" s="16" t="inlineStr">
        <is>
          <t>khớp sơ đồ (thay core hư)</t>
        </is>
      </c>
      <c r="I40" s="4" t="inlineStr">
        <is>
          <t>thiết kế ban đầu 3↔1, 4↔2; core 1 hư nên 3 phối với 5 (phát sinh thực tế)</t>
        </is>
      </c>
    </row>
    <row r="41">
      <c r="A41" s="4" t="inlineStr">
        <is>
          <t>MX_NVT_03A</t>
        </is>
      </c>
      <c r="B41" s="4" t="inlineStr">
        <is>
          <t>R2-03</t>
        </is>
      </c>
      <c r="C41" s="4" t="inlineStr">
        <is>
          <t>C06 12FO NVT_02A → NVT_03A 12FO</t>
        </is>
      </c>
      <c r="D41" s="4" t="n">
        <v>5</v>
      </c>
      <c r="E41" s="4" t="inlineStr">
        <is>
          <t>↔</t>
        </is>
      </c>
      <c r="F41" s="4" t="inlineStr">
        <is>
          <t>C07 FOCAL 2020 vào HNB091 (6FO #1) 6FO</t>
        </is>
      </c>
      <c r="G41" s="4" t="n">
        <v>1</v>
      </c>
      <c r="H41" s="20" t="inlineStr">
        <is>
          <t>chưa có sơ đồ</t>
        </is>
      </c>
      <c r="I41" s="4" t="inlineStr">
        <is>
          <t>hàn 5,2 vào 1,2 sợi 6FO vào HNB091</t>
        </is>
      </c>
    </row>
    <row r="42">
      <c r="A42" s="4" t="inlineStr">
        <is>
          <t>MX_NVT_03A</t>
        </is>
      </c>
      <c r="B42" s="4" t="inlineStr">
        <is>
          <t>R2-03</t>
        </is>
      </c>
      <c r="C42" s="4" t="inlineStr">
        <is>
          <t>C06 12FO NVT_02A → NVT_03A 12FO</t>
        </is>
      </c>
      <c r="D42" s="4" t="n">
        <v>2</v>
      </c>
      <c r="E42" s="4" t="inlineStr">
        <is>
          <t>↔</t>
        </is>
      </c>
      <c r="F42" s="4" t="inlineStr">
        <is>
          <t>C07 FOCAL 2020 vào HNB091 (6FO #1) 6FO</t>
        </is>
      </c>
      <c r="G42" s="4" t="n">
        <v>2</v>
      </c>
      <c r="H42" s="20" t="inlineStr">
        <is>
          <t>chưa có sơ đồ</t>
        </is>
      </c>
      <c r="I42" s="4" t="inlineStr">
        <is>
          <t>hàn 5,2 vào 1,2 sợi 6FO vào HNB091</t>
        </is>
      </c>
    </row>
    <row r="43">
      <c r="A43" s="4" t="inlineStr">
        <is>
          <t>MX_NVT_03B</t>
        </is>
      </c>
      <c r="B43" s="4" t="inlineStr">
        <is>
          <t>R2-04</t>
        </is>
      </c>
      <c r="C43" s="4" t="inlineStr">
        <is>
          <t>C08 FOCAL 2020 ra HNB091 (6FO #2) 6FO</t>
        </is>
      </c>
      <c r="D43" s="4" t="n">
        <v>1</v>
      </c>
      <c r="E43" s="4" t="inlineStr">
        <is>
          <t>↔</t>
        </is>
      </c>
      <c r="F43" s="4" t="inlineStr">
        <is>
          <t>C09 12FO NVT_03B → NVT_02B 12FO</t>
        </is>
      </c>
      <c r="G43" s="4" t="n">
        <v>1</v>
      </c>
      <c r="H43" s="20" t="inlineStr">
        <is>
          <t>chưa có sơ đồ</t>
        </is>
      </c>
      <c r="I43" s="4" t="inlineStr">
        <is>
          <t>hàn 1,2 vào 1,2 sợi 12FO về NVT_02B</t>
        </is>
      </c>
    </row>
    <row r="44">
      <c r="A44" s="4" t="inlineStr">
        <is>
          <t>MX_NVT_03B</t>
        </is>
      </c>
      <c r="B44" s="4" t="inlineStr">
        <is>
          <t>R2-04</t>
        </is>
      </c>
      <c r="C44" s="4" t="inlineStr">
        <is>
          <t>C08 FOCAL 2020 ra HNB091 (6FO #2) 6FO</t>
        </is>
      </c>
      <c r="D44" s="4" t="n">
        <v>2</v>
      </c>
      <c r="E44" s="4" t="inlineStr">
        <is>
          <t>↔</t>
        </is>
      </c>
      <c r="F44" s="4" t="inlineStr">
        <is>
          <t>C09 12FO NVT_03B → NVT_02B 12FO</t>
        </is>
      </c>
      <c r="G44" s="4" t="n">
        <v>2</v>
      </c>
      <c r="H44" s="20" t="inlineStr">
        <is>
          <t>chưa có sơ đồ</t>
        </is>
      </c>
      <c r="I44" s="4" t="inlineStr">
        <is>
          <t>hàn 1,2 vào 1,2 sợi 12FO về NVT_02B</t>
        </is>
      </c>
    </row>
    <row r="45">
      <c r="A45" s="4" t="inlineStr">
        <is>
          <t>MX_NVT_02B</t>
        </is>
      </c>
      <c r="B45" s="4" t="inlineStr">
        <is>
          <t>R2-04</t>
        </is>
      </c>
      <c r="C45" s="4" t="inlineStr">
        <is>
          <t>C09 12FO NVT_03B → NVT_02B 12FO</t>
        </is>
      </c>
      <c r="D45" s="4" t="n">
        <v>1</v>
      </c>
      <c r="E45" s="4" t="inlineStr">
        <is>
          <t>↔</t>
        </is>
      </c>
      <c r="F45" s="4" t="inlineStr">
        <is>
          <t>C10 TPKL 12FO trục NVT_02B → LVL-05 (qua MX thẳng nối dài) 12FO</t>
        </is>
      </c>
      <c r="G45" s="4" t="n">
        <v>1</v>
      </c>
      <c r="H45" s="16" t="inlineStr">
        <is>
          <t>khớp sơ đồ</t>
        </is>
      </c>
      <c r="I45" s="4" t="inlineStr"/>
    </row>
    <row r="46">
      <c r="A46" s="4" t="inlineStr">
        <is>
          <t>MX_NVT_02B</t>
        </is>
      </c>
      <c r="B46" s="4" t="inlineStr">
        <is>
          <t>R2-04</t>
        </is>
      </c>
      <c r="C46" s="4" t="inlineStr">
        <is>
          <t>C09 12FO NVT_03B → NVT_02B 12FO</t>
        </is>
      </c>
      <c r="D46" s="4" t="n">
        <v>2</v>
      </c>
      <c r="E46" s="4" t="inlineStr">
        <is>
          <t>↔</t>
        </is>
      </c>
      <c r="F46" s="4" t="inlineStr">
        <is>
          <t>C10 TPKL 12FO trục NVT_02B → LVL-05 (qua MX thẳng nối dài) 12FO</t>
        </is>
      </c>
      <c r="G46" s="4" t="n">
        <v>2</v>
      </c>
      <c r="H46" s="16" t="inlineStr">
        <is>
          <t>khớp sơ đồ</t>
        </is>
      </c>
      <c r="I46" s="4" t="inlineStr"/>
    </row>
    <row r="47">
      <c r="A47" s="4" t="inlineStr">
        <is>
          <t>MX_LVL-05</t>
        </is>
      </c>
      <c r="B47" s="4" t="inlineStr">
        <is>
          <t>R2-04</t>
        </is>
      </c>
      <c r="C47" s="4" t="inlineStr">
        <is>
          <t>C10 TPKL 12FO trục NVT_02B → LVL-05 (qua MX thẳng nối dài) 12FO</t>
        </is>
      </c>
      <c r="D47" s="4" t="n">
        <v>1</v>
      </c>
      <c r="E47" s="4" t="inlineStr">
        <is>
          <t>↔</t>
        </is>
      </c>
      <c r="F47" s="4" t="inlineStr">
        <is>
          <t>C11 TPKL POSTEF 11/2016 24FO</t>
        </is>
      </c>
      <c r="G47" s="4" t="n">
        <v>19</v>
      </c>
      <c r="H47" s="16" t="inlineStr">
        <is>
          <t>khớp sơ đồ</t>
        </is>
      </c>
      <c r="I47" s="4" t="inlineStr">
        <is>
          <t>hàn 1,2 vào 19,20 sợi 24FO TPKL POSTEF 11/2016</t>
        </is>
      </c>
    </row>
    <row r="48">
      <c r="A48" s="4" t="inlineStr">
        <is>
          <t>MX_LVL-05</t>
        </is>
      </c>
      <c r="B48" s="4" t="inlineStr">
        <is>
          <t>R2-04</t>
        </is>
      </c>
      <c r="C48" s="4" t="inlineStr">
        <is>
          <t>C10 TPKL 12FO trục NVT_02B → LVL-05 (qua MX thẳng nối dài) 12FO</t>
        </is>
      </c>
      <c r="D48" s="4" t="n">
        <v>2</v>
      </c>
      <c r="E48" s="4" t="inlineStr">
        <is>
          <t>↔</t>
        </is>
      </c>
      <c r="F48" s="4" t="inlineStr">
        <is>
          <t>C11 TPKL POSTEF 11/2016 24FO</t>
        </is>
      </c>
      <c r="G48" s="4" t="n">
        <v>20</v>
      </c>
      <c r="H48" s="16" t="inlineStr">
        <is>
          <t>khớp sơ đồ</t>
        </is>
      </c>
      <c r="I48" s="4" t="inlineStr">
        <is>
          <t>hàn 1,2 vào 19,20 sợi 24FO TPKL POSTEF 11/2016</t>
        </is>
      </c>
    </row>
    <row r="49">
      <c r="A49" s="4" t="inlineStr">
        <is>
          <t>MX_NB-01</t>
        </is>
      </c>
      <c r="B49" s="4" t="inlineStr">
        <is>
          <t>R2-04</t>
        </is>
      </c>
      <c r="C49" s="4" t="inlineStr">
        <is>
          <t>C11 TPKL POSTEF 11/2016 24FO</t>
        </is>
      </c>
      <c r="D49" s="4" t="n">
        <v>19</v>
      </c>
      <c r="E49" s="4" t="inlineStr">
        <is>
          <t>↔</t>
        </is>
      </c>
      <c r="F49" s="4" t="inlineStr">
        <is>
          <t>C12 12FO NB-01 → NB-02 12FO</t>
        </is>
      </c>
      <c r="G49" s="4" t="n">
        <v>1</v>
      </c>
      <c r="H49" s="16" t="inlineStr">
        <is>
          <t>khớp sơ đồ</t>
        </is>
      </c>
      <c r="I49" s="4" t="inlineStr"/>
    </row>
    <row r="50">
      <c r="A50" s="4" t="inlineStr">
        <is>
          <t>MX_NB-01</t>
        </is>
      </c>
      <c r="B50" s="4" t="inlineStr">
        <is>
          <t>R2-04</t>
        </is>
      </c>
      <c r="C50" s="4" t="inlineStr">
        <is>
          <t>C11 TPKL POSTEF 11/2016 24FO</t>
        </is>
      </c>
      <c r="D50" s="4" t="n">
        <v>20</v>
      </c>
      <c r="E50" s="4" t="inlineStr">
        <is>
          <t>↔</t>
        </is>
      </c>
      <c r="F50" s="4" t="inlineStr">
        <is>
          <t>C12 12FO NB-01 → NB-02 12FO</t>
        </is>
      </c>
      <c r="G50" s="4" t="n">
        <v>2</v>
      </c>
      <c r="H50" s="16" t="inlineStr">
        <is>
          <t>khớp sơ đồ</t>
        </is>
      </c>
      <c r="I50" s="4" t="inlineStr"/>
    </row>
    <row r="51">
      <c r="A51" s="4" t="inlineStr">
        <is>
          <t>MX_NB-02</t>
        </is>
      </c>
      <c r="B51" s="4" t="inlineStr">
        <is>
          <t>R2-04</t>
        </is>
      </c>
      <c r="C51" s="4" t="inlineStr">
        <is>
          <t>C12 12FO NB-01 → NB-02 12FO</t>
        </is>
      </c>
      <c r="D51" s="4" t="n">
        <v>1</v>
      </c>
      <c r="E51" s="4" t="inlineStr">
        <is>
          <t>↔</t>
        </is>
      </c>
      <c r="F51" s="4" t="inlineStr">
        <is>
          <t>C13 12FO NB-02 → NB-03 12FO</t>
        </is>
      </c>
      <c r="G51" s="4" t="n">
        <v>1</v>
      </c>
      <c r="H51" s="20" t="inlineStr">
        <is>
          <t>chưa có sơ đồ</t>
        </is>
      </c>
      <c r="I51" s="4" t="inlineStr"/>
    </row>
    <row r="52">
      <c r="A52" s="4" t="inlineStr">
        <is>
          <t>MX_NB-02</t>
        </is>
      </c>
      <c r="B52" s="4" t="inlineStr">
        <is>
          <t>R2-04</t>
        </is>
      </c>
      <c r="C52" s="4" t="inlineStr">
        <is>
          <t>C12 12FO NB-01 → NB-02 12FO</t>
        </is>
      </c>
      <c r="D52" s="4" t="n">
        <v>2</v>
      </c>
      <c r="E52" s="4" t="inlineStr">
        <is>
          <t>↔</t>
        </is>
      </c>
      <c r="F52" s="4" t="inlineStr">
        <is>
          <t>C13 12FO NB-02 → NB-03 12FO</t>
        </is>
      </c>
      <c r="G52" s="4" t="n">
        <v>2</v>
      </c>
      <c r="H52" s="20" t="inlineStr">
        <is>
          <t>chưa có sơ đồ</t>
        </is>
      </c>
      <c r="I52" s="4" t="inlineStr"/>
    </row>
    <row r="53">
      <c r="A53" s="4" t="inlineStr">
        <is>
          <t>MX_NB-03</t>
        </is>
      </c>
      <c r="B53" s="4" t="inlineStr">
        <is>
          <t>R2-04</t>
        </is>
      </c>
      <c r="C53" s="4" t="inlineStr">
        <is>
          <t>C13 12FO NB-02 → NB-03 12FO</t>
        </is>
      </c>
      <c r="D53" s="4" t="n">
        <v>1</v>
      </c>
      <c r="E53" s="4" t="inlineStr">
        <is>
          <t>↔</t>
        </is>
      </c>
      <c r="F53" s="4" t="inlineStr">
        <is>
          <t>C14 12FO NB-03 → NB-04 12FO</t>
        </is>
      </c>
      <c r="G53" s="4" t="n">
        <v>1</v>
      </c>
      <c r="H53" s="20" t="inlineStr">
        <is>
          <t>chưa có sơ đồ</t>
        </is>
      </c>
      <c r="I53" s="4" t="inlineStr"/>
    </row>
    <row r="54">
      <c r="A54" s="4" t="inlineStr">
        <is>
          <t>MX_NB-03</t>
        </is>
      </c>
      <c r="B54" s="4" t="inlineStr">
        <is>
          <t>R2-04</t>
        </is>
      </c>
      <c r="C54" s="4" t="inlineStr">
        <is>
          <t>C13 12FO NB-02 → NB-03 12FO</t>
        </is>
      </c>
      <c r="D54" s="4" t="n">
        <v>2</v>
      </c>
      <c r="E54" s="4" t="inlineStr">
        <is>
          <t>↔</t>
        </is>
      </c>
      <c r="F54" s="4" t="inlineStr">
        <is>
          <t>C14 12FO NB-03 → NB-04 12FO</t>
        </is>
      </c>
      <c r="G54" s="4" t="n">
        <v>2</v>
      </c>
      <c r="H54" s="20" t="inlineStr">
        <is>
          <t>chưa có sơ đồ</t>
        </is>
      </c>
      <c r="I54" s="4" t="inlineStr"/>
    </row>
    <row r="55">
      <c r="A55" s="4" t="inlineStr">
        <is>
          <t>MX_NB-04</t>
        </is>
      </c>
      <c r="B55" s="4" t="inlineStr">
        <is>
          <t>R2-04</t>
        </is>
      </c>
      <c r="C55" s="4" t="inlineStr">
        <is>
          <t>C14 12FO NB-03 → NB-04 12FO</t>
        </is>
      </c>
      <c r="D55" s="4" t="n">
        <v>1</v>
      </c>
      <c r="E55" s="4" t="inlineStr">
        <is>
          <t>↔</t>
        </is>
      </c>
      <c r="F55" s="4" t="inlineStr">
        <is>
          <t>C15 12FO NB-04 → MX thẳng HTP 12FO</t>
        </is>
      </c>
      <c r="G55" s="4" t="n">
        <v>1</v>
      </c>
      <c r="H55" s="20" t="inlineStr">
        <is>
          <t>chưa có sơ đồ</t>
        </is>
      </c>
      <c r="I55" s="4" t="inlineStr"/>
    </row>
    <row r="56">
      <c r="A56" s="4" t="inlineStr">
        <is>
          <t>MX_NB-04</t>
        </is>
      </c>
      <c r="B56" s="4" t="inlineStr">
        <is>
          <t>R2-04</t>
        </is>
      </c>
      <c r="C56" s="4" t="inlineStr">
        <is>
          <t>C14 12FO NB-03 → NB-04 12FO</t>
        </is>
      </c>
      <c r="D56" s="4" t="n">
        <v>2</v>
      </c>
      <c r="E56" s="4" t="inlineStr">
        <is>
          <t>↔</t>
        </is>
      </c>
      <c r="F56" s="4" t="inlineStr">
        <is>
          <t>C15 12FO NB-04 → MX thẳng HTP 12FO</t>
        </is>
      </c>
      <c r="G56" s="4" t="n">
        <v>2</v>
      </c>
      <c r="H56" s="20" t="inlineStr">
        <is>
          <t>chưa có sơ đồ</t>
        </is>
      </c>
      <c r="I56" s="4" t="inlineStr"/>
    </row>
    <row r="57">
      <c r="A57" s="4" t="inlineStr">
        <is>
          <t>MX thẳng HTP</t>
        </is>
      </c>
      <c r="B57" s="4" t="inlineStr">
        <is>
          <t>R2-04</t>
        </is>
      </c>
      <c r="C57" s="4" t="inlineStr">
        <is>
          <t>C15 12FO NB-04 → MX thẳng HTP 12FO</t>
        </is>
      </c>
      <c r="D57" s="4" t="n">
        <v>1</v>
      </c>
      <c r="E57" s="4" t="inlineStr">
        <is>
          <t>↔</t>
        </is>
      </c>
      <c r="F57" s="4" t="inlineStr">
        <is>
          <t>C16 12FO MX thẳng HTP → HTP-03B 12FO</t>
        </is>
      </c>
      <c r="G57" s="4" t="n">
        <v>1</v>
      </c>
      <c r="H57" s="20" t="inlineStr">
        <is>
          <t>chưa có sơ đồ</t>
        </is>
      </c>
      <c r="I57" s="4" t="inlineStr">
        <is>
          <t>MX thẳng nối dài (xác nhận: hết đoạn 600 m từ SG mới trên đường HTP, 10.680424, 106.748376)</t>
        </is>
      </c>
    </row>
    <row r="58">
      <c r="A58" s="4" t="inlineStr">
        <is>
          <t>MX thẳng HTP</t>
        </is>
      </c>
      <c r="B58" s="4" t="inlineStr">
        <is>
          <t>R2-04</t>
        </is>
      </c>
      <c r="C58" s="4" t="inlineStr">
        <is>
          <t>C15 12FO NB-04 → MX thẳng HTP 12FO</t>
        </is>
      </c>
      <c r="D58" s="4" t="n">
        <v>2</v>
      </c>
      <c r="E58" s="4" t="inlineStr">
        <is>
          <t>↔</t>
        </is>
      </c>
      <c r="F58" s="4" t="inlineStr">
        <is>
          <t>C16 12FO MX thẳng HTP → HTP-03B 12FO</t>
        </is>
      </c>
      <c r="G58" s="4" t="n">
        <v>2</v>
      </c>
      <c r="H58" s="20" t="inlineStr">
        <is>
          <t>chưa có sơ đồ</t>
        </is>
      </c>
      <c r="I58" s="4" t="inlineStr">
        <is>
          <t>MX thẳng nối dài (xác nhận: hết đoạn 600 m từ SG mới trên đường HTP, 10.680424, 106.748376)</t>
        </is>
      </c>
    </row>
    <row r="59">
      <c r="A59" s="4" t="inlineStr">
        <is>
          <t>MX_HTP-03B</t>
        </is>
      </c>
      <c r="B59" s="4" t="inlineStr">
        <is>
          <t>R2-04</t>
        </is>
      </c>
      <c r="C59" s="4" t="inlineStr">
        <is>
          <t>C16 12FO MX thẳng HTP → HTP-03B 12FO</t>
        </is>
      </c>
      <c r="D59" s="4" t="n">
        <v>1</v>
      </c>
      <c r="E59" s="4" t="inlineStr">
        <is>
          <t>↔</t>
        </is>
      </c>
      <c r="F59" s="4" t="inlineStr">
        <is>
          <t>C17 POSTEF 24FO nhập đài (cs 1550→1288) 24FO</t>
        </is>
      </c>
      <c r="G59" s="4" t="n">
        <v>1</v>
      </c>
      <c r="H59" s="20" t="inlineStr">
        <is>
          <t>chưa có sơ đồ</t>
        </is>
      </c>
      <c r="I59" s="4" t="inlineStr">
        <is>
          <t>hàn 1,2 vào sợi nhập đài POSTEF 24FO (chỉ số 1550→1288)</t>
        </is>
      </c>
    </row>
    <row r="60">
      <c r="A60" s="4" t="inlineStr">
        <is>
          <t>MX_HTP-03B</t>
        </is>
      </c>
      <c r="B60" s="4" t="inlineStr">
        <is>
          <t>R2-04</t>
        </is>
      </c>
      <c r="C60" s="4" t="inlineStr">
        <is>
          <t>C16 12FO MX thẳng HTP → HTP-03B 12FO</t>
        </is>
      </c>
      <c r="D60" s="4" t="n">
        <v>2</v>
      </c>
      <c r="E60" s="4" t="inlineStr">
        <is>
          <t>↔</t>
        </is>
      </c>
      <c r="F60" s="4" t="inlineStr">
        <is>
          <t>C17 POSTEF 24FO nhập đài (cs 1550→1288) 24FO</t>
        </is>
      </c>
      <c r="G60" s="4" t="n">
        <v>2</v>
      </c>
      <c r="H60" s="20" t="inlineStr">
        <is>
          <t>chưa có sơ đồ</t>
        </is>
      </c>
      <c r="I60" s="4" t="inlineStr">
        <is>
          <t>hàn 1,2 vào sợi nhập đài POSTEF 24FO (chỉ số 1550→1288)</t>
        </is>
      </c>
    </row>
  </sheetData>
  <autoFilter ref="A4:I60"/>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I280"/>
  <sheetViews>
    <sheetView showGridLines="0" workbookViewId="0">
      <pane ySplit="4" topLeftCell="A5" activePane="bottomLeft" state="frozen"/>
      <selection pane="bottomLeft" activeCell="A1" sqref="A1"/>
    </sheetView>
  </sheetViews>
  <sheetFormatPr baseColWidth="8" defaultRowHeight="15"/>
  <cols>
    <col width="8" customWidth="1" min="1" max="1"/>
    <col width="44" customWidth="1" min="2" max="2"/>
    <col width="48" customWidth="1" min="3" max="3"/>
    <col width="7" customWidth="1" min="4" max="4"/>
    <col width="7" customWidth="1" min="5" max="5"/>
    <col width="7" customWidth="1" min="6" max="6"/>
    <col width="16" customWidth="1" min="7" max="7"/>
    <col width="14" customWidth="1" min="8" max="8"/>
    <col width="14" customWidth="1" min="9" max="9"/>
  </cols>
  <sheetData>
    <row r="1">
      <c r="A1" s="1" t="inlineStr">
        <is>
          <t>Quỹ core từng cáp — loại trừ dần</t>
        </is>
      </c>
    </row>
    <row r="2">
      <c r="A2" s="2" t="inlineStr">
        <is>
          <t>Core đã dùng cho link (theo đường đi mô tả) hoặc hư thì không còn là ứng viên; "có nhãn, chưa gán link" = sơ đồ MX gán nhóm nhưng đường đi chưa mô tả. Trống/chưa rõ = còn quỹ.</t>
        </is>
      </c>
    </row>
    <row r="4" ht="32" customHeight="1">
      <c r="A4" s="3" t="inlineStr">
        <is>
          <t>Mã cáp</t>
        </is>
      </c>
      <c r="B4" s="3" t="inlineStr">
        <is>
          <t>Cáp</t>
        </is>
      </c>
      <c r="C4" s="3" t="inlineStr">
        <is>
          <t>Tuyến</t>
        </is>
      </c>
      <c r="D4" s="3" t="inlineStr">
        <is>
          <t>Số FO</t>
        </is>
      </c>
      <c r="E4" s="3" t="inlineStr">
        <is>
          <t>Dùng</t>
        </is>
      </c>
      <c r="F4" s="3" t="inlineStr">
        <is>
          <t>Hư</t>
        </is>
      </c>
      <c r="G4" s="3" t="inlineStr">
        <is>
          <t>Có nhãn chưa gán</t>
        </is>
      </c>
      <c r="H4" s="3" t="inlineStr">
        <is>
          <t>Trống/chưa rõ</t>
        </is>
      </c>
      <c r="I4" s="3" t="inlineStr">
        <is>
          <t>Cặp trống tối đa</t>
        </is>
      </c>
    </row>
    <row r="5">
      <c r="A5" s="4" t="inlineStr">
        <is>
          <t>C01</t>
        </is>
      </c>
      <c r="B5" s="4" t="inlineStr">
        <is>
          <t>ADSS 9/2009</t>
        </is>
      </c>
      <c r="C5" s="4" t="inlineStr">
        <is>
          <t>VNPT Long Thới (ODF-02 NBE12) → MX nhập đài Long Thới–NVT</t>
        </is>
      </c>
      <c r="D5" s="4" t="n">
        <v>24</v>
      </c>
      <c r="E5" s="4">
        <f>COUNTIFS($A$29:$A$2000,A5,$E$29:$E$2000,"dùng*")</f>
        <v/>
      </c>
      <c r="F5" s="4">
        <f>COUNTIFS($A$29:$A$2000,A5,$E$29:$E$2000,"HƯ")</f>
        <v/>
      </c>
      <c r="G5" s="4">
        <f>COUNTIFS($A$29:$A$2000,A5,$E$29:$E$2000,"có nhãn*")</f>
        <v/>
      </c>
      <c r="H5" s="4">
        <f>D5-E5-F5-G5</f>
        <v/>
      </c>
      <c r="I5" s="4">
        <f>INT(H5/2)</f>
        <v/>
      </c>
    </row>
    <row r="6">
      <c r="A6" s="4" t="inlineStr">
        <is>
          <t>C02</t>
        </is>
      </c>
      <c r="B6" s="4" t="inlineStr">
        <is>
          <t>SACOM 8/2014</t>
        </is>
      </c>
      <c r="C6" s="4" t="inlineStr">
        <is>
          <t>MX nhập đài Long Thới–NVT → MX_NVT_01</t>
        </is>
      </c>
      <c r="D6" s="4" t="n">
        <v>12</v>
      </c>
      <c r="E6" s="4">
        <f>COUNTIFS($A$29:$A$2000,A6,$E$29:$E$2000,"dùng*")</f>
        <v/>
      </c>
      <c r="F6" s="4">
        <f>COUNTIFS($A$29:$A$2000,A6,$E$29:$E$2000,"HƯ")</f>
        <v/>
      </c>
      <c r="G6" s="4">
        <f>COUNTIFS($A$29:$A$2000,A6,$E$29:$E$2000,"có nhãn*")</f>
        <v/>
      </c>
      <c r="H6" s="4">
        <f>D6-E6-F6-G6</f>
        <v/>
      </c>
      <c r="I6" s="4">
        <f>INT(H6/2)</f>
        <v/>
      </c>
    </row>
    <row r="7">
      <c r="A7" s="4" t="inlineStr">
        <is>
          <t>C03</t>
        </is>
      </c>
      <c r="B7" s="4" t="inlineStr">
        <is>
          <t>FOCAL 9/2020 (vào HNB054)</t>
        </is>
      </c>
      <c r="C7" s="4" t="inlineStr">
        <is>
          <t>MX_NVT_01 → HNB054</t>
        </is>
      </c>
      <c r="D7" s="4" t="n">
        <v>12</v>
      </c>
      <c r="E7" s="4">
        <f>COUNTIFS($A$29:$A$2000,A7,$E$29:$E$2000,"dùng*")</f>
        <v/>
      </c>
      <c r="F7" s="4">
        <f>COUNTIFS($A$29:$A$2000,A7,$E$29:$E$2000,"HƯ")</f>
        <v/>
      </c>
      <c r="G7" s="4">
        <f>COUNTIFS($A$29:$A$2000,A7,$E$29:$E$2000,"có nhãn*")</f>
        <v/>
      </c>
      <c r="H7" s="4">
        <f>D7-E7-F7-G7</f>
        <v/>
      </c>
      <c r="I7" s="4">
        <f>INT(H7/2)</f>
        <v/>
      </c>
    </row>
    <row r="8">
      <c r="A8" s="4" t="inlineStr">
        <is>
          <t>C04</t>
        </is>
      </c>
      <c r="B8" s="4" t="inlineStr">
        <is>
          <t>FOCAL 9/2020 trục (gồm 175 m ngầm)</t>
        </is>
      </c>
      <c r="C8" s="4" t="inlineStr">
        <is>
          <t>MX_NVT_01 → MX_NVT_02A</t>
        </is>
      </c>
      <c r="D8" s="4" t="n">
        <v>12</v>
      </c>
      <c r="E8" s="4">
        <f>COUNTIFS($A$29:$A$2000,A8,$E$29:$E$2000,"dùng*")</f>
        <v/>
      </c>
      <c r="F8" s="4">
        <f>COUNTIFS($A$29:$A$2000,A8,$E$29:$E$2000,"HƯ")</f>
        <v/>
      </c>
      <c r="G8" s="4">
        <f>COUNTIFS($A$29:$A$2000,A8,$E$29:$E$2000,"có nhãn*")</f>
        <v/>
      </c>
      <c r="H8" s="4">
        <f>D8-E8-F8-G8</f>
        <v/>
      </c>
      <c r="I8" s="4">
        <f>INT(H8/2)</f>
        <v/>
      </c>
    </row>
    <row r="9">
      <c r="A9" s="4" t="inlineStr">
        <is>
          <t>C05</t>
        </is>
      </c>
      <c r="B9" s="4" t="inlineStr">
        <is>
          <t>12FO vào HNB006</t>
        </is>
      </c>
      <c r="C9" s="4" t="inlineStr">
        <is>
          <t>MX_NVT_02A → HNB006</t>
        </is>
      </c>
      <c r="D9" s="4" t="n">
        <v>12</v>
      </c>
      <c r="E9" s="4">
        <f>COUNTIFS($A$29:$A$2000,A9,$E$29:$E$2000,"dùng*")</f>
        <v/>
      </c>
      <c r="F9" s="4">
        <f>COUNTIFS($A$29:$A$2000,A9,$E$29:$E$2000,"HƯ")</f>
        <v/>
      </c>
      <c r="G9" s="4">
        <f>COUNTIFS($A$29:$A$2000,A9,$E$29:$E$2000,"có nhãn*")</f>
        <v/>
      </c>
      <c r="H9" s="4">
        <f>D9-E9-F9-G9</f>
        <v/>
      </c>
      <c r="I9" s="4">
        <f>INT(H9/2)</f>
        <v/>
      </c>
    </row>
    <row r="10">
      <c r="A10" s="4" t="inlineStr">
        <is>
          <t>C06</t>
        </is>
      </c>
      <c r="B10" s="4" t="inlineStr">
        <is>
          <t>12FO NVT_02A → NVT_03A</t>
        </is>
      </c>
      <c r="C10" s="4" t="inlineStr">
        <is>
          <t>MX_NVT_02A → MX_NVT_03A</t>
        </is>
      </c>
      <c r="D10" s="4" t="n">
        <v>12</v>
      </c>
      <c r="E10" s="4">
        <f>COUNTIFS($A$29:$A$2000,A10,$E$29:$E$2000,"dùng*")</f>
        <v/>
      </c>
      <c r="F10" s="4">
        <f>COUNTIFS($A$29:$A$2000,A10,$E$29:$E$2000,"HƯ")</f>
        <v/>
      </c>
      <c r="G10" s="4">
        <f>COUNTIFS($A$29:$A$2000,A10,$E$29:$E$2000,"có nhãn*")</f>
        <v/>
      </c>
      <c r="H10" s="4">
        <f>D10-E10-F10-G10</f>
        <v/>
      </c>
      <c r="I10" s="4">
        <f>INT(H10/2)</f>
        <v/>
      </c>
    </row>
    <row r="11">
      <c r="A11" s="4" t="inlineStr">
        <is>
          <t>C07</t>
        </is>
      </c>
      <c r="B11" s="4" t="inlineStr">
        <is>
          <t>FOCAL 2020 vào HNB091 (6FO #1)</t>
        </is>
      </c>
      <c r="C11" s="4" t="inlineStr">
        <is>
          <t>MX_NVT_03A → HNB091</t>
        </is>
      </c>
      <c r="D11" s="4" t="n">
        <v>6</v>
      </c>
      <c r="E11" s="4">
        <f>COUNTIFS($A$29:$A$2000,A11,$E$29:$E$2000,"dùng*")</f>
        <v/>
      </c>
      <c r="F11" s="4">
        <f>COUNTIFS($A$29:$A$2000,A11,$E$29:$E$2000,"HƯ")</f>
        <v/>
      </c>
      <c r="G11" s="4">
        <f>COUNTIFS($A$29:$A$2000,A11,$E$29:$E$2000,"có nhãn*")</f>
        <v/>
      </c>
      <c r="H11" s="4">
        <f>D11-E11-F11-G11</f>
        <v/>
      </c>
      <c r="I11" s="4">
        <f>INT(H11/2)</f>
        <v/>
      </c>
    </row>
    <row r="12">
      <c r="A12" s="4" t="inlineStr">
        <is>
          <t>C08</t>
        </is>
      </c>
      <c r="B12" s="4" t="inlineStr">
        <is>
          <t>FOCAL 2020 ra HNB091 (6FO #2)</t>
        </is>
      </c>
      <c r="C12" s="4" t="inlineStr">
        <is>
          <t>HNB091 → MX_NVT_03B</t>
        </is>
      </c>
      <c r="D12" s="4" t="n">
        <v>6</v>
      </c>
      <c r="E12" s="4">
        <f>COUNTIFS($A$29:$A$2000,A12,$E$29:$E$2000,"dùng*")</f>
        <v/>
      </c>
      <c r="F12" s="4">
        <f>COUNTIFS($A$29:$A$2000,A12,$E$29:$E$2000,"HƯ")</f>
        <v/>
      </c>
      <c r="G12" s="4">
        <f>COUNTIFS($A$29:$A$2000,A12,$E$29:$E$2000,"có nhãn*")</f>
        <v/>
      </c>
      <c r="H12" s="4">
        <f>D12-E12-F12-G12</f>
        <v/>
      </c>
      <c r="I12" s="4">
        <f>INT(H12/2)</f>
        <v/>
      </c>
    </row>
    <row r="13">
      <c r="A13" s="4" t="inlineStr">
        <is>
          <t>C09</t>
        </is>
      </c>
      <c r="B13" s="4" t="inlineStr">
        <is>
          <t>12FO NVT_03B → NVT_02B</t>
        </is>
      </c>
      <c r="C13" s="4" t="inlineStr">
        <is>
          <t>MX_NVT_03B → MX_NVT_02B</t>
        </is>
      </c>
      <c r="D13" s="4" t="n">
        <v>12</v>
      </c>
      <c r="E13" s="4">
        <f>COUNTIFS($A$29:$A$2000,A13,$E$29:$E$2000,"dùng*")</f>
        <v/>
      </c>
      <c r="F13" s="4">
        <f>COUNTIFS($A$29:$A$2000,A13,$E$29:$E$2000,"HƯ")</f>
        <v/>
      </c>
      <c r="G13" s="4">
        <f>COUNTIFS($A$29:$A$2000,A13,$E$29:$E$2000,"có nhãn*")</f>
        <v/>
      </c>
      <c r="H13" s="4">
        <f>D13-E13-F13-G13</f>
        <v/>
      </c>
      <c r="I13" s="4">
        <f>INT(H13/2)</f>
        <v/>
      </c>
    </row>
    <row r="14">
      <c r="A14" s="4" t="inlineStr">
        <is>
          <t>C10</t>
        </is>
      </c>
      <c r="B14" s="4" t="inlineStr">
        <is>
          <t>TPKL 12FO trục NVT_02B → LVL-05 (qua MX thẳng nối dài)</t>
        </is>
      </c>
      <c r="C14" s="4" t="inlineStr">
        <is>
          <t>MX_NVT_02B → MX_LVL-05</t>
        </is>
      </c>
      <c r="D14" s="4" t="n">
        <v>12</v>
      </c>
      <c r="E14" s="4">
        <f>COUNTIFS($A$29:$A$2000,A14,$E$29:$E$2000,"dùng*")</f>
        <v/>
      </c>
      <c r="F14" s="4">
        <f>COUNTIFS($A$29:$A$2000,A14,$E$29:$E$2000,"HƯ")</f>
        <v/>
      </c>
      <c r="G14" s="4">
        <f>COUNTIFS($A$29:$A$2000,A14,$E$29:$E$2000,"có nhãn*")</f>
        <v/>
      </c>
      <c r="H14" s="4">
        <f>D14-E14-F14-G14</f>
        <v/>
      </c>
      <c r="I14" s="4">
        <f>INT(H14/2)</f>
        <v/>
      </c>
    </row>
    <row r="15">
      <c r="A15" s="4" t="inlineStr">
        <is>
          <t>C11</t>
        </is>
      </c>
      <c r="B15" s="4" t="inlineStr">
        <is>
          <t>TPKL POSTEF 11/2016</t>
        </is>
      </c>
      <c r="C15" s="4" t="inlineStr">
        <is>
          <t>MX_LVL-05 → MX_NB-01</t>
        </is>
      </c>
      <c r="D15" s="4" t="n">
        <v>24</v>
      </c>
      <c r="E15" s="4">
        <f>COUNTIFS($A$29:$A$2000,A15,$E$29:$E$2000,"dùng*")</f>
        <v/>
      </c>
      <c r="F15" s="4">
        <f>COUNTIFS($A$29:$A$2000,A15,$E$29:$E$2000,"HƯ")</f>
        <v/>
      </c>
      <c r="G15" s="4">
        <f>COUNTIFS($A$29:$A$2000,A15,$E$29:$E$2000,"có nhãn*")</f>
        <v/>
      </c>
      <c r="H15" s="4">
        <f>D15-E15-F15-G15</f>
        <v/>
      </c>
      <c r="I15" s="4">
        <f>INT(H15/2)</f>
        <v/>
      </c>
    </row>
    <row r="16">
      <c r="A16" s="4" t="inlineStr">
        <is>
          <t>C12</t>
        </is>
      </c>
      <c r="B16" s="4" t="inlineStr">
        <is>
          <t>12FO NB-01 → NB-02</t>
        </is>
      </c>
      <c r="C16" s="4" t="inlineStr">
        <is>
          <t>MX_NB-01 → MX_NB-02</t>
        </is>
      </c>
      <c r="D16" s="4" t="n">
        <v>12</v>
      </c>
      <c r="E16" s="4">
        <f>COUNTIFS($A$29:$A$2000,A16,$E$29:$E$2000,"dùng*")</f>
        <v/>
      </c>
      <c r="F16" s="4">
        <f>COUNTIFS($A$29:$A$2000,A16,$E$29:$E$2000,"HƯ")</f>
        <v/>
      </c>
      <c r="G16" s="4">
        <f>COUNTIFS($A$29:$A$2000,A16,$E$29:$E$2000,"có nhãn*")</f>
        <v/>
      </c>
      <c r="H16" s="4">
        <f>D16-E16-F16-G16</f>
        <v/>
      </c>
      <c r="I16" s="4">
        <f>INT(H16/2)</f>
        <v/>
      </c>
    </row>
    <row r="17">
      <c r="A17" s="4" t="inlineStr">
        <is>
          <t>C13</t>
        </is>
      </c>
      <c r="B17" s="4" t="inlineStr">
        <is>
          <t>12FO NB-02 → NB-03</t>
        </is>
      </c>
      <c r="C17" s="4" t="inlineStr">
        <is>
          <t>MX_NB-02 → MX_NB-03</t>
        </is>
      </c>
      <c r="D17" s="4" t="n">
        <v>12</v>
      </c>
      <c r="E17" s="4">
        <f>COUNTIFS($A$29:$A$2000,A17,$E$29:$E$2000,"dùng*")</f>
        <v/>
      </c>
      <c r="F17" s="4">
        <f>COUNTIFS($A$29:$A$2000,A17,$E$29:$E$2000,"HƯ")</f>
        <v/>
      </c>
      <c r="G17" s="4">
        <f>COUNTIFS($A$29:$A$2000,A17,$E$29:$E$2000,"có nhãn*")</f>
        <v/>
      </c>
      <c r="H17" s="4">
        <f>D17-E17-F17-G17</f>
        <v/>
      </c>
      <c r="I17" s="4">
        <f>INT(H17/2)</f>
        <v/>
      </c>
    </row>
    <row r="18">
      <c r="A18" s="4" t="inlineStr">
        <is>
          <t>C14</t>
        </is>
      </c>
      <c r="B18" s="4" t="inlineStr">
        <is>
          <t>12FO NB-03 → NB-04</t>
        </is>
      </c>
      <c r="C18" s="4" t="inlineStr">
        <is>
          <t>MX_NB-03 → MX_NB-04</t>
        </is>
      </c>
      <c r="D18" s="4" t="n">
        <v>12</v>
      </c>
      <c r="E18" s="4">
        <f>COUNTIFS($A$29:$A$2000,A18,$E$29:$E$2000,"dùng*")</f>
        <v/>
      </c>
      <c r="F18" s="4">
        <f>COUNTIFS($A$29:$A$2000,A18,$E$29:$E$2000,"HƯ")</f>
        <v/>
      </c>
      <c r="G18" s="4">
        <f>COUNTIFS($A$29:$A$2000,A18,$E$29:$E$2000,"có nhãn*")</f>
        <v/>
      </c>
      <c r="H18" s="4">
        <f>D18-E18-F18-G18</f>
        <v/>
      </c>
      <c r="I18" s="4">
        <f>INT(H18/2)</f>
        <v/>
      </c>
    </row>
    <row r="19">
      <c r="A19" s="4" t="inlineStr">
        <is>
          <t>C15</t>
        </is>
      </c>
      <c r="B19" s="4" t="inlineStr">
        <is>
          <t>12FO NB-04 → MX thẳng HTP</t>
        </is>
      </c>
      <c r="C19" s="4" t="inlineStr">
        <is>
          <t>MX_NB-04 → MX thẳng HTP</t>
        </is>
      </c>
      <c r="D19" s="4" t="n">
        <v>12</v>
      </c>
      <c r="E19" s="4">
        <f>COUNTIFS($A$29:$A$2000,A19,$E$29:$E$2000,"dùng*")</f>
        <v/>
      </c>
      <c r="F19" s="4">
        <f>COUNTIFS($A$29:$A$2000,A19,$E$29:$E$2000,"HƯ")</f>
        <v/>
      </c>
      <c r="G19" s="4">
        <f>COUNTIFS($A$29:$A$2000,A19,$E$29:$E$2000,"có nhãn*")</f>
        <v/>
      </c>
      <c r="H19" s="4">
        <f>D19-E19-F19-G19</f>
        <v/>
      </c>
      <c r="I19" s="4">
        <f>INT(H19/2)</f>
        <v/>
      </c>
    </row>
    <row r="20">
      <c r="A20" s="4" t="inlineStr">
        <is>
          <t>C16</t>
        </is>
      </c>
      <c r="B20" s="4" t="inlineStr">
        <is>
          <t>12FO MX thẳng HTP → HTP-03B</t>
        </is>
      </c>
      <c r="C20" s="4" t="inlineStr">
        <is>
          <t>MX thẳng HTP → MX_HTP-03B</t>
        </is>
      </c>
      <c r="D20" s="4" t="n">
        <v>12</v>
      </c>
      <c r="E20" s="4">
        <f>COUNTIFS($A$29:$A$2000,A20,$E$29:$E$2000,"dùng*")</f>
        <v/>
      </c>
      <c r="F20" s="4">
        <f>COUNTIFS($A$29:$A$2000,A20,$E$29:$E$2000,"HƯ")</f>
        <v/>
      </c>
      <c r="G20" s="4">
        <f>COUNTIFS($A$29:$A$2000,A20,$E$29:$E$2000,"có nhãn*")</f>
        <v/>
      </c>
      <c r="H20" s="4">
        <f>D20-E20-F20-G20</f>
        <v/>
      </c>
      <c r="I20" s="4">
        <f>INT(H20/2)</f>
        <v/>
      </c>
    </row>
    <row r="21">
      <c r="A21" s="4" t="inlineStr">
        <is>
          <t>C17</t>
        </is>
      </c>
      <c r="B21" s="4" t="inlineStr">
        <is>
          <t>POSTEF 24FO nhập đài (cs 1550→1288)</t>
        </is>
      </c>
      <c r="C21" s="4" t="inlineStr">
        <is>
          <t>MX_HTP-03B → ODF-02 NBE22</t>
        </is>
      </c>
      <c r="D21" s="4" t="n">
        <v>24</v>
      </c>
      <c r="E21" s="4">
        <f>COUNTIFS($A$29:$A$2000,A21,$E$29:$E$2000,"dùng*")</f>
        <v/>
      </c>
      <c r="F21" s="4">
        <f>COUNTIFS($A$29:$A$2000,A21,$E$29:$E$2000,"HƯ")</f>
        <v/>
      </c>
      <c r="G21" s="4">
        <f>COUNTIFS($A$29:$A$2000,A21,$E$29:$E$2000,"có nhãn*")</f>
        <v/>
      </c>
      <c r="H21" s="4">
        <f>D21-E21-F21-G21</f>
        <v/>
      </c>
      <c r="I21" s="4">
        <f>INT(H21/2)</f>
        <v/>
      </c>
    </row>
    <row r="22">
      <c r="A22" s="4" t="inlineStr">
        <is>
          <t>C18</t>
        </is>
      </c>
      <c r="B22" s="4" t="inlineStr">
        <is>
          <t>FOCAL 2020 vào HNB059 (6FO)</t>
        </is>
      </c>
      <c r="C22" s="4" t="inlineStr">
        <is>
          <t>MX_NVT_03A → HNB059</t>
        </is>
      </c>
      <c r="D22" s="4" t="n">
        <v>6</v>
      </c>
      <c r="E22" s="4">
        <f>COUNTIFS($A$29:$A$2000,A22,$E$29:$E$2000,"dùng*")</f>
        <v/>
      </c>
      <c r="F22" s="4">
        <f>COUNTIFS($A$29:$A$2000,A22,$E$29:$E$2000,"HƯ")</f>
        <v/>
      </c>
      <c r="G22" s="4">
        <f>COUNTIFS($A$29:$A$2000,A22,$E$29:$E$2000,"có nhãn*")</f>
        <v/>
      </c>
      <c r="H22" s="4">
        <f>D22-E22-F22-G22</f>
        <v/>
      </c>
      <c r="I22" s="4">
        <f>INT(H22/2)</f>
        <v/>
      </c>
    </row>
    <row r="23">
      <c r="A23" s="4" t="inlineStr">
        <is>
          <t>C19</t>
        </is>
      </c>
      <c r="B23" s="4" t="inlineStr">
        <is>
          <t>FOCAL 2020 HNB059 → HNB060 (6FO)</t>
        </is>
      </c>
      <c r="C23" s="4" t="inlineStr">
        <is>
          <t>HNB059 → HNB060</t>
        </is>
      </c>
      <c r="D23" s="4" t="n">
        <v>6</v>
      </c>
      <c r="E23" s="4">
        <f>COUNTIFS($A$29:$A$2000,A23,$E$29:$E$2000,"dùng*")</f>
        <v/>
      </c>
      <c r="F23" s="4">
        <f>COUNTIFS($A$29:$A$2000,A23,$E$29:$E$2000,"HƯ")</f>
        <v/>
      </c>
      <c r="G23" s="4">
        <f>COUNTIFS($A$29:$A$2000,A23,$E$29:$E$2000,"có nhãn*")</f>
        <v/>
      </c>
      <c r="H23" s="4">
        <f>D23-E23-F23-G23</f>
        <v/>
      </c>
      <c r="I23" s="4">
        <f>INT(H23/2)</f>
        <v/>
      </c>
    </row>
    <row r="24">
      <c r="A24" s="4" t="inlineStr">
        <is>
          <t>C20</t>
        </is>
      </c>
      <c r="B24" s="4" t="inlineStr">
        <is>
          <t>FOCAL 2020 HNB060 → HNB048 (6FO)</t>
        </is>
      </c>
      <c r="C24" s="4" t="inlineStr">
        <is>
          <t>HNB060 → HNB048</t>
        </is>
      </c>
      <c r="D24" s="4" t="n">
        <v>6</v>
      </c>
      <c r="E24" s="4">
        <f>COUNTIFS($A$29:$A$2000,A24,$E$29:$E$2000,"dùng*")</f>
        <v/>
      </c>
      <c r="F24" s="4">
        <f>COUNTIFS($A$29:$A$2000,A24,$E$29:$E$2000,"HƯ")</f>
        <v/>
      </c>
      <c r="G24" s="4">
        <f>COUNTIFS($A$29:$A$2000,A24,$E$29:$E$2000,"có nhãn*")</f>
        <v/>
      </c>
      <c r="H24" s="4">
        <f>D24-E24-F24-G24</f>
        <v/>
      </c>
      <c r="I24" s="4">
        <f>INT(H24/2)</f>
        <v/>
      </c>
    </row>
    <row r="25">
      <c r="A25" s="4" t="inlineStr">
        <is>
          <t>C21</t>
        </is>
      </c>
      <c r="B25" s="4" t="inlineStr">
        <is>
          <t>FOCAL 2020 HNB048 → MX_NVT_03B (6FO)</t>
        </is>
      </c>
      <c r="C25" s="4" t="inlineStr">
        <is>
          <t>HNB048 → MX_NVT_03B</t>
        </is>
      </c>
      <c r="D25" s="4" t="n">
        <v>6</v>
      </c>
      <c r="E25" s="4">
        <f>COUNTIFS($A$29:$A$2000,A25,$E$29:$E$2000,"dùng*")</f>
        <v/>
      </c>
      <c r="F25" s="4">
        <f>COUNTIFS($A$29:$A$2000,A25,$E$29:$E$2000,"HƯ")</f>
        <v/>
      </c>
      <c r="G25" s="4">
        <f>COUNTIFS($A$29:$A$2000,A25,$E$29:$E$2000,"có nhãn*")</f>
        <v/>
      </c>
      <c r="H25" s="4">
        <f>D25-E25-F25-G25</f>
        <v/>
      </c>
      <c r="I25" s="4">
        <f>INT(H25/2)</f>
        <v/>
      </c>
    </row>
    <row r="27">
      <c r="A27" s="18" t="inlineStr">
        <is>
          <t>Chi tiết từng core</t>
        </is>
      </c>
    </row>
    <row r="28" ht="32" customHeight="1">
      <c r="A28" s="3" t="inlineStr">
        <is>
          <t>Mã cáp</t>
        </is>
      </c>
      <c r="B28" s="3" t="inlineStr">
        <is>
          <t>Cáp</t>
        </is>
      </c>
      <c r="C28" s="3" t="inlineStr">
        <is>
          <t>Core</t>
        </is>
      </c>
      <c r="D28" s="3" t="inlineStr">
        <is>
          <t>Màu sợi</t>
        </is>
      </c>
      <c r="E28" s="3" t="inlineStr">
        <is>
          <t>Trạng thái</t>
        </is>
      </c>
      <c r="F28" s="3" t="inlineStr">
        <is>
          <t>Nhãn trong sơ đồ MX</t>
        </is>
      </c>
      <c r="G28" s="3" t="inlineStr">
        <is>
          <t>Trạm (sơ đồ)</t>
        </is>
      </c>
      <c r="H28" s="3" t="inlineStr">
        <is>
          <t>Link dùng</t>
        </is>
      </c>
    </row>
    <row r="29">
      <c r="A29" s="4" t="inlineStr">
        <is>
          <t>C01</t>
        </is>
      </c>
      <c r="B29" s="4" t="inlineStr">
        <is>
          <t>ADSS 9/2009</t>
        </is>
      </c>
      <c r="C29" s="4" t="n">
        <v>1</v>
      </c>
      <c r="D29" s="4" t="inlineStr">
        <is>
          <t>xanh dương</t>
        </is>
      </c>
      <c r="E29" s="16" t="inlineStr">
        <is>
          <t>dùng R2-01</t>
        </is>
      </c>
      <c r="F29" s="4" t="inlineStr"/>
      <c r="G29" s="4" t="inlineStr"/>
      <c r="H29" s="4" t="inlineStr">
        <is>
          <t>R2-01</t>
        </is>
      </c>
    </row>
    <row r="30">
      <c r="A30" s="4" t="inlineStr">
        <is>
          <t>C01</t>
        </is>
      </c>
      <c r="B30" s="4" t="inlineStr">
        <is>
          <t>ADSS 9/2009</t>
        </is>
      </c>
      <c r="C30" s="4" t="n">
        <v>2</v>
      </c>
      <c r="D30" s="4" t="inlineStr">
        <is>
          <t>cam</t>
        </is>
      </c>
      <c r="E30" s="16" t="inlineStr">
        <is>
          <t>dùng R2-01</t>
        </is>
      </c>
      <c r="F30" s="4" t="inlineStr"/>
      <c r="G30" s="4" t="inlineStr"/>
      <c r="H30" s="4" t="inlineStr">
        <is>
          <t>R2-01</t>
        </is>
      </c>
    </row>
    <row r="31">
      <c r="A31" s="4" t="inlineStr">
        <is>
          <t>C01</t>
        </is>
      </c>
      <c r="B31" s="4" t="inlineStr">
        <is>
          <t>ADSS 9/2009</t>
        </is>
      </c>
      <c r="C31" s="4" t="n">
        <v>3</v>
      </c>
      <c r="D31" s="4" t="inlineStr">
        <is>
          <t>xanh lá</t>
        </is>
      </c>
      <c r="E31" s="16" t="inlineStr">
        <is>
          <t>dùng R1-01</t>
        </is>
      </c>
      <c r="F31" s="4" t="inlineStr"/>
      <c r="G31" s="4" t="inlineStr"/>
      <c r="H31" s="4" t="inlineStr">
        <is>
          <t>R1-01</t>
        </is>
      </c>
    </row>
    <row r="32">
      <c r="A32" s="4" t="inlineStr">
        <is>
          <t>C01</t>
        </is>
      </c>
      <c r="B32" s="4" t="inlineStr">
        <is>
          <t>ADSS 9/2009</t>
        </is>
      </c>
      <c r="C32" s="4" t="n">
        <v>4</v>
      </c>
      <c r="D32" s="4" t="inlineStr">
        <is>
          <t>nâu</t>
        </is>
      </c>
      <c r="E32" s="16" t="inlineStr">
        <is>
          <t>dùng R1-01</t>
        </is>
      </c>
      <c r="F32" s="4" t="inlineStr"/>
      <c r="G32" s="4" t="inlineStr"/>
      <c r="H32" s="4" t="inlineStr">
        <is>
          <t>R1-01</t>
        </is>
      </c>
    </row>
    <row r="33">
      <c r="A33" s="4" t="inlineStr">
        <is>
          <t>C01</t>
        </is>
      </c>
      <c r="B33" s="4" t="inlineStr">
        <is>
          <t>ADSS 9/2009</t>
        </is>
      </c>
      <c r="C33" s="4" t="n">
        <v>5</v>
      </c>
      <c r="D33" s="4" t="inlineStr">
        <is>
          <t>xám</t>
        </is>
      </c>
      <c r="E33" s="4" t="inlineStr">
        <is>
          <t>trống/chưa rõ</t>
        </is>
      </c>
      <c r="F33" s="4" t="inlineStr"/>
      <c r="G33" s="4" t="inlineStr"/>
      <c r="H33" s="4" t="inlineStr"/>
    </row>
    <row r="34">
      <c r="A34" s="4" t="inlineStr">
        <is>
          <t>C01</t>
        </is>
      </c>
      <c r="B34" s="4" t="inlineStr">
        <is>
          <t>ADSS 9/2009</t>
        </is>
      </c>
      <c r="C34" s="4" t="n">
        <v>6</v>
      </c>
      <c r="D34" s="4" t="inlineStr">
        <is>
          <t>trắng</t>
        </is>
      </c>
      <c r="E34" s="4" t="inlineStr">
        <is>
          <t>trống/chưa rõ</t>
        </is>
      </c>
      <c r="F34" s="4" t="inlineStr"/>
      <c r="G34" s="4" t="inlineStr"/>
      <c r="H34" s="4" t="inlineStr"/>
    </row>
    <row r="35">
      <c r="A35" s="4" t="inlineStr">
        <is>
          <t>C01</t>
        </is>
      </c>
      <c r="B35" s="4" t="inlineStr">
        <is>
          <t>ADSS 9/2009</t>
        </is>
      </c>
      <c r="C35" s="4" t="n">
        <v>7</v>
      </c>
      <c r="D35" s="4" t="inlineStr">
        <is>
          <t>xanh dương</t>
        </is>
      </c>
      <c r="E35" s="4" t="inlineStr">
        <is>
          <t>trống/chưa rõ</t>
        </is>
      </c>
      <c r="F35" s="4" t="inlineStr"/>
      <c r="G35" s="4" t="inlineStr"/>
      <c r="H35" s="4" t="inlineStr"/>
    </row>
    <row r="36">
      <c r="A36" s="4" t="inlineStr">
        <is>
          <t>C01</t>
        </is>
      </c>
      <c r="B36" s="4" t="inlineStr">
        <is>
          <t>ADSS 9/2009</t>
        </is>
      </c>
      <c r="C36" s="4" t="n">
        <v>8</v>
      </c>
      <c r="D36" s="4" t="inlineStr">
        <is>
          <t>cam</t>
        </is>
      </c>
      <c r="E36" s="4" t="inlineStr">
        <is>
          <t>trống/chưa rõ</t>
        </is>
      </c>
      <c r="F36" s="4" t="inlineStr"/>
      <c r="G36" s="4" t="inlineStr"/>
      <c r="H36" s="4" t="inlineStr"/>
    </row>
    <row r="37">
      <c r="A37" s="4" t="inlineStr">
        <is>
          <t>C01</t>
        </is>
      </c>
      <c r="B37" s="4" t="inlineStr">
        <is>
          <t>ADSS 9/2009</t>
        </is>
      </c>
      <c r="C37" s="4" t="n">
        <v>9</v>
      </c>
      <c r="D37" s="4" t="inlineStr">
        <is>
          <t>xanh lá</t>
        </is>
      </c>
      <c r="E37" s="4" t="inlineStr">
        <is>
          <t>trống/chưa rõ</t>
        </is>
      </c>
      <c r="F37" s="4" t="inlineStr"/>
      <c r="G37" s="4" t="inlineStr"/>
      <c r="H37" s="4" t="inlineStr"/>
    </row>
    <row r="38">
      <c r="A38" s="4" t="inlineStr">
        <is>
          <t>C01</t>
        </is>
      </c>
      <c r="B38" s="4" t="inlineStr">
        <is>
          <t>ADSS 9/2009</t>
        </is>
      </c>
      <c r="C38" s="4" t="n">
        <v>10</v>
      </c>
      <c r="D38" s="4" t="inlineStr">
        <is>
          <t>nâu</t>
        </is>
      </c>
      <c r="E38" s="4" t="inlineStr">
        <is>
          <t>trống/chưa rõ</t>
        </is>
      </c>
      <c r="F38" s="4" t="inlineStr"/>
      <c r="G38" s="4" t="inlineStr"/>
      <c r="H38" s="4" t="inlineStr"/>
    </row>
    <row r="39">
      <c r="A39" s="4" t="inlineStr">
        <is>
          <t>C01</t>
        </is>
      </c>
      <c r="B39" s="4" t="inlineStr">
        <is>
          <t>ADSS 9/2009</t>
        </is>
      </c>
      <c r="C39" s="4" t="n">
        <v>11</v>
      </c>
      <c r="D39" s="4" t="inlineStr">
        <is>
          <t>xám</t>
        </is>
      </c>
      <c r="E39" s="4" t="inlineStr">
        <is>
          <t>trống/chưa rõ</t>
        </is>
      </c>
      <c r="F39" s="4" t="inlineStr"/>
      <c r="G39" s="4" t="inlineStr"/>
      <c r="H39" s="4" t="inlineStr"/>
    </row>
    <row r="40">
      <c r="A40" s="4" t="inlineStr">
        <is>
          <t>C01</t>
        </is>
      </c>
      <c r="B40" s="4" t="inlineStr">
        <is>
          <t>ADSS 9/2009</t>
        </is>
      </c>
      <c r="C40" s="4" t="n">
        <v>12</v>
      </c>
      <c r="D40" s="4" t="inlineStr">
        <is>
          <t>trắng</t>
        </is>
      </c>
      <c r="E40" s="4" t="inlineStr">
        <is>
          <t>trống/chưa rõ</t>
        </is>
      </c>
      <c r="F40" s="4" t="inlineStr"/>
      <c r="G40" s="4" t="inlineStr"/>
      <c r="H40" s="4" t="inlineStr"/>
    </row>
    <row r="41">
      <c r="A41" s="4" t="inlineStr">
        <is>
          <t>C01</t>
        </is>
      </c>
      <c r="B41" s="4" t="inlineStr">
        <is>
          <t>ADSS 9/2009</t>
        </is>
      </c>
      <c r="C41" s="4" t="n">
        <v>13</v>
      </c>
      <c r="D41" s="4" t="inlineStr">
        <is>
          <t>xanh dương</t>
        </is>
      </c>
      <c r="E41" s="4" t="inlineStr">
        <is>
          <t>trống/chưa rõ</t>
        </is>
      </c>
      <c r="F41" s="4" t="inlineStr"/>
      <c r="G41" s="4" t="inlineStr"/>
      <c r="H41" s="4" t="inlineStr"/>
    </row>
    <row r="42">
      <c r="A42" s="4" t="inlineStr">
        <is>
          <t>C01</t>
        </is>
      </c>
      <c r="B42" s="4" t="inlineStr">
        <is>
          <t>ADSS 9/2009</t>
        </is>
      </c>
      <c r="C42" s="4" t="n">
        <v>14</v>
      </c>
      <c r="D42" s="4" t="inlineStr">
        <is>
          <t>cam</t>
        </is>
      </c>
      <c r="E42" s="4" t="inlineStr">
        <is>
          <t>trống/chưa rõ</t>
        </is>
      </c>
      <c r="F42" s="4" t="inlineStr"/>
      <c r="G42" s="4" t="inlineStr"/>
      <c r="H42" s="4" t="inlineStr"/>
    </row>
    <row r="43">
      <c r="A43" s="4" t="inlineStr">
        <is>
          <t>C01</t>
        </is>
      </c>
      <c r="B43" s="4" t="inlineStr">
        <is>
          <t>ADSS 9/2009</t>
        </is>
      </c>
      <c r="C43" s="4" t="n">
        <v>15</v>
      </c>
      <c r="D43" s="4" t="inlineStr">
        <is>
          <t>xanh lá</t>
        </is>
      </c>
      <c r="E43" s="4" t="inlineStr">
        <is>
          <t>trống/chưa rõ</t>
        </is>
      </c>
      <c r="F43" s="4" t="inlineStr"/>
      <c r="G43" s="4" t="inlineStr"/>
      <c r="H43" s="4" t="inlineStr"/>
    </row>
    <row r="44">
      <c r="A44" s="4" t="inlineStr">
        <is>
          <t>C01</t>
        </is>
      </c>
      <c r="B44" s="4" t="inlineStr">
        <is>
          <t>ADSS 9/2009</t>
        </is>
      </c>
      <c r="C44" s="4" t="n">
        <v>16</v>
      </c>
      <c r="D44" s="4" t="inlineStr">
        <is>
          <t>nâu</t>
        </is>
      </c>
      <c r="E44" s="4" t="inlineStr">
        <is>
          <t>trống/chưa rõ</t>
        </is>
      </c>
      <c r="F44" s="4" t="inlineStr"/>
      <c r="G44" s="4" t="inlineStr"/>
      <c r="H44" s="4" t="inlineStr"/>
    </row>
    <row r="45">
      <c r="A45" s="4" t="inlineStr">
        <is>
          <t>C01</t>
        </is>
      </c>
      <c r="B45" s="4" t="inlineStr">
        <is>
          <t>ADSS 9/2009</t>
        </is>
      </c>
      <c r="C45" s="4" t="n">
        <v>17</v>
      </c>
      <c r="D45" s="4" t="inlineStr">
        <is>
          <t>xám</t>
        </is>
      </c>
      <c r="E45" s="4" t="inlineStr">
        <is>
          <t>trống/chưa rõ</t>
        </is>
      </c>
      <c r="F45" s="4" t="inlineStr"/>
      <c r="G45" s="4" t="inlineStr"/>
      <c r="H45" s="4" t="inlineStr"/>
    </row>
    <row r="46">
      <c r="A46" s="4" t="inlineStr">
        <is>
          <t>C01</t>
        </is>
      </c>
      <c r="B46" s="4" t="inlineStr">
        <is>
          <t>ADSS 9/2009</t>
        </is>
      </c>
      <c r="C46" s="4" t="n">
        <v>18</v>
      </c>
      <c r="D46" s="4" t="inlineStr">
        <is>
          <t>trắng</t>
        </is>
      </c>
      <c r="E46" s="4" t="inlineStr">
        <is>
          <t>trống/chưa rõ</t>
        </is>
      </c>
      <c r="F46" s="4" t="inlineStr"/>
      <c r="G46" s="4" t="inlineStr"/>
      <c r="H46" s="4" t="inlineStr"/>
    </row>
    <row r="47">
      <c r="A47" s="4" t="inlineStr">
        <is>
          <t>C01</t>
        </is>
      </c>
      <c r="B47" s="4" t="inlineStr">
        <is>
          <t>ADSS 9/2009</t>
        </is>
      </c>
      <c r="C47" s="4" t="n">
        <v>19</v>
      </c>
      <c r="D47" s="4" t="inlineStr">
        <is>
          <t>xanh dương</t>
        </is>
      </c>
      <c r="E47" s="4" t="inlineStr">
        <is>
          <t>trống/chưa rõ</t>
        </is>
      </c>
      <c r="F47" s="4" t="inlineStr"/>
      <c r="G47" s="4" t="inlineStr"/>
      <c r="H47" s="4" t="inlineStr"/>
    </row>
    <row r="48">
      <c r="A48" s="4" t="inlineStr">
        <is>
          <t>C01</t>
        </is>
      </c>
      <c r="B48" s="4" t="inlineStr">
        <is>
          <t>ADSS 9/2009</t>
        </is>
      </c>
      <c r="C48" s="4" t="n">
        <v>20</v>
      </c>
      <c r="D48" s="4" t="inlineStr">
        <is>
          <t>cam</t>
        </is>
      </c>
      <c r="E48" s="4" t="inlineStr">
        <is>
          <t>trống/chưa rõ</t>
        </is>
      </c>
      <c r="F48" s="4" t="inlineStr"/>
      <c r="G48" s="4" t="inlineStr"/>
      <c r="H48" s="4" t="inlineStr"/>
    </row>
    <row r="49">
      <c r="A49" s="4" t="inlineStr">
        <is>
          <t>C01</t>
        </is>
      </c>
      <c r="B49" s="4" t="inlineStr">
        <is>
          <t>ADSS 9/2009</t>
        </is>
      </c>
      <c r="C49" s="4" t="n">
        <v>21</v>
      </c>
      <c r="D49" s="4" t="inlineStr">
        <is>
          <t>xanh lá</t>
        </is>
      </c>
      <c r="E49" s="4" t="inlineStr">
        <is>
          <t>trống/chưa rõ</t>
        </is>
      </c>
      <c r="F49" s="4" t="inlineStr"/>
      <c r="G49" s="4" t="inlineStr"/>
      <c r="H49" s="4" t="inlineStr"/>
    </row>
    <row r="50">
      <c r="A50" s="4" t="inlineStr">
        <is>
          <t>C01</t>
        </is>
      </c>
      <c r="B50" s="4" t="inlineStr">
        <is>
          <t>ADSS 9/2009</t>
        </is>
      </c>
      <c r="C50" s="4" t="n">
        <v>22</v>
      </c>
      <c r="D50" s="4" t="inlineStr">
        <is>
          <t>nâu</t>
        </is>
      </c>
      <c r="E50" s="4" t="inlineStr">
        <is>
          <t>trống/chưa rõ</t>
        </is>
      </c>
      <c r="F50" s="4" t="inlineStr"/>
      <c r="G50" s="4" t="inlineStr"/>
      <c r="H50" s="4" t="inlineStr"/>
    </row>
    <row r="51">
      <c r="A51" s="4" t="inlineStr">
        <is>
          <t>C01</t>
        </is>
      </c>
      <c r="B51" s="4" t="inlineStr">
        <is>
          <t>ADSS 9/2009</t>
        </is>
      </c>
      <c r="C51" s="4" t="n">
        <v>23</v>
      </c>
      <c r="D51" s="4" t="inlineStr">
        <is>
          <t>xám</t>
        </is>
      </c>
      <c r="E51" s="4" t="inlineStr">
        <is>
          <t>trống/chưa rõ</t>
        </is>
      </c>
      <c r="F51" s="4" t="inlineStr"/>
      <c r="G51" s="4" t="inlineStr"/>
      <c r="H51" s="4" t="inlineStr"/>
    </row>
    <row r="52">
      <c r="A52" s="4" t="inlineStr">
        <is>
          <t>C01</t>
        </is>
      </c>
      <c r="B52" s="4" t="inlineStr">
        <is>
          <t>ADSS 9/2009</t>
        </is>
      </c>
      <c r="C52" s="4" t="n">
        <v>24</v>
      </c>
      <c r="D52" s="4" t="inlineStr">
        <is>
          <t>trắng</t>
        </is>
      </c>
      <c r="E52" s="4" t="inlineStr">
        <is>
          <t>trống/chưa rõ</t>
        </is>
      </c>
      <c r="F52" s="4" t="inlineStr"/>
      <c r="G52" s="4" t="inlineStr"/>
      <c r="H52" s="4" t="inlineStr"/>
    </row>
    <row r="53">
      <c r="A53" s="4" t="inlineStr">
        <is>
          <t>C02</t>
        </is>
      </c>
      <c r="B53" s="4" t="inlineStr">
        <is>
          <t>SACOM 8/2014</t>
        </is>
      </c>
      <c r="C53" s="4" t="n">
        <v>1</v>
      </c>
      <c r="D53" s="4" t="inlineStr">
        <is>
          <t>xanh dương</t>
        </is>
      </c>
      <c r="E53" s="16" t="inlineStr">
        <is>
          <t>dùng R2-01</t>
        </is>
      </c>
      <c r="F53" s="4" t="inlineStr"/>
      <c r="G53" s="4" t="inlineStr"/>
      <c r="H53" s="4" t="inlineStr">
        <is>
          <t>R2-01</t>
        </is>
      </c>
    </row>
    <row r="54">
      <c r="A54" s="4" t="inlineStr">
        <is>
          <t>C02</t>
        </is>
      </c>
      <c r="B54" s="4" t="inlineStr">
        <is>
          <t>SACOM 8/2014</t>
        </is>
      </c>
      <c r="C54" s="4" t="n">
        <v>2</v>
      </c>
      <c r="D54" s="4" t="inlineStr">
        <is>
          <t>cam</t>
        </is>
      </c>
      <c r="E54" s="16" t="inlineStr">
        <is>
          <t>dùng R2-01</t>
        </is>
      </c>
      <c r="F54" s="4" t="inlineStr"/>
      <c r="G54" s="4" t="inlineStr"/>
      <c r="H54" s="4" t="inlineStr">
        <is>
          <t>R2-01</t>
        </is>
      </c>
    </row>
    <row r="55">
      <c r="A55" s="4" t="inlineStr">
        <is>
          <t>C02</t>
        </is>
      </c>
      <c r="B55" s="4" t="inlineStr">
        <is>
          <t>SACOM 8/2014</t>
        </is>
      </c>
      <c r="C55" s="4" t="n">
        <v>3</v>
      </c>
      <c r="D55" s="4" t="inlineStr">
        <is>
          <t>xanh lá</t>
        </is>
      </c>
      <c r="E55" s="16" t="inlineStr">
        <is>
          <t>dùng R1-01</t>
        </is>
      </c>
      <c r="F55" s="4" t="inlineStr"/>
      <c r="G55" s="4" t="inlineStr"/>
      <c r="H55" s="4" t="inlineStr">
        <is>
          <t>R1-01</t>
        </is>
      </c>
    </row>
    <row r="56">
      <c r="A56" s="4" t="inlineStr">
        <is>
          <t>C02</t>
        </is>
      </c>
      <c r="B56" s="4" t="inlineStr">
        <is>
          <t>SACOM 8/2014</t>
        </is>
      </c>
      <c r="C56" s="4" t="n">
        <v>4</v>
      </c>
      <c r="D56" s="4" t="inlineStr">
        <is>
          <t>nâu</t>
        </is>
      </c>
      <c r="E56" s="16" t="inlineStr">
        <is>
          <t>dùng R1-01</t>
        </is>
      </c>
      <c r="F56" s="4" t="inlineStr"/>
      <c r="G56" s="4" t="inlineStr"/>
      <c r="H56" s="4" t="inlineStr">
        <is>
          <t>R1-01</t>
        </is>
      </c>
    </row>
    <row r="57">
      <c r="A57" s="4" t="inlineStr">
        <is>
          <t>C02</t>
        </is>
      </c>
      <c r="B57" s="4" t="inlineStr">
        <is>
          <t>SACOM 8/2014</t>
        </is>
      </c>
      <c r="C57" s="4" t="n">
        <v>5</v>
      </c>
      <c r="D57" s="4" t="inlineStr">
        <is>
          <t>xám</t>
        </is>
      </c>
      <c r="E57" s="4" t="inlineStr">
        <is>
          <t>trống/chưa rõ</t>
        </is>
      </c>
      <c r="F57" s="4" t="inlineStr"/>
      <c r="G57" s="4" t="inlineStr"/>
      <c r="H57" s="4" t="inlineStr"/>
    </row>
    <row r="58">
      <c r="A58" s="4" t="inlineStr">
        <is>
          <t>C02</t>
        </is>
      </c>
      <c r="B58" s="4" t="inlineStr">
        <is>
          <t>SACOM 8/2014</t>
        </is>
      </c>
      <c r="C58" s="4" t="n">
        <v>6</v>
      </c>
      <c r="D58" s="4" t="inlineStr">
        <is>
          <t>trắng</t>
        </is>
      </c>
      <c r="E58" s="4" t="inlineStr">
        <is>
          <t>trống/chưa rõ</t>
        </is>
      </c>
      <c r="F58" s="4" t="inlineStr"/>
      <c r="G58" s="4" t="inlineStr"/>
      <c r="H58" s="4" t="inlineStr"/>
    </row>
    <row r="59">
      <c r="A59" s="4" t="inlineStr">
        <is>
          <t>C02</t>
        </is>
      </c>
      <c r="B59" s="4" t="inlineStr">
        <is>
          <t>SACOM 8/2014</t>
        </is>
      </c>
      <c r="C59" s="4" t="n">
        <v>7</v>
      </c>
      <c r="D59" s="4" t="inlineStr">
        <is>
          <t>xanh dương</t>
        </is>
      </c>
      <c r="E59" s="4" t="inlineStr">
        <is>
          <t>trống/chưa rõ</t>
        </is>
      </c>
      <c r="F59" s="4" t="inlineStr"/>
      <c r="G59" s="4" t="inlineStr"/>
      <c r="H59" s="4" t="inlineStr"/>
    </row>
    <row r="60">
      <c r="A60" s="4" t="inlineStr">
        <is>
          <t>C02</t>
        </is>
      </c>
      <c r="B60" s="4" t="inlineStr">
        <is>
          <t>SACOM 8/2014</t>
        </is>
      </c>
      <c r="C60" s="4" t="n">
        <v>8</v>
      </c>
      <c r="D60" s="4" t="inlineStr">
        <is>
          <t>cam</t>
        </is>
      </c>
      <c r="E60" s="4" t="inlineStr">
        <is>
          <t>trống/chưa rõ</t>
        </is>
      </c>
      <c r="F60" s="4" t="inlineStr"/>
      <c r="G60" s="4" t="inlineStr"/>
      <c r="H60" s="4" t="inlineStr"/>
    </row>
    <row r="61">
      <c r="A61" s="4" t="inlineStr">
        <is>
          <t>C02</t>
        </is>
      </c>
      <c r="B61" s="4" t="inlineStr">
        <is>
          <t>SACOM 8/2014</t>
        </is>
      </c>
      <c r="C61" s="4" t="n">
        <v>9</v>
      </c>
      <c r="D61" s="4" t="inlineStr">
        <is>
          <t>xanh lá</t>
        </is>
      </c>
      <c r="E61" s="4" t="inlineStr">
        <is>
          <t>trống/chưa rõ</t>
        </is>
      </c>
      <c r="F61" s="4" t="inlineStr"/>
      <c r="G61" s="4" t="inlineStr"/>
      <c r="H61" s="4" t="inlineStr"/>
    </row>
    <row r="62">
      <c r="A62" s="4" t="inlineStr">
        <is>
          <t>C02</t>
        </is>
      </c>
      <c r="B62" s="4" t="inlineStr">
        <is>
          <t>SACOM 8/2014</t>
        </is>
      </c>
      <c r="C62" s="4" t="n">
        <v>10</v>
      </c>
      <c r="D62" s="4" t="inlineStr">
        <is>
          <t>nâu</t>
        </is>
      </c>
      <c r="E62" s="4" t="inlineStr">
        <is>
          <t>trống/chưa rõ</t>
        </is>
      </c>
      <c r="F62" s="4" t="inlineStr"/>
      <c r="G62" s="4" t="inlineStr"/>
      <c r="H62" s="4" t="inlineStr"/>
    </row>
    <row r="63">
      <c r="A63" s="4" t="inlineStr">
        <is>
          <t>C02</t>
        </is>
      </c>
      <c r="B63" s="4" t="inlineStr">
        <is>
          <t>SACOM 8/2014</t>
        </is>
      </c>
      <c r="C63" s="4" t="n">
        <v>11</v>
      </c>
      <c r="D63" s="4" t="inlineStr">
        <is>
          <t>xám</t>
        </is>
      </c>
      <c r="E63" s="4" t="inlineStr">
        <is>
          <t>trống/chưa rõ</t>
        </is>
      </c>
      <c r="F63" s="4" t="inlineStr"/>
      <c r="G63" s="4" t="inlineStr"/>
      <c r="H63" s="4" t="inlineStr"/>
    </row>
    <row r="64">
      <c r="A64" s="4" t="inlineStr">
        <is>
          <t>C02</t>
        </is>
      </c>
      <c r="B64" s="4" t="inlineStr">
        <is>
          <t>SACOM 8/2014</t>
        </is>
      </c>
      <c r="C64" s="4" t="n">
        <v>12</v>
      </c>
      <c r="D64" s="4" t="inlineStr">
        <is>
          <t>trắng</t>
        </is>
      </c>
      <c r="E64" s="4" t="inlineStr">
        <is>
          <t>trống/chưa rõ</t>
        </is>
      </c>
      <c r="F64" s="4" t="inlineStr"/>
      <c r="G64" s="4" t="inlineStr"/>
      <c r="H64" s="4" t="inlineStr"/>
    </row>
    <row r="65">
      <c r="A65" s="4" t="inlineStr">
        <is>
          <t>C03</t>
        </is>
      </c>
      <c r="B65" s="4" t="inlineStr">
        <is>
          <t>FOCAL 9/2020 (vào HNB054)</t>
        </is>
      </c>
      <c r="C65" s="4" t="n">
        <v>1</v>
      </c>
      <c r="D65" s="4" t="inlineStr">
        <is>
          <t>xanh dương</t>
        </is>
      </c>
      <c r="E65" s="16" t="inlineStr">
        <is>
          <t>dùng R2-01</t>
        </is>
      </c>
      <c r="F65" s="4" t="inlineStr"/>
      <c r="G65" s="4" t="inlineStr"/>
      <c r="H65" s="4" t="inlineStr">
        <is>
          <t>R2-01</t>
        </is>
      </c>
    </row>
    <row r="66">
      <c r="A66" s="4" t="inlineStr">
        <is>
          <t>C03</t>
        </is>
      </c>
      <c r="B66" s="4" t="inlineStr">
        <is>
          <t>FOCAL 9/2020 (vào HNB054)</t>
        </is>
      </c>
      <c r="C66" s="4" t="n">
        <v>2</v>
      </c>
      <c r="D66" s="4" t="inlineStr">
        <is>
          <t>cam</t>
        </is>
      </c>
      <c r="E66" s="16" t="inlineStr">
        <is>
          <t>dùng R2-01</t>
        </is>
      </c>
      <c r="F66" s="4" t="inlineStr"/>
      <c r="G66" s="4" t="inlineStr"/>
      <c r="H66" s="4" t="inlineStr">
        <is>
          <t>R2-01</t>
        </is>
      </c>
    </row>
    <row r="67">
      <c r="A67" s="4" t="inlineStr">
        <is>
          <t>C03</t>
        </is>
      </c>
      <c r="B67" s="4" t="inlineStr">
        <is>
          <t>FOCAL 9/2020 (vào HNB054)</t>
        </is>
      </c>
      <c r="C67" s="4" t="n">
        <v>3</v>
      </c>
      <c r="D67" s="4" t="inlineStr">
        <is>
          <t>xanh lá</t>
        </is>
      </c>
      <c r="E67" s="16" t="inlineStr">
        <is>
          <t>dùng R2-02</t>
        </is>
      </c>
      <c r="F67" s="4" t="inlineStr"/>
      <c r="G67" s="4" t="inlineStr"/>
      <c r="H67" s="4" t="inlineStr">
        <is>
          <t>R2-02</t>
        </is>
      </c>
    </row>
    <row r="68">
      <c r="A68" s="4" t="inlineStr">
        <is>
          <t>C03</t>
        </is>
      </c>
      <c r="B68" s="4" t="inlineStr">
        <is>
          <t>FOCAL 9/2020 (vào HNB054)</t>
        </is>
      </c>
      <c r="C68" s="4" t="n">
        <v>4</v>
      </c>
      <c r="D68" s="4" t="inlineStr">
        <is>
          <t>nâu</t>
        </is>
      </c>
      <c r="E68" s="16" t="inlineStr">
        <is>
          <t>dùng R2-02</t>
        </is>
      </c>
      <c r="F68" s="4" t="inlineStr"/>
      <c r="G68" s="4" t="inlineStr"/>
      <c r="H68" s="4" t="inlineStr">
        <is>
          <t>R2-02</t>
        </is>
      </c>
    </row>
    <row r="69">
      <c r="A69" s="4" t="inlineStr">
        <is>
          <t>C03</t>
        </is>
      </c>
      <c r="B69" s="4" t="inlineStr">
        <is>
          <t>FOCAL 9/2020 (vào HNB054)</t>
        </is>
      </c>
      <c r="C69" s="4" t="n">
        <v>5</v>
      </c>
      <c r="D69" s="4" t="inlineStr">
        <is>
          <t>xám</t>
        </is>
      </c>
      <c r="E69" s="4" t="inlineStr">
        <is>
          <t>trống/chưa rõ</t>
        </is>
      </c>
      <c r="F69" s="4" t="inlineStr"/>
      <c r="G69" s="4" t="inlineStr"/>
      <c r="H69" s="4" t="inlineStr"/>
    </row>
    <row r="70">
      <c r="A70" s="4" t="inlineStr">
        <is>
          <t>C03</t>
        </is>
      </c>
      <c r="B70" s="4" t="inlineStr">
        <is>
          <t>FOCAL 9/2020 (vào HNB054)</t>
        </is>
      </c>
      <c r="C70" s="4" t="n">
        <v>6</v>
      </c>
      <c r="D70" s="4" t="inlineStr">
        <is>
          <t>trắng</t>
        </is>
      </c>
      <c r="E70" s="4" t="inlineStr">
        <is>
          <t>trống/chưa rõ</t>
        </is>
      </c>
      <c r="F70" s="4" t="inlineStr"/>
      <c r="G70" s="4" t="inlineStr"/>
      <c r="H70" s="4" t="inlineStr"/>
    </row>
    <row r="71">
      <c r="A71" s="4" t="inlineStr">
        <is>
          <t>C03</t>
        </is>
      </c>
      <c r="B71" s="4" t="inlineStr">
        <is>
          <t>FOCAL 9/2020 (vào HNB054)</t>
        </is>
      </c>
      <c r="C71" s="4" t="n">
        <v>7</v>
      </c>
      <c r="D71" s="4" t="inlineStr">
        <is>
          <t>xanh dương</t>
        </is>
      </c>
      <c r="E71" s="4" t="inlineStr">
        <is>
          <t>trống/chưa rõ</t>
        </is>
      </c>
      <c r="F71" s="4" t="inlineStr"/>
      <c r="G71" s="4" t="inlineStr"/>
      <c r="H71" s="4" t="inlineStr"/>
    </row>
    <row r="72">
      <c r="A72" s="4" t="inlineStr">
        <is>
          <t>C03</t>
        </is>
      </c>
      <c r="B72" s="4" t="inlineStr">
        <is>
          <t>FOCAL 9/2020 (vào HNB054)</t>
        </is>
      </c>
      <c r="C72" s="4" t="n">
        <v>8</v>
      </c>
      <c r="D72" s="4" t="inlineStr">
        <is>
          <t>cam</t>
        </is>
      </c>
      <c r="E72" s="4" t="inlineStr">
        <is>
          <t>trống/chưa rõ</t>
        </is>
      </c>
      <c r="F72" s="4" t="inlineStr"/>
      <c r="G72" s="4" t="inlineStr"/>
      <c r="H72" s="4" t="inlineStr"/>
    </row>
    <row r="73">
      <c r="A73" s="4" t="inlineStr">
        <is>
          <t>C03</t>
        </is>
      </c>
      <c r="B73" s="4" t="inlineStr">
        <is>
          <t>FOCAL 9/2020 (vào HNB054)</t>
        </is>
      </c>
      <c r="C73" s="4" t="n">
        <v>9</v>
      </c>
      <c r="D73" s="4" t="inlineStr">
        <is>
          <t>xanh lá</t>
        </is>
      </c>
      <c r="E73" s="4" t="inlineStr">
        <is>
          <t>trống/chưa rõ</t>
        </is>
      </c>
      <c r="F73" s="4" t="inlineStr"/>
      <c r="G73" s="4" t="inlineStr"/>
      <c r="H73" s="4" t="inlineStr"/>
    </row>
    <row r="74">
      <c r="A74" s="4" t="inlineStr">
        <is>
          <t>C03</t>
        </is>
      </c>
      <c r="B74" s="4" t="inlineStr">
        <is>
          <t>FOCAL 9/2020 (vào HNB054)</t>
        </is>
      </c>
      <c r="C74" s="4" t="n">
        <v>10</v>
      </c>
      <c r="D74" s="4" t="inlineStr">
        <is>
          <t>nâu</t>
        </is>
      </c>
      <c r="E74" s="4" t="inlineStr">
        <is>
          <t>trống/chưa rõ</t>
        </is>
      </c>
      <c r="F74" s="4" t="inlineStr"/>
      <c r="G74" s="4" t="inlineStr"/>
      <c r="H74" s="4" t="inlineStr"/>
    </row>
    <row r="75">
      <c r="A75" s="4" t="inlineStr">
        <is>
          <t>C03</t>
        </is>
      </c>
      <c r="B75" s="4" t="inlineStr">
        <is>
          <t>FOCAL 9/2020 (vào HNB054)</t>
        </is>
      </c>
      <c r="C75" s="4" t="n">
        <v>11</v>
      </c>
      <c r="D75" s="4" t="inlineStr">
        <is>
          <t>xám</t>
        </is>
      </c>
      <c r="E75" s="4" t="inlineStr">
        <is>
          <t>trống/chưa rõ</t>
        </is>
      </c>
      <c r="F75" s="4" t="inlineStr"/>
      <c r="G75" s="4" t="inlineStr"/>
      <c r="H75" s="4" t="inlineStr"/>
    </row>
    <row r="76">
      <c r="A76" s="4" t="inlineStr">
        <is>
          <t>C03</t>
        </is>
      </c>
      <c r="B76" s="4" t="inlineStr">
        <is>
          <t>FOCAL 9/2020 (vào HNB054)</t>
        </is>
      </c>
      <c r="C76" s="4" t="n">
        <v>12</v>
      </c>
      <c r="D76" s="4" t="inlineStr">
        <is>
          <t>trắng</t>
        </is>
      </c>
      <c r="E76" s="4" t="inlineStr">
        <is>
          <t>trống/chưa rõ</t>
        </is>
      </c>
      <c r="F76" s="4" t="inlineStr"/>
      <c r="G76" s="4" t="inlineStr"/>
      <c r="H76" s="4" t="inlineStr"/>
    </row>
    <row r="77">
      <c r="A77" s="4" t="inlineStr">
        <is>
          <t>C04</t>
        </is>
      </c>
      <c r="B77" s="4" t="inlineStr">
        <is>
          <t>FOCAL 9/2020 trục (gồm 175 m ngầm)</t>
        </is>
      </c>
      <c r="C77" s="4" t="n">
        <v>1</v>
      </c>
      <c r="D77" s="4" t="inlineStr">
        <is>
          <t>xanh dương</t>
        </is>
      </c>
      <c r="E77" s="16" t="inlineStr">
        <is>
          <t>dùng R2-02</t>
        </is>
      </c>
      <c r="F77" s="4" t="inlineStr">
        <is>
          <t>MX_NVT_02A: A</t>
        </is>
      </c>
      <c r="G77" s="4" t="inlineStr"/>
      <c r="H77" s="4" t="inlineStr">
        <is>
          <t>R2-02</t>
        </is>
      </c>
    </row>
    <row r="78">
      <c r="A78" s="4" t="inlineStr">
        <is>
          <t>C04</t>
        </is>
      </c>
      <c r="B78" s="4" t="inlineStr">
        <is>
          <t>FOCAL 9/2020 trục (gồm 175 m ngầm)</t>
        </is>
      </c>
      <c r="C78" s="4" t="n">
        <v>2</v>
      </c>
      <c r="D78" s="4" t="inlineStr">
        <is>
          <t>cam</t>
        </is>
      </c>
      <c r="E78" s="16" t="inlineStr">
        <is>
          <t>dùng R2-02</t>
        </is>
      </c>
      <c r="F78" s="4" t="inlineStr">
        <is>
          <t>MX_NVT_02A: A</t>
        </is>
      </c>
      <c r="G78" s="4" t="inlineStr"/>
      <c r="H78" s="4" t="inlineStr">
        <is>
          <t>R2-02</t>
        </is>
      </c>
    </row>
    <row r="79">
      <c r="A79" s="4" t="inlineStr">
        <is>
          <t>C04</t>
        </is>
      </c>
      <c r="B79" s="4" t="inlineStr">
        <is>
          <t>FOCAL 9/2020 trục (gồm 175 m ngầm)</t>
        </is>
      </c>
      <c r="C79" s="4" t="n">
        <v>3</v>
      </c>
      <c r="D79" s="4" t="inlineStr">
        <is>
          <t>xanh lá</t>
        </is>
      </c>
      <c r="E79" s="16" t="inlineStr">
        <is>
          <t>dùng R1-01</t>
        </is>
      </c>
      <c r="F79" s="4" t="inlineStr">
        <is>
          <t>MX_NVT_02A: B</t>
        </is>
      </c>
      <c r="G79" s="4" t="inlineStr"/>
      <c r="H79" s="4" t="inlineStr">
        <is>
          <t>R1-01</t>
        </is>
      </c>
    </row>
    <row r="80">
      <c r="A80" s="4" t="inlineStr">
        <is>
          <t>C04</t>
        </is>
      </c>
      <c r="B80" s="4" t="inlineStr">
        <is>
          <t>FOCAL 9/2020 trục (gồm 175 m ngầm)</t>
        </is>
      </c>
      <c r="C80" s="4" t="n">
        <v>4</v>
      </c>
      <c r="D80" s="4" t="inlineStr">
        <is>
          <t>nâu</t>
        </is>
      </c>
      <c r="E80" s="16" t="inlineStr">
        <is>
          <t>dùng R1-01</t>
        </is>
      </c>
      <c r="F80" s="4" t="inlineStr">
        <is>
          <t>MX_NVT_02A: B</t>
        </is>
      </c>
      <c r="G80" s="4" t="inlineStr"/>
      <c r="H80" s="4" t="inlineStr">
        <is>
          <t>R1-01</t>
        </is>
      </c>
    </row>
    <row r="81">
      <c r="A81" s="4" t="inlineStr">
        <is>
          <t>C04</t>
        </is>
      </c>
      <c r="B81" s="4" t="inlineStr">
        <is>
          <t>FOCAL 9/2020 trục (gồm 175 m ngầm)</t>
        </is>
      </c>
      <c r="C81" s="4" t="n">
        <v>5</v>
      </c>
      <c r="D81" s="4" t="inlineStr">
        <is>
          <t>xám</t>
        </is>
      </c>
      <c r="E81" s="4" t="inlineStr">
        <is>
          <t>trống/chưa rõ</t>
        </is>
      </c>
      <c r="F81" s="4" t="inlineStr"/>
      <c r="G81" s="4" t="inlineStr"/>
      <c r="H81" s="4" t="inlineStr"/>
    </row>
    <row r="82">
      <c r="A82" s="4" t="inlineStr">
        <is>
          <t>C04</t>
        </is>
      </c>
      <c r="B82" s="4" t="inlineStr">
        <is>
          <t>FOCAL 9/2020 trục (gồm 175 m ngầm)</t>
        </is>
      </c>
      <c r="C82" s="4" t="n">
        <v>6</v>
      </c>
      <c r="D82" s="4" t="inlineStr">
        <is>
          <t>trắng</t>
        </is>
      </c>
      <c r="E82" s="4" t="inlineStr">
        <is>
          <t>trống/chưa rõ</t>
        </is>
      </c>
      <c r="F82" s="4" t="inlineStr"/>
      <c r="G82" s="4" t="inlineStr"/>
      <c r="H82" s="4" t="inlineStr"/>
    </row>
    <row r="83">
      <c r="A83" s="4" t="inlineStr">
        <is>
          <t>C04</t>
        </is>
      </c>
      <c r="B83" s="4" t="inlineStr">
        <is>
          <t>FOCAL 9/2020 trục (gồm 175 m ngầm)</t>
        </is>
      </c>
      <c r="C83" s="4" t="n">
        <v>7</v>
      </c>
      <c r="D83" s="4" t="inlineStr">
        <is>
          <t>xanh dương</t>
        </is>
      </c>
      <c r="E83" s="20" t="inlineStr">
        <is>
          <t>có nhãn, chưa gán link</t>
        </is>
      </c>
      <c r="F83" s="4" t="inlineStr">
        <is>
          <t>MX_NVT_02A: C</t>
        </is>
      </c>
      <c r="G83" s="4" t="inlineStr"/>
      <c r="H83" s="4" t="inlineStr"/>
    </row>
    <row r="84">
      <c r="A84" s="4" t="inlineStr">
        <is>
          <t>C04</t>
        </is>
      </c>
      <c r="B84" s="4" t="inlineStr">
        <is>
          <t>FOCAL 9/2020 trục (gồm 175 m ngầm)</t>
        </is>
      </c>
      <c r="C84" s="4" t="n">
        <v>8</v>
      </c>
      <c r="D84" s="4" t="inlineStr">
        <is>
          <t>cam</t>
        </is>
      </c>
      <c r="E84" s="20" t="inlineStr">
        <is>
          <t>có nhãn, chưa gán link</t>
        </is>
      </c>
      <c r="F84" s="4" t="inlineStr">
        <is>
          <t>MX_NVT_02A: C</t>
        </is>
      </c>
      <c r="G84" s="4" t="inlineStr"/>
      <c r="H84" s="4" t="inlineStr"/>
    </row>
    <row r="85">
      <c r="A85" s="4" t="inlineStr">
        <is>
          <t>C04</t>
        </is>
      </c>
      <c r="B85" s="4" t="inlineStr">
        <is>
          <t>FOCAL 9/2020 trục (gồm 175 m ngầm)</t>
        </is>
      </c>
      <c r="C85" s="4" t="n">
        <v>9</v>
      </c>
      <c r="D85" s="4" t="inlineStr">
        <is>
          <t>xanh lá</t>
        </is>
      </c>
      <c r="E85" s="20" t="inlineStr">
        <is>
          <t>có nhãn, chưa gán link</t>
        </is>
      </c>
      <c r="F85" s="4" t="inlineStr">
        <is>
          <t>MX_NVT_02A: C</t>
        </is>
      </c>
      <c r="G85" s="4" t="inlineStr">
        <is>
          <t>HNB066</t>
        </is>
      </c>
      <c r="H85" s="4" t="inlineStr"/>
    </row>
    <row r="86">
      <c r="A86" s="4" t="inlineStr">
        <is>
          <t>C04</t>
        </is>
      </c>
      <c r="B86" s="4" t="inlineStr">
        <is>
          <t>FOCAL 9/2020 trục (gồm 175 m ngầm)</t>
        </is>
      </c>
      <c r="C86" s="4" t="n">
        <v>10</v>
      </c>
      <c r="D86" s="4" t="inlineStr">
        <is>
          <t>nâu</t>
        </is>
      </c>
      <c r="E86" s="20" t="inlineStr">
        <is>
          <t>có nhãn, chưa gán link</t>
        </is>
      </c>
      <c r="F86" s="4" t="inlineStr">
        <is>
          <t>MX_NVT_02A: C</t>
        </is>
      </c>
      <c r="G86" s="4" t="inlineStr">
        <is>
          <t>HNB066</t>
        </is>
      </c>
      <c r="H86" s="4" t="inlineStr"/>
    </row>
    <row r="87">
      <c r="A87" s="4" t="inlineStr">
        <is>
          <t>C04</t>
        </is>
      </c>
      <c r="B87" s="4" t="inlineStr">
        <is>
          <t>FOCAL 9/2020 trục (gồm 175 m ngầm)</t>
        </is>
      </c>
      <c r="C87" s="4" t="n">
        <v>11</v>
      </c>
      <c r="D87" s="4" t="inlineStr">
        <is>
          <t>xám</t>
        </is>
      </c>
      <c r="E87" s="20" t="inlineStr">
        <is>
          <t>có nhãn, chưa gán link</t>
        </is>
      </c>
      <c r="F87" s="4" t="inlineStr">
        <is>
          <t>MX_NVT_02A: C</t>
        </is>
      </c>
      <c r="G87" s="4" t="inlineStr">
        <is>
          <t>HNB005</t>
        </is>
      </c>
      <c r="H87" s="4" t="inlineStr"/>
    </row>
    <row r="88">
      <c r="A88" s="4" t="inlineStr">
        <is>
          <t>C04</t>
        </is>
      </c>
      <c r="B88" s="4" t="inlineStr">
        <is>
          <t>FOCAL 9/2020 trục (gồm 175 m ngầm)</t>
        </is>
      </c>
      <c r="C88" s="4" t="n">
        <v>12</v>
      </c>
      <c r="D88" s="4" t="inlineStr">
        <is>
          <t>trắng</t>
        </is>
      </c>
      <c r="E88" s="20" t="inlineStr">
        <is>
          <t>có nhãn, chưa gán link</t>
        </is>
      </c>
      <c r="F88" s="4" t="inlineStr">
        <is>
          <t>MX_NVT_02A: C</t>
        </is>
      </c>
      <c r="G88" s="4" t="inlineStr">
        <is>
          <t>HNB005</t>
        </is>
      </c>
      <c r="H88" s="4" t="inlineStr"/>
    </row>
    <row r="89">
      <c r="A89" s="4" t="inlineStr">
        <is>
          <t>C05</t>
        </is>
      </c>
      <c r="B89" s="4" t="inlineStr">
        <is>
          <t>12FO vào HNB006</t>
        </is>
      </c>
      <c r="C89" s="4" t="n">
        <v>1</v>
      </c>
      <c r="D89" s="4" t="inlineStr">
        <is>
          <t>xanh dương</t>
        </is>
      </c>
      <c r="E89" s="16" t="inlineStr">
        <is>
          <t>dùng R2-02</t>
        </is>
      </c>
      <c r="F89" s="4" t="inlineStr">
        <is>
          <t>MX_NVT_02A: A</t>
        </is>
      </c>
      <c r="G89" s="4" t="inlineStr"/>
      <c r="H89" s="4" t="inlineStr">
        <is>
          <t>R2-02</t>
        </is>
      </c>
    </row>
    <row r="90">
      <c r="A90" s="4" t="inlineStr">
        <is>
          <t>C05</t>
        </is>
      </c>
      <c r="B90" s="4" t="inlineStr">
        <is>
          <t>12FO vào HNB006</t>
        </is>
      </c>
      <c r="C90" s="4" t="n">
        <v>2</v>
      </c>
      <c r="D90" s="4" t="inlineStr">
        <is>
          <t>cam</t>
        </is>
      </c>
      <c r="E90" s="16" t="inlineStr">
        <is>
          <t>dùng R2-02</t>
        </is>
      </c>
      <c r="F90" s="4" t="inlineStr">
        <is>
          <t>MX_NVT_02A: A</t>
        </is>
      </c>
      <c r="G90" s="4" t="inlineStr"/>
      <c r="H90" s="4" t="inlineStr">
        <is>
          <t>R2-02</t>
        </is>
      </c>
    </row>
    <row r="91">
      <c r="A91" s="4" t="inlineStr">
        <is>
          <t>C05</t>
        </is>
      </c>
      <c r="B91" s="4" t="inlineStr">
        <is>
          <t>12FO vào HNB006</t>
        </is>
      </c>
      <c r="C91" s="4" t="n">
        <v>3</v>
      </c>
      <c r="D91" s="4" t="inlineStr">
        <is>
          <t>xanh lá</t>
        </is>
      </c>
      <c r="E91" s="16" t="inlineStr">
        <is>
          <t>dùng R2-03</t>
        </is>
      </c>
      <c r="F91" s="4" t="inlineStr">
        <is>
          <t>MX_NVT_02A: D</t>
        </is>
      </c>
      <c r="G91" s="4" t="inlineStr"/>
      <c r="H91" s="4" t="inlineStr">
        <is>
          <t>R2-03</t>
        </is>
      </c>
    </row>
    <row r="92">
      <c r="A92" s="4" t="inlineStr">
        <is>
          <t>C05</t>
        </is>
      </c>
      <c r="B92" s="4" t="inlineStr">
        <is>
          <t>12FO vào HNB006</t>
        </is>
      </c>
      <c r="C92" s="4" t="n">
        <v>4</v>
      </c>
      <c r="D92" s="4" t="inlineStr">
        <is>
          <t>nâu</t>
        </is>
      </c>
      <c r="E92" s="16" t="inlineStr">
        <is>
          <t>dùng R2-03</t>
        </is>
      </c>
      <c r="F92" s="4" t="inlineStr">
        <is>
          <t>MX_NVT_02A: D</t>
        </is>
      </c>
      <c r="G92" s="4" t="inlineStr"/>
      <c r="H92" s="4" t="inlineStr">
        <is>
          <t>R2-03</t>
        </is>
      </c>
    </row>
    <row r="93">
      <c r="A93" s="4" t="inlineStr">
        <is>
          <t>C05</t>
        </is>
      </c>
      <c r="B93" s="4" t="inlineStr">
        <is>
          <t>12FO vào HNB006</t>
        </is>
      </c>
      <c r="C93" s="4" t="n">
        <v>5</v>
      </c>
      <c r="D93" s="4" t="inlineStr">
        <is>
          <t>xám</t>
        </is>
      </c>
      <c r="E93" s="4" t="inlineStr">
        <is>
          <t>trống/chưa rõ</t>
        </is>
      </c>
      <c r="F93" s="4" t="inlineStr"/>
      <c r="G93" s="4" t="inlineStr"/>
      <c r="H93" s="4" t="inlineStr"/>
    </row>
    <row r="94">
      <c r="A94" s="4" t="inlineStr">
        <is>
          <t>C05</t>
        </is>
      </c>
      <c r="B94" s="4" t="inlineStr">
        <is>
          <t>12FO vào HNB006</t>
        </is>
      </c>
      <c r="C94" s="4" t="n">
        <v>6</v>
      </c>
      <c r="D94" s="4" t="inlineStr">
        <is>
          <t>trắng</t>
        </is>
      </c>
      <c r="E94" s="4" t="inlineStr">
        <is>
          <t>trống/chưa rõ</t>
        </is>
      </c>
      <c r="F94" s="4" t="inlineStr"/>
      <c r="G94" s="4" t="inlineStr"/>
      <c r="H94" s="4" t="inlineStr"/>
    </row>
    <row r="95">
      <c r="A95" s="4" t="inlineStr">
        <is>
          <t>C05</t>
        </is>
      </c>
      <c r="B95" s="4" t="inlineStr">
        <is>
          <t>12FO vào HNB006</t>
        </is>
      </c>
      <c r="C95" s="4" t="n">
        <v>7</v>
      </c>
      <c r="D95" s="4" t="inlineStr">
        <is>
          <t>xanh dương</t>
        </is>
      </c>
      <c r="E95" s="4" t="inlineStr">
        <is>
          <t>trống/chưa rõ</t>
        </is>
      </c>
      <c r="F95" s="4" t="inlineStr"/>
      <c r="G95" s="4" t="inlineStr"/>
      <c r="H95" s="4" t="inlineStr"/>
    </row>
    <row r="96">
      <c r="A96" s="4" t="inlineStr">
        <is>
          <t>C05</t>
        </is>
      </c>
      <c r="B96" s="4" t="inlineStr">
        <is>
          <t>12FO vào HNB006</t>
        </is>
      </c>
      <c r="C96" s="4" t="n">
        <v>8</v>
      </c>
      <c r="D96" s="4" t="inlineStr">
        <is>
          <t>cam</t>
        </is>
      </c>
      <c r="E96" s="4" t="inlineStr">
        <is>
          <t>trống/chưa rõ</t>
        </is>
      </c>
      <c r="F96" s="4" t="inlineStr"/>
      <c r="G96" s="4" t="inlineStr"/>
      <c r="H96" s="4" t="inlineStr"/>
    </row>
    <row r="97">
      <c r="A97" s="4" t="inlineStr">
        <is>
          <t>C05</t>
        </is>
      </c>
      <c r="B97" s="4" t="inlineStr">
        <is>
          <t>12FO vào HNB006</t>
        </is>
      </c>
      <c r="C97" s="4" t="n">
        <v>9</v>
      </c>
      <c r="D97" s="4" t="inlineStr">
        <is>
          <t>xanh lá</t>
        </is>
      </c>
      <c r="E97" s="4" t="inlineStr">
        <is>
          <t>trống/chưa rõ</t>
        </is>
      </c>
      <c r="F97" s="4" t="inlineStr"/>
      <c r="G97" s="4" t="inlineStr"/>
      <c r="H97" s="4" t="inlineStr"/>
    </row>
    <row r="98">
      <c r="A98" s="4" t="inlineStr">
        <is>
          <t>C05</t>
        </is>
      </c>
      <c r="B98" s="4" t="inlineStr">
        <is>
          <t>12FO vào HNB006</t>
        </is>
      </c>
      <c r="C98" s="4" t="n">
        <v>10</v>
      </c>
      <c r="D98" s="4" t="inlineStr">
        <is>
          <t>nâu</t>
        </is>
      </c>
      <c r="E98" s="4" t="inlineStr">
        <is>
          <t>trống/chưa rõ</t>
        </is>
      </c>
      <c r="F98" s="4" t="inlineStr"/>
      <c r="G98" s="4" t="inlineStr"/>
      <c r="H98" s="4" t="inlineStr"/>
    </row>
    <row r="99">
      <c r="A99" s="4" t="inlineStr">
        <is>
          <t>C05</t>
        </is>
      </c>
      <c r="B99" s="4" t="inlineStr">
        <is>
          <t>12FO vào HNB006</t>
        </is>
      </c>
      <c r="C99" s="4" t="n">
        <v>11</v>
      </c>
      <c r="D99" s="4" t="inlineStr">
        <is>
          <t>xám</t>
        </is>
      </c>
      <c r="E99" s="4" t="inlineStr">
        <is>
          <t>trống/chưa rõ</t>
        </is>
      </c>
      <c r="F99" s="4" t="inlineStr"/>
      <c r="G99" s="4" t="inlineStr"/>
      <c r="H99" s="4" t="inlineStr"/>
    </row>
    <row r="100">
      <c r="A100" s="4" t="inlineStr">
        <is>
          <t>C05</t>
        </is>
      </c>
      <c r="B100" s="4" t="inlineStr">
        <is>
          <t>12FO vào HNB006</t>
        </is>
      </c>
      <c r="C100" s="4" t="n">
        <v>12</v>
      </c>
      <c r="D100" s="4" t="inlineStr">
        <is>
          <t>trắng</t>
        </is>
      </c>
      <c r="E100" s="4" t="inlineStr">
        <is>
          <t>trống/chưa rõ</t>
        </is>
      </c>
      <c r="F100" s="4" t="inlineStr"/>
      <c r="G100" s="4" t="inlineStr"/>
      <c r="H100" s="4" t="inlineStr"/>
    </row>
    <row r="101">
      <c r="A101" s="4" t="inlineStr">
        <is>
          <t>C06</t>
        </is>
      </c>
      <c r="B101" s="4" t="inlineStr">
        <is>
          <t>12FO NVT_02A → NVT_03A</t>
        </is>
      </c>
      <c r="C101" s="4" t="n">
        <v>1</v>
      </c>
      <c r="D101" s="4" t="inlineStr">
        <is>
          <t>xanh dương</t>
        </is>
      </c>
      <c r="E101" s="21" t="inlineStr">
        <is>
          <t>HƯ</t>
        </is>
      </c>
      <c r="F101" s="4" t="inlineStr">
        <is>
          <t>MX_NVT_02A: HƯ</t>
        </is>
      </c>
      <c r="G101" s="4" t="inlineStr"/>
      <c r="H101" s="4" t="inlineStr"/>
    </row>
    <row r="102">
      <c r="A102" s="4" t="inlineStr">
        <is>
          <t>C06</t>
        </is>
      </c>
      <c r="B102" s="4" t="inlineStr">
        <is>
          <t>12FO NVT_02A → NVT_03A</t>
        </is>
      </c>
      <c r="C102" s="4" t="n">
        <v>2</v>
      </c>
      <c r="D102" s="4" t="inlineStr">
        <is>
          <t>cam</t>
        </is>
      </c>
      <c r="E102" s="16" t="inlineStr">
        <is>
          <t>dùng R2-03</t>
        </is>
      </c>
      <c r="F102" s="4" t="inlineStr">
        <is>
          <t>MX_NVT_02A: D</t>
        </is>
      </c>
      <c r="G102" s="4" t="inlineStr"/>
      <c r="H102" s="4" t="inlineStr">
        <is>
          <t>R2-03</t>
        </is>
      </c>
    </row>
    <row r="103">
      <c r="A103" s="4" t="inlineStr">
        <is>
          <t>C06</t>
        </is>
      </c>
      <c r="B103" s="4" t="inlineStr">
        <is>
          <t>12FO NVT_02A → NVT_03A</t>
        </is>
      </c>
      <c r="C103" s="4" t="n">
        <v>3</v>
      </c>
      <c r="D103" s="4" t="inlineStr">
        <is>
          <t>xanh lá</t>
        </is>
      </c>
      <c r="E103" s="16" t="inlineStr">
        <is>
          <t>dùng R1-01</t>
        </is>
      </c>
      <c r="F103" s="4" t="inlineStr">
        <is>
          <t>MX_NVT_02A: B</t>
        </is>
      </c>
      <c r="G103" s="4" t="inlineStr"/>
      <c r="H103" s="4" t="inlineStr">
        <is>
          <t>R1-01</t>
        </is>
      </c>
    </row>
    <row r="104">
      <c r="A104" s="4" t="inlineStr">
        <is>
          <t>C06</t>
        </is>
      </c>
      <c r="B104" s="4" t="inlineStr">
        <is>
          <t>12FO NVT_02A → NVT_03A</t>
        </is>
      </c>
      <c r="C104" s="4" t="n">
        <v>4</v>
      </c>
      <c r="D104" s="4" t="inlineStr">
        <is>
          <t>nâu</t>
        </is>
      </c>
      <c r="E104" s="16" t="inlineStr">
        <is>
          <t>dùng R1-01</t>
        </is>
      </c>
      <c r="F104" s="4" t="inlineStr">
        <is>
          <t>MX_NVT_02A: B</t>
        </is>
      </c>
      <c r="G104" s="4" t="inlineStr"/>
      <c r="H104" s="4" t="inlineStr">
        <is>
          <t>R1-01</t>
        </is>
      </c>
    </row>
    <row r="105">
      <c r="A105" s="4" t="inlineStr">
        <is>
          <t>C06</t>
        </is>
      </c>
      <c r="B105" s="4" t="inlineStr">
        <is>
          <t>12FO NVT_02A → NVT_03A</t>
        </is>
      </c>
      <c r="C105" s="4" t="n">
        <v>5</v>
      </c>
      <c r="D105" s="4" t="inlineStr">
        <is>
          <t>xám</t>
        </is>
      </c>
      <c r="E105" s="16" t="inlineStr">
        <is>
          <t>dùng R2-03</t>
        </is>
      </c>
      <c r="F105" s="4" t="inlineStr">
        <is>
          <t>MX_NVT_02A: D</t>
        </is>
      </c>
      <c r="G105" s="4" t="inlineStr"/>
      <c r="H105" s="4" t="inlineStr">
        <is>
          <t>R2-03</t>
        </is>
      </c>
    </row>
    <row r="106">
      <c r="A106" s="4" t="inlineStr">
        <is>
          <t>C06</t>
        </is>
      </c>
      <c r="B106" s="4" t="inlineStr">
        <is>
          <t>12FO NVT_02A → NVT_03A</t>
        </is>
      </c>
      <c r="C106" s="4" t="n">
        <v>6</v>
      </c>
      <c r="D106" s="4" t="inlineStr">
        <is>
          <t>trắng</t>
        </is>
      </c>
      <c r="E106" s="4" t="inlineStr">
        <is>
          <t>trống/chưa rõ</t>
        </is>
      </c>
      <c r="F106" s="4" t="inlineStr"/>
      <c r="G106" s="4" t="inlineStr"/>
      <c r="H106" s="4" t="inlineStr"/>
    </row>
    <row r="107">
      <c r="A107" s="4" t="inlineStr">
        <is>
          <t>C06</t>
        </is>
      </c>
      <c r="B107" s="4" t="inlineStr">
        <is>
          <t>12FO NVT_02A → NVT_03A</t>
        </is>
      </c>
      <c r="C107" s="4" t="n">
        <v>7</v>
      </c>
      <c r="D107" s="4" t="inlineStr">
        <is>
          <t>xanh dương</t>
        </is>
      </c>
      <c r="E107" s="4" t="inlineStr">
        <is>
          <t>trống/chưa rõ</t>
        </is>
      </c>
      <c r="F107" s="4" t="inlineStr"/>
      <c r="G107" s="4" t="inlineStr"/>
      <c r="H107" s="4" t="inlineStr"/>
    </row>
    <row r="108">
      <c r="A108" s="4" t="inlineStr">
        <is>
          <t>C06</t>
        </is>
      </c>
      <c r="B108" s="4" t="inlineStr">
        <is>
          <t>12FO NVT_02A → NVT_03A</t>
        </is>
      </c>
      <c r="C108" s="4" t="n">
        <v>8</v>
      </c>
      <c r="D108" s="4" t="inlineStr">
        <is>
          <t>cam</t>
        </is>
      </c>
      <c r="E108" s="4" t="inlineStr">
        <is>
          <t>trống/chưa rõ</t>
        </is>
      </c>
      <c r="F108" s="4" t="inlineStr"/>
      <c r="G108" s="4" t="inlineStr"/>
      <c r="H108" s="4" t="inlineStr"/>
    </row>
    <row r="109">
      <c r="A109" s="4" t="inlineStr">
        <is>
          <t>C06</t>
        </is>
      </c>
      <c r="B109" s="4" t="inlineStr">
        <is>
          <t>12FO NVT_02A → NVT_03A</t>
        </is>
      </c>
      <c r="C109" s="4" t="n">
        <v>9</v>
      </c>
      <c r="D109" s="4" t="inlineStr">
        <is>
          <t>xanh lá</t>
        </is>
      </c>
      <c r="E109" s="4" t="inlineStr">
        <is>
          <t>trống/chưa rõ</t>
        </is>
      </c>
      <c r="F109" s="4" t="inlineStr"/>
      <c r="G109" s="4" t="inlineStr"/>
      <c r="H109" s="4" t="inlineStr"/>
    </row>
    <row r="110">
      <c r="A110" s="4" t="inlineStr">
        <is>
          <t>C06</t>
        </is>
      </c>
      <c r="B110" s="4" t="inlineStr">
        <is>
          <t>12FO NVT_02A → NVT_03A</t>
        </is>
      </c>
      <c r="C110" s="4" t="n">
        <v>10</v>
      </c>
      <c r="D110" s="4" t="inlineStr">
        <is>
          <t>nâu</t>
        </is>
      </c>
      <c r="E110" s="4" t="inlineStr">
        <is>
          <t>trống/chưa rõ</t>
        </is>
      </c>
      <c r="F110" s="4" t="inlineStr"/>
      <c r="G110" s="4" t="inlineStr"/>
      <c r="H110" s="4" t="inlineStr"/>
    </row>
    <row r="111">
      <c r="A111" s="4" t="inlineStr">
        <is>
          <t>C06</t>
        </is>
      </c>
      <c r="B111" s="4" t="inlineStr">
        <is>
          <t>12FO NVT_02A → NVT_03A</t>
        </is>
      </c>
      <c r="C111" s="4" t="n">
        <v>11</v>
      </c>
      <c r="D111" s="4" t="inlineStr">
        <is>
          <t>xám</t>
        </is>
      </c>
      <c r="E111" s="4" t="inlineStr">
        <is>
          <t>trống/chưa rõ</t>
        </is>
      </c>
      <c r="F111" s="4" t="inlineStr"/>
      <c r="G111" s="4" t="inlineStr"/>
      <c r="H111" s="4" t="inlineStr"/>
    </row>
    <row r="112">
      <c r="A112" s="4" t="inlineStr">
        <is>
          <t>C06</t>
        </is>
      </c>
      <c r="B112" s="4" t="inlineStr">
        <is>
          <t>12FO NVT_02A → NVT_03A</t>
        </is>
      </c>
      <c r="C112" s="4" t="n">
        <v>12</v>
      </c>
      <c r="D112" s="4" t="inlineStr">
        <is>
          <t>trắng</t>
        </is>
      </c>
      <c r="E112" s="4" t="inlineStr">
        <is>
          <t>trống/chưa rõ</t>
        </is>
      </c>
      <c r="F112" s="4" t="inlineStr"/>
      <c r="G112" s="4" t="inlineStr"/>
      <c r="H112" s="4" t="inlineStr"/>
    </row>
    <row r="113">
      <c r="A113" s="4" t="inlineStr">
        <is>
          <t>C07</t>
        </is>
      </c>
      <c r="B113" s="4" t="inlineStr">
        <is>
          <t>FOCAL 2020 vào HNB091 (6FO #1)</t>
        </is>
      </c>
      <c r="C113" s="4" t="n">
        <v>1</v>
      </c>
      <c r="D113" s="4" t="inlineStr">
        <is>
          <t>xanh dương</t>
        </is>
      </c>
      <c r="E113" s="16" t="inlineStr">
        <is>
          <t>dùng R2-03</t>
        </is>
      </c>
      <c r="F113" s="4" t="inlineStr"/>
      <c r="G113" s="4" t="inlineStr"/>
      <c r="H113" s="4" t="inlineStr">
        <is>
          <t>R2-03</t>
        </is>
      </c>
    </row>
    <row r="114">
      <c r="A114" s="4" t="inlineStr">
        <is>
          <t>C07</t>
        </is>
      </c>
      <c r="B114" s="4" t="inlineStr">
        <is>
          <t>FOCAL 2020 vào HNB091 (6FO #1)</t>
        </is>
      </c>
      <c r="C114" s="4" t="n">
        <v>2</v>
      </c>
      <c r="D114" s="4" t="inlineStr">
        <is>
          <t>cam</t>
        </is>
      </c>
      <c r="E114" s="16" t="inlineStr">
        <is>
          <t>dùng R2-03</t>
        </is>
      </c>
      <c r="F114" s="4" t="inlineStr"/>
      <c r="G114" s="4" t="inlineStr"/>
      <c r="H114" s="4" t="inlineStr">
        <is>
          <t>R2-03</t>
        </is>
      </c>
    </row>
    <row r="115">
      <c r="A115" s="4" t="inlineStr">
        <is>
          <t>C07</t>
        </is>
      </c>
      <c r="B115" s="4" t="inlineStr">
        <is>
          <t>FOCAL 2020 vào HNB091 (6FO #1)</t>
        </is>
      </c>
      <c r="C115" s="4" t="n">
        <v>3</v>
      </c>
      <c r="D115" s="4" t="inlineStr">
        <is>
          <t>xanh lá</t>
        </is>
      </c>
      <c r="E115" s="4" t="inlineStr">
        <is>
          <t>trống/chưa rõ</t>
        </is>
      </c>
      <c r="F115" s="4" t="inlineStr"/>
      <c r="G115" s="4" t="inlineStr"/>
      <c r="H115" s="4" t="inlineStr"/>
    </row>
    <row r="116">
      <c r="A116" s="4" t="inlineStr">
        <is>
          <t>C07</t>
        </is>
      </c>
      <c r="B116" s="4" t="inlineStr">
        <is>
          <t>FOCAL 2020 vào HNB091 (6FO #1)</t>
        </is>
      </c>
      <c r="C116" s="4" t="n">
        <v>4</v>
      </c>
      <c r="D116" s="4" t="inlineStr">
        <is>
          <t>nâu</t>
        </is>
      </c>
      <c r="E116" s="4" t="inlineStr">
        <is>
          <t>trống/chưa rõ</t>
        </is>
      </c>
      <c r="F116" s="4" t="inlineStr"/>
      <c r="G116" s="4" t="inlineStr"/>
      <c r="H116" s="4" t="inlineStr"/>
    </row>
    <row r="117">
      <c r="A117" s="4" t="inlineStr">
        <is>
          <t>C07</t>
        </is>
      </c>
      <c r="B117" s="4" t="inlineStr">
        <is>
          <t>FOCAL 2020 vào HNB091 (6FO #1)</t>
        </is>
      </c>
      <c r="C117" s="4" t="n">
        <v>5</v>
      </c>
      <c r="D117" s="4" t="inlineStr">
        <is>
          <t>xám</t>
        </is>
      </c>
      <c r="E117" s="4" t="inlineStr">
        <is>
          <t>trống/chưa rõ</t>
        </is>
      </c>
      <c r="F117" s="4" t="inlineStr"/>
      <c r="G117" s="4" t="inlineStr"/>
      <c r="H117" s="4" t="inlineStr"/>
    </row>
    <row r="118">
      <c r="A118" s="4" t="inlineStr">
        <is>
          <t>C07</t>
        </is>
      </c>
      <c r="B118" s="4" t="inlineStr">
        <is>
          <t>FOCAL 2020 vào HNB091 (6FO #1)</t>
        </is>
      </c>
      <c r="C118" s="4" t="n">
        <v>6</v>
      </c>
      <c r="D118" s="4" t="inlineStr">
        <is>
          <t>trắng</t>
        </is>
      </c>
      <c r="E118" s="4" t="inlineStr">
        <is>
          <t>trống/chưa rõ</t>
        </is>
      </c>
      <c r="F118" s="4" t="inlineStr"/>
      <c r="G118" s="4" t="inlineStr"/>
      <c r="H118" s="4" t="inlineStr"/>
    </row>
    <row r="119">
      <c r="A119" s="4" t="inlineStr">
        <is>
          <t>C08</t>
        </is>
      </c>
      <c r="B119" s="4" t="inlineStr">
        <is>
          <t>FOCAL 2020 ra HNB091 (6FO #2)</t>
        </is>
      </c>
      <c r="C119" s="4" t="n">
        <v>1</v>
      </c>
      <c r="D119" s="4" t="inlineStr">
        <is>
          <t>xanh dương</t>
        </is>
      </c>
      <c r="E119" s="16" t="inlineStr">
        <is>
          <t>dùng R2-04</t>
        </is>
      </c>
      <c r="F119" s="4" t="inlineStr"/>
      <c r="G119" s="4" t="inlineStr"/>
      <c r="H119" s="4" t="inlineStr">
        <is>
          <t>R2-04</t>
        </is>
      </c>
    </row>
    <row r="120">
      <c r="A120" s="4" t="inlineStr">
        <is>
          <t>C08</t>
        </is>
      </c>
      <c r="B120" s="4" t="inlineStr">
        <is>
          <t>FOCAL 2020 ra HNB091 (6FO #2)</t>
        </is>
      </c>
      <c r="C120" s="4" t="n">
        <v>2</v>
      </c>
      <c r="D120" s="4" t="inlineStr">
        <is>
          <t>cam</t>
        </is>
      </c>
      <c r="E120" s="16" t="inlineStr">
        <is>
          <t>dùng R2-04</t>
        </is>
      </c>
      <c r="F120" s="4" t="inlineStr"/>
      <c r="G120" s="4" t="inlineStr"/>
      <c r="H120" s="4" t="inlineStr">
        <is>
          <t>R2-04</t>
        </is>
      </c>
    </row>
    <row r="121">
      <c r="A121" s="4" t="inlineStr">
        <is>
          <t>C08</t>
        </is>
      </c>
      <c r="B121" s="4" t="inlineStr">
        <is>
          <t>FOCAL 2020 ra HNB091 (6FO #2)</t>
        </is>
      </c>
      <c r="C121" s="4" t="n">
        <v>3</v>
      </c>
      <c r="D121" s="4" t="inlineStr">
        <is>
          <t>xanh lá</t>
        </is>
      </c>
      <c r="E121" s="4" t="inlineStr">
        <is>
          <t>trống/chưa rõ</t>
        </is>
      </c>
      <c r="F121" s="4" t="inlineStr"/>
      <c r="G121" s="4" t="inlineStr"/>
      <c r="H121" s="4" t="inlineStr"/>
    </row>
    <row r="122">
      <c r="A122" s="4" t="inlineStr">
        <is>
          <t>C08</t>
        </is>
      </c>
      <c r="B122" s="4" t="inlineStr">
        <is>
          <t>FOCAL 2020 ra HNB091 (6FO #2)</t>
        </is>
      </c>
      <c r="C122" s="4" t="n">
        <v>4</v>
      </c>
      <c r="D122" s="4" t="inlineStr">
        <is>
          <t>nâu</t>
        </is>
      </c>
      <c r="E122" s="4" t="inlineStr">
        <is>
          <t>trống/chưa rõ</t>
        </is>
      </c>
      <c r="F122" s="4" t="inlineStr"/>
      <c r="G122" s="4" t="inlineStr"/>
      <c r="H122" s="4" t="inlineStr"/>
    </row>
    <row r="123">
      <c r="A123" s="4" t="inlineStr">
        <is>
          <t>C08</t>
        </is>
      </c>
      <c r="B123" s="4" t="inlineStr">
        <is>
          <t>FOCAL 2020 ra HNB091 (6FO #2)</t>
        </is>
      </c>
      <c r="C123" s="4" t="n">
        <v>5</v>
      </c>
      <c r="D123" s="4" t="inlineStr">
        <is>
          <t>xám</t>
        </is>
      </c>
      <c r="E123" s="4" t="inlineStr">
        <is>
          <t>trống/chưa rõ</t>
        </is>
      </c>
      <c r="F123" s="4" t="inlineStr"/>
      <c r="G123" s="4" t="inlineStr"/>
      <c r="H123" s="4" t="inlineStr"/>
    </row>
    <row r="124">
      <c r="A124" s="4" t="inlineStr">
        <is>
          <t>C08</t>
        </is>
      </c>
      <c r="B124" s="4" t="inlineStr">
        <is>
          <t>FOCAL 2020 ra HNB091 (6FO #2)</t>
        </is>
      </c>
      <c r="C124" s="4" t="n">
        <v>6</v>
      </c>
      <c r="D124" s="4" t="inlineStr">
        <is>
          <t>trắng</t>
        </is>
      </c>
      <c r="E124" s="4" t="inlineStr">
        <is>
          <t>trống/chưa rõ</t>
        </is>
      </c>
      <c r="F124" s="4" t="inlineStr"/>
      <c r="G124" s="4" t="inlineStr"/>
      <c r="H124" s="4" t="inlineStr"/>
    </row>
    <row r="125">
      <c r="A125" s="4" t="inlineStr">
        <is>
          <t>C09</t>
        </is>
      </c>
      <c r="B125" s="4" t="inlineStr">
        <is>
          <t>12FO NVT_03B → NVT_02B</t>
        </is>
      </c>
      <c r="C125" s="4" t="n">
        <v>1</v>
      </c>
      <c r="D125" s="4" t="inlineStr">
        <is>
          <t>xanh dương</t>
        </is>
      </c>
      <c r="E125" s="16" t="inlineStr">
        <is>
          <t>dùng R2-04</t>
        </is>
      </c>
      <c r="F125" s="4" t="inlineStr">
        <is>
          <t>MX_NVT_02B: A</t>
        </is>
      </c>
      <c r="G125" s="4" t="inlineStr"/>
      <c r="H125" s="4" t="inlineStr">
        <is>
          <t>R2-04</t>
        </is>
      </c>
    </row>
    <row r="126">
      <c r="A126" s="4" t="inlineStr">
        <is>
          <t>C09</t>
        </is>
      </c>
      <c r="B126" s="4" t="inlineStr">
        <is>
          <t>12FO NVT_03B → NVT_02B</t>
        </is>
      </c>
      <c r="C126" s="4" t="n">
        <v>2</v>
      </c>
      <c r="D126" s="4" t="inlineStr">
        <is>
          <t>cam</t>
        </is>
      </c>
      <c r="E126" s="16" t="inlineStr">
        <is>
          <t>dùng R2-04</t>
        </is>
      </c>
      <c r="F126" s="4" t="inlineStr">
        <is>
          <t>MX_NVT_02B: A</t>
        </is>
      </c>
      <c r="G126" s="4" t="inlineStr"/>
      <c r="H126" s="4" t="inlineStr">
        <is>
          <t>R2-04</t>
        </is>
      </c>
    </row>
    <row r="127">
      <c r="A127" s="4" t="inlineStr">
        <is>
          <t>C09</t>
        </is>
      </c>
      <c r="B127" s="4" t="inlineStr">
        <is>
          <t>12FO NVT_03B → NVT_02B</t>
        </is>
      </c>
      <c r="C127" s="4" t="n">
        <v>3</v>
      </c>
      <c r="D127" s="4" t="inlineStr">
        <is>
          <t>xanh lá</t>
        </is>
      </c>
      <c r="E127" s="16" t="inlineStr">
        <is>
          <t>dùng R1-04</t>
        </is>
      </c>
      <c r="F127" s="4" t="inlineStr">
        <is>
          <t>MX_NVT_02B: B</t>
        </is>
      </c>
      <c r="G127" s="4" t="inlineStr"/>
      <c r="H127" s="4" t="inlineStr">
        <is>
          <t>R1-04</t>
        </is>
      </c>
    </row>
    <row r="128">
      <c r="A128" s="4" t="inlineStr">
        <is>
          <t>C09</t>
        </is>
      </c>
      <c r="B128" s="4" t="inlineStr">
        <is>
          <t>12FO NVT_03B → NVT_02B</t>
        </is>
      </c>
      <c r="C128" s="4" t="n">
        <v>4</v>
      </c>
      <c r="D128" s="4" t="inlineStr">
        <is>
          <t>nâu</t>
        </is>
      </c>
      <c r="E128" s="16" t="inlineStr">
        <is>
          <t>dùng R1-04</t>
        </is>
      </c>
      <c r="F128" s="4" t="inlineStr">
        <is>
          <t>MX_NVT_02B: B</t>
        </is>
      </c>
      <c r="G128" s="4" t="inlineStr"/>
      <c r="H128" s="4" t="inlineStr">
        <is>
          <t>R1-04</t>
        </is>
      </c>
    </row>
    <row r="129">
      <c r="A129" s="4" t="inlineStr">
        <is>
          <t>C09</t>
        </is>
      </c>
      <c r="B129" s="4" t="inlineStr">
        <is>
          <t>12FO NVT_03B → NVT_02B</t>
        </is>
      </c>
      <c r="C129" s="4" t="n">
        <v>5</v>
      </c>
      <c r="D129" s="4" t="inlineStr">
        <is>
          <t>xám</t>
        </is>
      </c>
      <c r="E129" s="4" t="inlineStr">
        <is>
          <t>trống/chưa rõ</t>
        </is>
      </c>
      <c r="F129" s="4" t="inlineStr"/>
      <c r="G129" s="4" t="inlineStr"/>
      <c r="H129" s="4" t="inlineStr"/>
    </row>
    <row r="130">
      <c r="A130" s="4" t="inlineStr">
        <is>
          <t>C09</t>
        </is>
      </c>
      <c r="B130" s="4" t="inlineStr">
        <is>
          <t>12FO NVT_03B → NVT_02B</t>
        </is>
      </c>
      <c r="C130" s="4" t="n">
        <v>6</v>
      </c>
      <c r="D130" s="4" t="inlineStr">
        <is>
          <t>trắng</t>
        </is>
      </c>
      <c r="E130" s="4" t="inlineStr">
        <is>
          <t>trống/chưa rõ</t>
        </is>
      </c>
      <c r="F130" s="4" t="inlineStr"/>
      <c r="G130" s="4" t="inlineStr"/>
      <c r="H130" s="4" t="inlineStr"/>
    </row>
    <row r="131">
      <c r="A131" s="4" t="inlineStr">
        <is>
          <t>C09</t>
        </is>
      </c>
      <c r="B131" s="4" t="inlineStr">
        <is>
          <t>12FO NVT_03B → NVT_02B</t>
        </is>
      </c>
      <c r="C131" s="4" t="n">
        <v>7</v>
      </c>
      <c r="D131" s="4" t="inlineStr">
        <is>
          <t>xanh dương</t>
        </is>
      </c>
      <c r="E131" s="4" t="inlineStr">
        <is>
          <t>trống/chưa rõ</t>
        </is>
      </c>
      <c r="F131" s="4" t="inlineStr"/>
      <c r="G131" s="4" t="inlineStr"/>
      <c r="H131" s="4" t="inlineStr"/>
    </row>
    <row r="132">
      <c r="A132" s="4" t="inlineStr">
        <is>
          <t>C09</t>
        </is>
      </c>
      <c r="B132" s="4" t="inlineStr">
        <is>
          <t>12FO NVT_03B → NVT_02B</t>
        </is>
      </c>
      <c r="C132" s="4" t="n">
        <v>8</v>
      </c>
      <c r="D132" s="4" t="inlineStr">
        <is>
          <t>cam</t>
        </is>
      </c>
      <c r="E132" s="4" t="inlineStr">
        <is>
          <t>trống/chưa rõ</t>
        </is>
      </c>
      <c r="F132" s="4" t="inlineStr"/>
      <c r="G132" s="4" t="inlineStr"/>
      <c r="H132" s="4" t="inlineStr"/>
    </row>
    <row r="133">
      <c r="A133" s="4" t="inlineStr">
        <is>
          <t>C09</t>
        </is>
      </c>
      <c r="B133" s="4" t="inlineStr">
        <is>
          <t>12FO NVT_03B → NVT_02B</t>
        </is>
      </c>
      <c r="C133" s="4" t="n">
        <v>9</v>
      </c>
      <c r="D133" s="4" t="inlineStr">
        <is>
          <t>xanh lá</t>
        </is>
      </c>
      <c r="E133" s="4" t="inlineStr">
        <is>
          <t>trống/chưa rõ</t>
        </is>
      </c>
      <c r="F133" s="4" t="inlineStr"/>
      <c r="G133" s="4" t="inlineStr"/>
      <c r="H133" s="4" t="inlineStr"/>
    </row>
    <row r="134">
      <c r="A134" s="4" t="inlineStr">
        <is>
          <t>C09</t>
        </is>
      </c>
      <c r="B134" s="4" t="inlineStr">
        <is>
          <t>12FO NVT_03B → NVT_02B</t>
        </is>
      </c>
      <c r="C134" s="4" t="n">
        <v>10</v>
      </c>
      <c r="D134" s="4" t="inlineStr">
        <is>
          <t>nâu</t>
        </is>
      </c>
      <c r="E134" s="4" t="inlineStr">
        <is>
          <t>trống/chưa rõ</t>
        </is>
      </c>
      <c r="F134" s="4" t="inlineStr"/>
      <c r="G134" s="4" t="inlineStr"/>
      <c r="H134" s="4" t="inlineStr"/>
    </row>
    <row r="135">
      <c r="A135" s="4" t="inlineStr">
        <is>
          <t>C09</t>
        </is>
      </c>
      <c r="B135" s="4" t="inlineStr">
        <is>
          <t>12FO NVT_03B → NVT_02B</t>
        </is>
      </c>
      <c r="C135" s="4" t="n">
        <v>11</v>
      </c>
      <c r="D135" s="4" t="inlineStr">
        <is>
          <t>xám</t>
        </is>
      </c>
      <c r="E135" s="4" t="inlineStr">
        <is>
          <t>trống/chưa rõ</t>
        </is>
      </c>
      <c r="F135" s="4" t="inlineStr"/>
      <c r="G135" s="4" t="inlineStr"/>
      <c r="H135" s="4" t="inlineStr"/>
    </row>
    <row r="136">
      <c r="A136" s="4" t="inlineStr">
        <is>
          <t>C09</t>
        </is>
      </c>
      <c r="B136" s="4" t="inlineStr">
        <is>
          <t>12FO NVT_03B → NVT_02B</t>
        </is>
      </c>
      <c r="C136" s="4" t="n">
        <v>12</v>
      </c>
      <c r="D136" s="4" t="inlineStr">
        <is>
          <t>trắng</t>
        </is>
      </c>
      <c r="E136" s="4" t="inlineStr">
        <is>
          <t>trống/chưa rõ</t>
        </is>
      </c>
      <c r="F136" s="4" t="inlineStr"/>
      <c r="G136" s="4" t="inlineStr"/>
      <c r="H136" s="4" t="inlineStr"/>
    </row>
    <row r="137">
      <c r="A137" s="4" t="inlineStr">
        <is>
          <t>C10</t>
        </is>
      </c>
      <c r="B137" s="4" t="inlineStr">
        <is>
          <t>TPKL 12FO trục NVT_02B → LVL-05 (qua MX thẳng nối dài)</t>
        </is>
      </c>
      <c r="C137" s="4" t="n">
        <v>1</v>
      </c>
      <c r="D137" s="4" t="inlineStr">
        <is>
          <t>xanh dương</t>
        </is>
      </c>
      <c r="E137" s="16" t="inlineStr">
        <is>
          <t>dùng R2-04</t>
        </is>
      </c>
      <c r="F137" s="4" t="inlineStr">
        <is>
          <t>MX_NVT_02B: A; MX_LVL-05: D</t>
        </is>
      </c>
      <c r="G137" s="4" t="inlineStr">
        <is>
          <t>HNB091</t>
        </is>
      </c>
      <c r="H137" s="4" t="inlineStr">
        <is>
          <t>R2-04</t>
        </is>
      </c>
    </row>
    <row r="138">
      <c r="A138" s="4" t="inlineStr">
        <is>
          <t>C10</t>
        </is>
      </c>
      <c r="B138" s="4" t="inlineStr">
        <is>
          <t>TPKL 12FO trục NVT_02B → LVL-05 (qua MX thẳng nối dài)</t>
        </is>
      </c>
      <c r="C138" s="4" t="n">
        <v>2</v>
      </c>
      <c r="D138" s="4" t="inlineStr">
        <is>
          <t>cam</t>
        </is>
      </c>
      <c r="E138" s="16" t="inlineStr">
        <is>
          <t>dùng R2-04</t>
        </is>
      </c>
      <c r="F138" s="4" t="inlineStr">
        <is>
          <t>MX_NVT_02B: A; MX_LVL-05: D</t>
        </is>
      </c>
      <c r="G138" s="4" t="inlineStr">
        <is>
          <t>HNB091</t>
        </is>
      </c>
      <c r="H138" s="4" t="inlineStr">
        <is>
          <t>R2-04</t>
        </is>
      </c>
    </row>
    <row r="139">
      <c r="A139" s="4" t="inlineStr">
        <is>
          <t>C10</t>
        </is>
      </c>
      <c r="B139" s="4" t="inlineStr">
        <is>
          <t>TPKL 12FO trục NVT_02B → LVL-05 (qua MX thẳng nối dài)</t>
        </is>
      </c>
      <c r="C139" s="4" t="n">
        <v>3</v>
      </c>
      <c r="D139" s="4" t="inlineStr">
        <is>
          <t>xanh lá</t>
        </is>
      </c>
      <c r="E139" s="16" t="inlineStr">
        <is>
          <t>dùng R1-04</t>
        </is>
      </c>
      <c r="F139" s="4" t="inlineStr">
        <is>
          <t>MX_NVT_02B: B; MX_LVL-05: D</t>
        </is>
      </c>
      <c r="G139" s="4" t="inlineStr">
        <is>
          <t>HNB048</t>
        </is>
      </c>
      <c r="H139" s="4" t="inlineStr">
        <is>
          <t>R1-04</t>
        </is>
      </c>
    </row>
    <row r="140">
      <c r="A140" s="4" t="inlineStr">
        <is>
          <t>C10</t>
        </is>
      </c>
      <c r="B140" s="4" t="inlineStr">
        <is>
          <t>TPKL 12FO trục NVT_02B → LVL-05 (qua MX thẳng nối dài)</t>
        </is>
      </c>
      <c r="C140" s="4" t="n">
        <v>4</v>
      </c>
      <c r="D140" s="4" t="inlineStr">
        <is>
          <t>nâu</t>
        </is>
      </c>
      <c r="E140" s="16" t="inlineStr">
        <is>
          <t>dùng R1-04</t>
        </is>
      </c>
      <c r="F140" s="4" t="inlineStr">
        <is>
          <t>MX_NVT_02B: B; MX_LVL-05: D</t>
        </is>
      </c>
      <c r="G140" s="4" t="inlineStr">
        <is>
          <t>HNB048</t>
        </is>
      </c>
      <c r="H140" s="4" t="inlineStr">
        <is>
          <t>R1-04</t>
        </is>
      </c>
    </row>
    <row r="141">
      <c r="A141" s="4" t="inlineStr">
        <is>
          <t>C10</t>
        </is>
      </c>
      <c r="B141" s="4" t="inlineStr">
        <is>
          <t>TPKL 12FO trục NVT_02B → LVL-05 (qua MX thẳng nối dài)</t>
        </is>
      </c>
      <c r="C141" s="4" t="n">
        <v>5</v>
      </c>
      <c r="D141" s="4" t="inlineStr">
        <is>
          <t>xám</t>
        </is>
      </c>
      <c r="E141" s="20" t="inlineStr">
        <is>
          <t>có nhãn, chưa gán link</t>
        </is>
      </c>
      <c r="F141" s="4" t="inlineStr">
        <is>
          <t>MX_LVL-05: D</t>
        </is>
      </c>
      <c r="G141" s="4" t="inlineStr"/>
      <c r="H141" s="4" t="inlineStr"/>
    </row>
    <row r="142">
      <c r="A142" s="4" t="inlineStr">
        <is>
          <t>C10</t>
        </is>
      </c>
      <c r="B142" s="4" t="inlineStr">
        <is>
          <t>TPKL 12FO trục NVT_02B → LVL-05 (qua MX thẳng nối dài)</t>
        </is>
      </c>
      <c r="C142" s="4" t="n">
        <v>6</v>
      </c>
      <c r="D142" s="4" t="inlineStr">
        <is>
          <t>trắng</t>
        </is>
      </c>
      <c r="E142" s="20" t="inlineStr">
        <is>
          <t>có nhãn, chưa gán link</t>
        </is>
      </c>
      <c r="F142" s="4" t="inlineStr">
        <is>
          <t>MX_LVL-05: D</t>
        </is>
      </c>
      <c r="G142" s="4" t="inlineStr"/>
      <c r="H142" s="4" t="inlineStr"/>
    </row>
    <row r="143">
      <c r="A143" s="4" t="inlineStr">
        <is>
          <t>C10</t>
        </is>
      </c>
      <c r="B143" s="4" t="inlineStr">
        <is>
          <t>TPKL 12FO trục NVT_02B → LVL-05 (qua MX thẳng nối dài)</t>
        </is>
      </c>
      <c r="C143" s="4" t="n">
        <v>7</v>
      </c>
      <c r="D143" s="4" t="inlineStr">
        <is>
          <t>xanh dương</t>
        </is>
      </c>
      <c r="E143" s="20" t="inlineStr">
        <is>
          <t>có nhãn, chưa gán link</t>
        </is>
      </c>
      <c r="F143" s="4" t="inlineStr">
        <is>
          <t>MX_NVT_02B: C; MX_LVL-05: C</t>
        </is>
      </c>
      <c r="G143" s="4" t="inlineStr"/>
      <c r="H143" s="4" t="inlineStr"/>
    </row>
    <row r="144">
      <c r="A144" s="4" t="inlineStr">
        <is>
          <t>C10</t>
        </is>
      </c>
      <c r="B144" s="4" t="inlineStr">
        <is>
          <t>TPKL 12FO trục NVT_02B → LVL-05 (qua MX thẳng nối dài)</t>
        </is>
      </c>
      <c r="C144" s="4" t="n">
        <v>8</v>
      </c>
      <c r="D144" s="4" t="inlineStr">
        <is>
          <t>cam</t>
        </is>
      </c>
      <c r="E144" s="20" t="inlineStr">
        <is>
          <t>có nhãn, chưa gán link</t>
        </is>
      </c>
      <c r="F144" s="4" t="inlineStr">
        <is>
          <t>MX_NVT_02B: C; MX_LVL-05: C</t>
        </is>
      </c>
      <c r="G144" s="4" t="inlineStr"/>
      <c r="H144" s="4" t="inlineStr"/>
    </row>
    <row r="145">
      <c r="A145" s="4" t="inlineStr">
        <is>
          <t>C10</t>
        </is>
      </c>
      <c r="B145" s="4" t="inlineStr">
        <is>
          <t>TPKL 12FO trục NVT_02B → LVL-05 (qua MX thẳng nối dài)</t>
        </is>
      </c>
      <c r="C145" s="4" t="n">
        <v>9</v>
      </c>
      <c r="D145" s="4" t="inlineStr">
        <is>
          <t>xanh lá</t>
        </is>
      </c>
      <c r="E145" s="20" t="inlineStr">
        <is>
          <t>có nhãn, chưa gán link</t>
        </is>
      </c>
      <c r="F145" s="4" t="inlineStr">
        <is>
          <t>MX_NVT_02B: C; MX_LVL-05: C</t>
        </is>
      </c>
      <c r="G145" s="4" t="inlineStr">
        <is>
          <t>HNB066</t>
        </is>
      </c>
      <c r="H145" s="4" t="inlineStr"/>
    </row>
    <row r="146">
      <c r="A146" s="4" t="inlineStr">
        <is>
          <t>C10</t>
        </is>
      </c>
      <c r="B146" s="4" t="inlineStr">
        <is>
          <t>TPKL 12FO trục NVT_02B → LVL-05 (qua MX thẳng nối dài)</t>
        </is>
      </c>
      <c r="C146" s="4" t="n">
        <v>10</v>
      </c>
      <c r="D146" s="4" t="inlineStr">
        <is>
          <t>nâu</t>
        </is>
      </c>
      <c r="E146" s="20" t="inlineStr">
        <is>
          <t>có nhãn, chưa gán link</t>
        </is>
      </c>
      <c r="F146" s="4" t="inlineStr">
        <is>
          <t>MX_NVT_02B: C; MX_LVL-05: C</t>
        </is>
      </c>
      <c r="G146" s="4" t="inlineStr">
        <is>
          <t>HNB066</t>
        </is>
      </c>
      <c r="H146" s="4" t="inlineStr"/>
    </row>
    <row r="147">
      <c r="A147" s="4" t="inlineStr">
        <is>
          <t>C10</t>
        </is>
      </c>
      <c r="B147" s="4" t="inlineStr">
        <is>
          <t>TPKL 12FO trục NVT_02B → LVL-05 (qua MX thẳng nối dài)</t>
        </is>
      </c>
      <c r="C147" s="4" t="n">
        <v>11</v>
      </c>
      <c r="D147" s="4" t="inlineStr">
        <is>
          <t>xám</t>
        </is>
      </c>
      <c r="E147" s="20" t="inlineStr">
        <is>
          <t>có nhãn, chưa gán link</t>
        </is>
      </c>
      <c r="F147" s="4" t="inlineStr">
        <is>
          <t>MX_NVT_02B: C; MX_LVL-05: C</t>
        </is>
      </c>
      <c r="G147" s="4" t="inlineStr">
        <is>
          <t>HNB005</t>
        </is>
      </c>
      <c r="H147" s="4" t="inlineStr"/>
    </row>
    <row r="148">
      <c r="A148" s="4" t="inlineStr">
        <is>
          <t>C10</t>
        </is>
      </c>
      <c r="B148" s="4" t="inlineStr">
        <is>
          <t>TPKL 12FO trục NVT_02B → LVL-05 (qua MX thẳng nối dài)</t>
        </is>
      </c>
      <c r="C148" s="4" t="n">
        <v>12</v>
      </c>
      <c r="D148" s="4" t="inlineStr">
        <is>
          <t>trắng</t>
        </is>
      </c>
      <c r="E148" s="20" t="inlineStr">
        <is>
          <t>có nhãn, chưa gán link</t>
        </is>
      </c>
      <c r="F148" s="4" t="inlineStr">
        <is>
          <t>MX_NVT_02B: C; MX_LVL-05: C</t>
        </is>
      </c>
      <c r="G148" s="4" t="inlineStr">
        <is>
          <t>HNB005</t>
        </is>
      </c>
      <c r="H148" s="4" t="inlineStr"/>
    </row>
    <row r="149">
      <c r="A149" s="4" t="inlineStr">
        <is>
          <t>C11</t>
        </is>
      </c>
      <c r="B149" s="4" t="inlineStr">
        <is>
          <t>TPKL POSTEF 11/2016</t>
        </is>
      </c>
      <c r="C149" s="4" t="n">
        <v>1</v>
      </c>
      <c r="D149" s="4" t="inlineStr">
        <is>
          <t>xanh dương</t>
        </is>
      </c>
      <c r="E149" s="20" t="inlineStr">
        <is>
          <t>có nhãn, chưa gán link</t>
        </is>
      </c>
      <c r="F149" s="4" t="inlineStr">
        <is>
          <t>MX_LVL-05: A; MX_NB-01: A</t>
        </is>
      </c>
      <c r="G149" s="4" t="inlineStr">
        <is>
          <t>HNB012</t>
        </is>
      </c>
      <c r="H149" s="4" t="inlineStr"/>
    </row>
    <row r="150">
      <c r="A150" s="4" t="inlineStr">
        <is>
          <t>C11</t>
        </is>
      </c>
      <c r="B150" s="4" t="inlineStr">
        <is>
          <t>TPKL POSTEF 11/2016</t>
        </is>
      </c>
      <c r="C150" s="4" t="n">
        <v>2</v>
      </c>
      <c r="D150" s="4" t="inlineStr">
        <is>
          <t>cam</t>
        </is>
      </c>
      <c r="E150" s="20" t="inlineStr">
        <is>
          <t>có nhãn, chưa gán link</t>
        </is>
      </c>
      <c r="F150" s="4" t="inlineStr">
        <is>
          <t>MX_LVL-05: A; MX_NB-01: A</t>
        </is>
      </c>
      <c r="G150" s="4" t="inlineStr">
        <is>
          <t>HNB012</t>
        </is>
      </c>
      <c r="H150" s="4" t="inlineStr"/>
    </row>
    <row r="151">
      <c r="A151" s="4" t="inlineStr">
        <is>
          <t>C11</t>
        </is>
      </c>
      <c r="B151" s="4" t="inlineStr">
        <is>
          <t>TPKL POSTEF 11/2016</t>
        </is>
      </c>
      <c r="C151" s="4" t="n">
        <v>3</v>
      </c>
      <c r="D151" s="4" t="inlineStr">
        <is>
          <t>xanh lá</t>
        </is>
      </c>
      <c r="E151" s="20" t="inlineStr">
        <is>
          <t>có nhãn, chưa gán link</t>
        </is>
      </c>
      <c r="F151" s="4" t="inlineStr">
        <is>
          <t>MX_LVL-05: A; MX_NB-01: ·</t>
        </is>
      </c>
      <c r="G151" s="4" t="inlineStr">
        <is>
          <t>HNB011</t>
        </is>
      </c>
      <c r="H151" s="4" t="inlineStr"/>
    </row>
    <row r="152">
      <c r="A152" s="4" t="inlineStr">
        <is>
          <t>C11</t>
        </is>
      </c>
      <c r="B152" s="4" t="inlineStr">
        <is>
          <t>TPKL POSTEF 11/2016</t>
        </is>
      </c>
      <c r="C152" s="4" t="n">
        <v>4</v>
      </c>
      <c r="D152" s="4" t="inlineStr">
        <is>
          <t>nâu</t>
        </is>
      </c>
      <c r="E152" s="20" t="inlineStr">
        <is>
          <t>có nhãn, chưa gán link</t>
        </is>
      </c>
      <c r="F152" s="4" t="inlineStr">
        <is>
          <t>MX_LVL-05: A; MX_NB-01: ·</t>
        </is>
      </c>
      <c r="G152" s="4" t="inlineStr">
        <is>
          <t>HNB011</t>
        </is>
      </c>
      <c r="H152" s="4" t="inlineStr"/>
    </row>
    <row r="153">
      <c r="A153" s="4" t="inlineStr">
        <is>
          <t>C11</t>
        </is>
      </c>
      <c r="B153" s="4" t="inlineStr">
        <is>
          <t>TPKL POSTEF 11/2016</t>
        </is>
      </c>
      <c r="C153" s="4" t="n">
        <v>5</v>
      </c>
      <c r="D153" s="4" t="inlineStr">
        <is>
          <t>xám</t>
        </is>
      </c>
      <c r="E153" s="20" t="inlineStr">
        <is>
          <t>có nhãn, chưa gán link</t>
        </is>
      </c>
      <c r="F153" s="4" t="inlineStr">
        <is>
          <t>MX_LVL-05: A; MX_NB-01: A</t>
        </is>
      </c>
      <c r="G153" s="4" t="inlineStr">
        <is>
          <t>HNB055</t>
        </is>
      </c>
      <c r="H153" s="4" t="inlineStr"/>
    </row>
    <row r="154">
      <c r="A154" s="4" t="inlineStr">
        <is>
          <t>C11</t>
        </is>
      </c>
      <c r="B154" s="4" t="inlineStr">
        <is>
          <t>TPKL POSTEF 11/2016</t>
        </is>
      </c>
      <c r="C154" s="4" t="n">
        <v>6</v>
      </c>
      <c r="D154" s="4" t="inlineStr">
        <is>
          <t>trắng</t>
        </is>
      </c>
      <c r="E154" s="20" t="inlineStr">
        <is>
          <t>có nhãn, chưa gán link</t>
        </is>
      </c>
      <c r="F154" s="4" t="inlineStr">
        <is>
          <t>MX_LVL-05: A; MX_NB-01: A</t>
        </is>
      </c>
      <c r="G154" s="4" t="inlineStr">
        <is>
          <t>HNB055</t>
        </is>
      </c>
      <c r="H154" s="4" t="inlineStr"/>
    </row>
    <row r="155">
      <c r="A155" s="4" t="inlineStr">
        <is>
          <t>C11</t>
        </is>
      </c>
      <c r="B155" s="4" t="inlineStr">
        <is>
          <t>TPKL POSTEF 11/2016</t>
        </is>
      </c>
      <c r="C155" s="4" t="n">
        <v>7</v>
      </c>
      <c r="D155" s="4" t="inlineStr">
        <is>
          <t>xanh dương</t>
        </is>
      </c>
      <c r="E155" s="20" t="inlineStr">
        <is>
          <t>có nhãn, chưa gán link</t>
        </is>
      </c>
      <c r="F155" s="4" t="inlineStr">
        <is>
          <t>MX_LVL-05: B; MX_NB-01: ·</t>
        </is>
      </c>
      <c r="G155" s="4" t="inlineStr">
        <is>
          <t>LACG43</t>
        </is>
      </c>
      <c r="H155" s="4" t="inlineStr"/>
    </row>
    <row r="156">
      <c r="A156" s="4" t="inlineStr">
        <is>
          <t>C11</t>
        </is>
      </c>
      <c r="B156" s="4" t="inlineStr">
        <is>
          <t>TPKL POSTEF 11/2016</t>
        </is>
      </c>
      <c r="C156" s="4" t="n">
        <v>8</v>
      </c>
      <c r="D156" s="4" t="inlineStr">
        <is>
          <t>cam</t>
        </is>
      </c>
      <c r="E156" s="20" t="inlineStr">
        <is>
          <t>có nhãn, chưa gán link</t>
        </is>
      </c>
      <c r="F156" s="4" t="inlineStr">
        <is>
          <t>MX_LVL-05: B; MX_NB-01: ·</t>
        </is>
      </c>
      <c r="G156" s="4" t="inlineStr">
        <is>
          <t>LACG43</t>
        </is>
      </c>
      <c r="H156" s="4" t="inlineStr"/>
    </row>
    <row r="157">
      <c r="A157" s="4" t="inlineStr">
        <is>
          <t>C11</t>
        </is>
      </c>
      <c r="B157" s="4" t="inlineStr">
        <is>
          <t>TPKL POSTEF 11/2016</t>
        </is>
      </c>
      <c r="C157" s="4" t="n">
        <v>9</v>
      </c>
      <c r="D157" s="4" t="inlineStr">
        <is>
          <t>xanh lá</t>
        </is>
      </c>
      <c r="E157" s="20" t="inlineStr">
        <is>
          <t>có nhãn, chưa gán link</t>
        </is>
      </c>
      <c r="F157" s="4" t="inlineStr">
        <is>
          <t>MX_LVL-05: B; MX_NB-01: A</t>
        </is>
      </c>
      <c r="G157" s="4" t="inlineStr"/>
      <c r="H157" s="4" t="inlineStr"/>
    </row>
    <row r="158">
      <c r="A158" s="4" t="inlineStr">
        <is>
          <t>C11</t>
        </is>
      </c>
      <c r="B158" s="4" t="inlineStr">
        <is>
          <t>TPKL POSTEF 11/2016</t>
        </is>
      </c>
      <c r="C158" s="4" t="n">
        <v>10</v>
      </c>
      <c r="D158" s="4" t="inlineStr">
        <is>
          <t>nâu</t>
        </is>
      </c>
      <c r="E158" s="20" t="inlineStr">
        <is>
          <t>có nhãn, chưa gán link</t>
        </is>
      </c>
      <c r="F158" s="4" t="inlineStr">
        <is>
          <t>MX_LVL-05: B; MX_NB-01: A</t>
        </is>
      </c>
      <c r="G158" s="4" t="inlineStr"/>
      <c r="H158" s="4" t="inlineStr"/>
    </row>
    <row r="159">
      <c r="A159" s="4" t="inlineStr">
        <is>
          <t>C11</t>
        </is>
      </c>
      <c r="B159" s="4" t="inlineStr">
        <is>
          <t>TPKL POSTEF 11/2016</t>
        </is>
      </c>
      <c r="C159" s="4" t="n">
        <v>11</v>
      </c>
      <c r="D159" s="4" t="inlineStr">
        <is>
          <t>xám</t>
        </is>
      </c>
      <c r="E159" s="20" t="inlineStr">
        <is>
          <t>có nhãn, chưa gán link</t>
        </is>
      </c>
      <c r="F159" s="4" t="inlineStr">
        <is>
          <t>MX_NB-01: A</t>
        </is>
      </c>
      <c r="G159" s="4" t="inlineStr"/>
      <c r="H159" s="4" t="inlineStr"/>
    </row>
    <row r="160">
      <c r="A160" s="4" t="inlineStr">
        <is>
          <t>C11</t>
        </is>
      </c>
      <c r="B160" s="4" t="inlineStr">
        <is>
          <t>TPKL POSTEF 11/2016</t>
        </is>
      </c>
      <c r="C160" s="4" t="n">
        <v>12</v>
      </c>
      <c r="D160" s="4" t="inlineStr">
        <is>
          <t>trắng</t>
        </is>
      </c>
      <c r="E160" s="20" t="inlineStr">
        <is>
          <t>có nhãn, chưa gán link</t>
        </is>
      </c>
      <c r="F160" s="4" t="inlineStr">
        <is>
          <t>MX_NB-01: A</t>
        </is>
      </c>
      <c r="G160" s="4" t="inlineStr"/>
      <c r="H160" s="4" t="inlineStr"/>
    </row>
    <row r="161">
      <c r="A161" s="4" t="inlineStr">
        <is>
          <t>C11</t>
        </is>
      </c>
      <c r="B161" s="4" t="inlineStr">
        <is>
          <t>TPKL POSTEF 11/2016</t>
        </is>
      </c>
      <c r="C161" s="4" t="n">
        <v>13</v>
      </c>
      <c r="D161" s="4" t="inlineStr">
        <is>
          <t>xanh dương</t>
        </is>
      </c>
      <c r="E161" s="20" t="inlineStr">
        <is>
          <t>có nhãn, chưa gán link</t>
        </is>
      </c>
      <c r="F161" s="4" t="inlineStr">
        <is>
          <t>MX_LVL-05: E; MX_NB-01: A</t>
        </is>
      </c>
      <c r="G161" s="4" t="inlineStr"/>
      <c r="H161" s="4" t="inlineStr"/>
    </row>
    <row r="162">
      <c r="A162" s="4" t="inlineStr">
        <is>
          <t>C11</t>
        </is>
      </c>
      <c r="B162" s="4" t="inlineStr">
        <is>
          <t>TPKL POSTEF 11/2016</t>
        </is>
      </c>
      <c r="C162" s="4" t="n">
        <v>14</v>
      </c>
      <c r="D162" s="4" t="inlineStr">
        <is>
          <t>cam</t>
        </is>
      </c>
      <c r="E162" s="20" t="inlineStr">
        <is>
          <t>có nhãn, chưa gán link</t>
        </is>
      </c>
      <c r="F162" s="4" t="inlineStr">
        <is>
          <t>MX_LVL-05: E; MX_NB-01: A</t>
        </is>
      </c>
      <c r="G162" s="4" t="inlineStr"/>
      <c r="H162" s="4" t="inlineStr"/>
    </row>
    <row r="163">
      <c r="A163" s="4" t="inlineStr">
        <is>
          <t>C11</t>
        </is>
      </c>
      <c r="B163" s="4" t="inlineStr">
        <is>
          <t>TPKL POSTEF 11/2016</t>
        </is>
      </c>
      <c r="C163" s="4" t="n">
        <v>15</v>
      </c>
      <c r="D163" s="4" t="inlineStr">
        <is>
          <t>xanh lá</t>
        </is>
      </c>
      <c r="E163" s="20" t="inlineStr">
        <is>
          <t>có nhãn, chưa gán link</t>
        </is>
      </c>
      <c r="F163" s="4" t="inlineStr">
        <is>
          <t>MX_LVL-05: E; MX_NB-01: A</t>
        </is>
      </c>
      <c r="G163" s="4" t="inlineStr"/>
      <c r="H163" s="4" t="inlineStr"/>
    </row>
    <row r="164">
      <c r="A164" s="4" t="inlineStr">
        <is>
          <t>C11</t>
        </is>
      </c>
      <c r="B164" s="4" t="inlineStr">
        <is>
          <t>TPKL POSTEF 11/2016</t>
        </is>
      </c>
      <c r="C164" s="4" t="n">
        <v>16</v>
      </c>
      <c r="D164" s="4" t="inlineStr">
        <is>
          <t>nâu</t>
        </is>
      </c>
      <c r="E164" s="20" t="inlineStr">
        <is>
          <t>có nhãn, chưa gán link</t>
        </is>
      </c>
      <c r="F164" s="4" t="inlineStr">
        <is>
          <t>MX_LVL-05: E; MX_NB-01: A</t>
        </is>
      </c>
      <c r="G164" s="4" t="inlineStr"/>
      <c r="H164" s="4" t="inlineStr"/>
    </row>
    <row r="165">
      <c r="A165" s="4" t="inlineStr">
        <is>
          <t>C11</t>
        </is>
      </c>
      <c r="B165" s="4" t="inlineStr">
        <is>
          <t>TPKL POSTEF 11/2016</t>
        </is>
      </c>
      <c r="C165" s="4" t="n">
        <v>17</v>
      </c>
      <c r="D165" s="4" t="inlineStr">
        <is>
          <t>xám</t>
        </is>
      </c>
      <c r="E165" s="20" t="inlineStr">
        <is>
          <t>có nhãn, chưa gán link</t>
        </is>
      </c>
      <c r="F165" s="4" t="inlineStr">
        <is>
          <t>MX_LVL-05: E</t>
        </is>
      </c>
      <c r="G165" s="4" t="inlineStr"/>
      <c r="H165" s="4" t="inlineStr"/>
    </row>
    <row r="166">
      <c r="A166" s="4" t="inlineStr">
        <is>
          <t>C11</t>
        </is>
      </c>
      <c r="B166" s="4" t="inlineStr">
        <is>
          <t>TPKL POSTEF 11/2016</t>
        </is>
      </c>
      <c r="C166" s="4" t="n">
        <v>18</v>
      </c>
      <c r="D166" s="4" t="inlineStr">
        <is>
          <t>trắng</t>
        </is>
      </c>
      <c r="E166" s="20" t="inlineStr">
        <is>
          <t>có nhãn, chưa gán link</t>
        </is>
      </c>
      <c r="F166" s="4" t="inlineStr">
        <is>
          <t>MX_LVL-05: E</t>
        </is>
      </c>
      <c r="G166" s="4" t="inlineStr"/>
      <c r="H166" s="4" t="inlineStr"/>
    </row>
    <row r="167">
      <c r="A167" s="4" t="inlineStr">
        <is>
          <t>C11</t>
        </is>
      </c>
      <c r="B167" s="4" t="inlineStr">
        <is>
          <t>TPKL POSTEF 11/2016</t>
        </is>
      </c>
      <c r="C167" s="4" t="n">
        <v>19</v>
      </c>
      <c r="D167" s="4" t="inlineStr">
        <is>
          <t>xanh dương</t>
        </is>
      </c>
      <c r="E167" s="16" t="inlineStr">
        <is>
          <t>dùng R2-04</t>
        </is>
      </c>
      <c r="F167" s="4" t="inlineStr">
        <is>
          <t>MX_LVL-05: D; MX_NB-01: B</t>
        </is>
      </c>
      <c r="G167" s="4" t="inlineStr">
        <is>
          <t>HNB091</t>
        </is>
      </c>
      <c r="H167" s="4" t="inlineStr">
        <is>
          <t>R2-04</t>
        </is>
      </c>
    </row>
    <row r="168">
      <c r="A168" s="4" t="inlineStr">
        <is>
          <t>C11</t>
        </is>
      </c>
      <c r="B168" s="4" t="inlineStr">
        <is>
          <t>TPKL POSTEF 11/2016</t>
        </is>
      </c>
      <c r="C168" s="4" t="n">
        <v>20</v>
      </c>
      <c r="D168" s="4" t="inlineStr">
        <is>
          <t>cam</t>
        </is>
      </c>
      <c r="E168" s="16" t="inlineStr">
        <is>
          <t>dùng R2-04</t>
        </is>
      </c>
      <c r="F168" s="4" t="inlineStr">
        <is>
          <t>MX_LVL-05: D; MX_NB-01: B</t>
        </is>
      </c>
      <c r="G168" s="4" t="inlineStr">
        <is>
          <t>HNB091</t>
        </is>
      </c>
      <c r="H168" s="4" t="inlineStr">
        <is>
          <t>R2-04</t>
        </is>
      </c>
    </row>
    <row r="169">
      <c r="A169" s="4" t="inlineStr">
        <is>
          <t>C11</t>
        </is>
      </c>
      <c r="B169" s="4" t="inlineStr">
        <is>
          <t>TPKL POSTEF 11/2016</t>
        </is>
      </c>
      <c r="C169" s="4" t="n">
        <v>21</v>
      </c>
      <c r="D169" s="4" t="inlineStr">
        <is>
          <t>xanh lá</t>
        </is>
      </c>
      <c r="E169" s="16" t="inlineStr">
        <is>
          <t>dùng R1-04</t>
        </is>
      </c>
      <c r="F169" s="4" t="inlineStr">
        <is>
          <t>MX_LVL-05: D; MX_NB-01: B</t>
        </is>
      </c>
      <c r="G169" s="4" t="inlineStr">
        <is>
          <t>HNB048</t>
        </is>
      </c>
      <c r="H169" s="4" t="inlineStr">
        <is>
          <t>R1-04</t>
        </is>
      </c>
    </row>
    <row r="170">
      <c r="A170" s="4" t="inlineStr">
        <is>
          <t>C11</t>
        </is>
      </c>
      <c r="B170" s="4" t="inlineStr">
        <is>
          <t>TPKL POSTEF 11/2016</t>
        </is>
      </c>
      <c r="C170" s="4" t="n">
        <v>22</v>
      </c>
      <c r="D170" s="4" t="inlineStr">
        <is>
          <t>nâu</t>
        </is>
      </c>
      <c r="E170" s="16" t="inlineStr">
        <is>
          <t>dùng R1-04</t>
        </is>
      </c>
      <c r="F170" s="4" t="inlineStr">
        <is>
          <t>MX_LVL-05: D; MX_NB-01: B</t>
        </is>
      </c>
      <c r="G170" s="4" t="inlineStr">
        <is>
          <t>HNB048</t>
        </is>
      </c>
      <c r="H170" s="4" t="inlineStr">
        <is>
          <t>R1-04</t>
        </is>
      </c>
    </row>
    <row r="171">
      <c r="A171" s="4" t="inlineStr">
        <is>
          <t>C11</t>
        </is>
      </c>
      <c r="B171" s="4" t="inlineStr">
        <is>
          <t>TPKL POSTEF 11/2016</t>
        </is>
      </c>
      <c r="C171" s="4" t="n">
        <v>23</v>
      </c>
      <c r="D171" s="4" t="inlineStr">
        <is>
          <t>xám</t>
        </is>
      </c>
      <c r="E171" s="20" t="inlineStr">
        <is>
          <t>có nhãn, chưa gán link</t>
        </is>
      </c>
      <c r="F171" s="4" t="inlineStr">
        <is>
          <t>MX_LVL-05: D; MX_NB-01: B</t>
        </is>
      </c>
      <c r="G171" s="4" t="inlineStr"/>
      <c r="H171" s="4" t="inlineStr"/>
    </row>
    <row r="172">
      <c r="A172" s="4" t="inlineStr">
        <is>
          <t>C11</t>
        </is>
      </c>
      <c r="B172" s="4" t="inlineStr">
        <is>
          <t>TPKL POSTEF 11/2016</t>
        </is>
      </c>
      <c r="C172" s="4" t="n">
        <v>24</v>
      </c>
      <c r="D172" s="4" t="inlineStr">
        <is>
          <t>trắng</t>
        </is>
      </c>
      <c r="E172" s="20" t="inlineStr">
        <is>
          <t>có nhãn, chưa gán link</t>
        </is>
      </c>
      <c r="F172" s="4" t="inlineStr">
        <is>
          <t>MX_LVL-05: D; MX_NB-01: B</t>
        </is>
      </c>
      <c r="G172" s="4" t="inlineStr"/>
      <c r="H172" s="4" t="inlineStr"/>
    </row>
    <row r="173">
      <c r="A173" s="4" t="inlineStr">
        <is>
          <t>C12</t>
        </is>
      </c>
      <c r="B173" s="4" t="inlineStr">
        <is>
          <t>12FO NB-01 → NB-02</t>
        </is>
      </c>
      <c r="C173" s="4" t="n">
        <v>1</v>
      </c>
      <c r="D173" s="4" t="inlineStr">
        <is>
          <t>xanh dương</t>
        </is>
      </c>
      <c r="E173" s="16" t="inlineStr">
        <is>
          <t>dùng R2-04</t>
        </is>
      </c>
      <c r="F173" s="4" t="inlineStr">
        <is>
          <t>MX_NB-01: B</t>
        </is>
      </c>
      <c r="G173" s="4" t="inlineStr">
        <is>
          <t>HNB091</t>
        </is>
      </c>
      <c r="H173" s="4" t="inlineStr">
        <is>
          <t>R2-04</t>
        </is>
      </c>
    </row>
    <row r="174">
      <c r="A174" s="4" t="inlineStr">
        <is>
          <t>C12</t>
        </is>
      </c>
      <c r="B174" s="4" t="inlineStr">
        <is>
          <t>12FO NB-01 → NB-02</t>
        </is>
      </c>
      <c r="C174" s="4" t="n">
        <v>2</v>
      </c>
      <c r="D174" s="4" t="inlineStr">
        <is>
          <t>cam</t>
        </is>
      </c>
      <c r="E174" s="16" t="inlineStr">
        <is>
          <t>dùng R2-04</t>
        </is>
      </c>
      <c r="F174" s="4" t="inlineStr">
        <is>
          <t>MX_NB-01: B</t>
        </is>
      </c>
      <c r="G174" s="4" t="inlineStr">
        <is>
          <t>HNB091</t>
        </is>
      </c>
      <c r="H174" s="4" t="inlineStr">
        <is>
          <t>R2-04</t>
        </is>
      </c>
    </row>
    <row r="175">
      <c r="A175" s="4" t="inlineStr">
        <is>
          <t>C12</t>
        </is>
      </c>
      <c r="B175" s="4" t="inlineStr">
        <is>
          <t>12FO NB-01 → NB-02</t>
        </is>
      </c>
      <c r="C175" s="4" t="n">
        <v>3</v>
      </c>
      <c r="D175" s="4" t="inlineStr">
        <is>
          <t>xanh lá</t>
        </is>
      </c>
      <c r="E175" s="16" t="inlineStr">
        <is>
          <t>dùng R1-04</t>
        </is>
      </c>
      <c r="F175" s="4" t="inlineStr">
        <is>
          <t>MX_NB-01: B</t>
        </is>
      </c>
      <c r="G175" s="4" t="inlineStr">
        <is>
          <t>HNB048</t>
        </is>
      </c>
      <c r="H175" s="4" t="inlineStr">
        <is>
          <t>R1-04</t>
        </is>
      </c>
    </row>
    <row r="176">
      <c r="A176" s="4" t="inlineStr">
        <is>
          <t>C12</t>
        </is>
      </c>
      <c r="B176" s="4" t="inlineStr">
        <is>
          <t>12FO NB-01 → NB-02</t>
        </is>
      </c>
      <c r="C176" s="4" t="n">
        <v>4</v>
      </c>
      <c r="D176" s="4" t="inlineStr">
        <is>
          <t>nâu</t>
        </is>
      </c>
      <c r="E176" s="16" t="inlineStr">
        <is>
          <t>dùng R1-04</t>
        </is>
      </c>
      <c r="F176" s="4" t="inlineStr">
        <is>
          <t>MX_NB-01: B</t>
        </is>
      </c>
      <c r="G176" s="4" t="inlineStr">
        <is>
          <t>HNB048</t>
        </is>
      </c>
      <c r="H176" s="4" t="inlineStr">
        <is>
          <t>R1-04</t>
        </is>
      </c>
    </row>
    <row r="177">
      <c r="A177" s="4" t="inlineStr">
        <is>
          <t>C12</t>
        </is>
      </c>
      <c r="B177" s="4" t="inlineStr">
        <is>
          <t>12FO NB-01 → NB-02</t>
        </is>
      </c>
      <c r="C177" s="4" t="n">
        <v>5</v>
      </c>
      <c r="D177" s="4" t="inlineStr">
        <is>
          <t>xám</t>
        </is>
      </c>
      <c r="E177" s="20" t="inlineStr">
        <is>
          <t>có nhãn, chưa gán link</t>
        </is>
      </c>
      <c r="F177" s="4" t="inlineStr">
        <is>
          <t>MX_NB-01: B</t>
        </is>
      </c>
      <c r="G177" s="4" t="inlineStr"/>
      <c r="H177" s="4" t="inlineStr"/>
    </row>
    <row r="178">
      <c r="A178" s="4" t="inlineStr">
        <is>
          <t>C12</t>
        </is>
      </c>
      <c r="B178" s="4" t="inlineStr">
        <is>
          <t>12FO NB-01 → NB-02</t>
        </is>
      </c>
      <c r="C178" s="4" t="n">
        <v>6</v>
      </c>
      <c r="D178" s="4" t="inlineStr">
        <is>
          <t>trắng</t>
        </is>
      </c>
      <c r="E178" s="20" t="inlineStr">
        <is>
          <t>có nhãn, chưa gán link</t>
        </is>
      </c>
      <c r="F178" s="4" t="inlineStr">
        <is>
          <t>MX_NB-01: B</t>
        </is>
      </c>
      <c r="G178" s="4" t="inlineStr"/>
      <c r="H178" s="4" t="inlineStr"/>
    </row>
    <row r="179">
      <c r="A179" s="4" t="inlineStr">
        <is>
          <t>C12</t>
        </is>
      </c>
      <c r="B179" s="4" t="inlineStr">
        <is>
          <t>12FO NB-01 → NB-02</t>
        </is>
      </c>
      <c r="C179" s="4" t="n">
        <v>7</v>
      </c>
      <c r="D179" s="4" t="inlineStr">
        <is>
          <t>xanh dương</t>
        </is>
      </c>
      <c r="E179" s="20" t="inlineStr">
        <is>
          <t>có nhãn, chưa gán link</t>
        </is>
      </c>
      <c r="F179" s="4" t="inlineStr">
        <is>
          <t>MX_NB-01: C</t>
        </is>
      </c>
      <c r="G179" s="4" t="inlineStr">
        <is>
          <t>HNB086</t>
        </is>
      </c>
      <c r="H179" s="4" t="inlineStr"/>
    </row>
    <row r="180">
      <c r="A180" s="4" t="inlineStr">
        <is>
          <t>C12</t>
        </is>
      </c>
      <c r="B180" s="4" t="inlineStr">
        <is>
          <t>12FO NB-01 → NB-02</t>
        </is>
      </c>
      <c r="C180" s="4" t="n">
        <v>8</v>
      </c>
      <c r="D180" s="4" t="inlineStr">
        <is>
          <t>cam</t>
        </is>
      </c>
      <c r="E180" s="20" t="inlineStr">
        <is>
          <t>có nhãn, chưa gán link</t>
        </is>
      </c>
      <c r="F180" s="4" t="inlineStr">
        <is>
          <t>MX_NB-01: C</t>
        </is>
      </c>
      <c r="G180" s="4" t="inlineStr">
        <is>
          <t>HNB086</t>
        </is>
      </c>
      <c r="H180" s="4" t="inlineStr"/>
    </row>
    <row r="181">
      <c r="A181" s="4" t="inlineStr">
        <is>
          <t>C12</t>
        </is>
      </c>
      <c r="B181" s="4" t="inlineStr">
        <is>
          <t>12FO NB-01 → NB-02</t>
        </is>
      </c>
      <c r="C181" s="4" t="n">
        <v>9</v>
      </c>
      <c r="D181" s="4" t="inlineStr">
        <is>
          <t>xanh lá</t>
        </is>
      </c>
      <c r="E181" s="20" t="inlineStr">
        <is>
          <t>có nhãn, chưa gán link</t>
        </is>
      </c>
      <c r="F181" s="4" t="inlineStr">
        <is>
          <t>MX_NB-01: ·</t>
        </is>
      </c>
      <c r="G181" s="4" t="inlineStr">
        <is>
          <t>TTC</t>
        </is>
      </c>
      <c r="H181" s="4" t="inlineStr"/>
    </row>
    <row r="182">
      <c r="A182" s="4" t="inlineStr">
        <is>
          <t>C12</t>
        </is>
      </c>
      <c r="B182" s="4" t="inlineStr">
        <is>
          <t>12FO NB-01 → NB-02</t>
        </is>
      </c>
      <c r="C182" s="4" t="n">
        <v>10</v>
      </c>
      <c r="D182" s="4" t="inlineStr">
        <is>
          <t>nâu</t>
        </is>
      </c>
      <c r="E182" s="20" t="inlineStr">
        <is>
          <t>có nhãn, chưa gán link</t>
        </is>
      </c>
      <c r="F182" s="4" t="inlineStr">
        <is>
          <t>MX_NB-01: ·</t>
        </is>
      </c>
      <c r="G182" s="4" t="inlineStr">
        <is>
          <t>TTC</t>
        </is>
      </c>
      <c r="H182" s="4" t="inlineStr"/>
    </row>
    <row r="183">
      <c r="A183" s="4" t="inlineStr">
        <is>
          <t>C12</t>
        </is>
      </c>
      <c r="B183" s="4" t="inlineStr">
        <is>
          <t>12FO NB-01 → NB-02</t>
        </is>
      </c>
      <c r="C183" s="4" t="n">
        <v>11</v>
      </c>
      <c r="D183" s="4" t="inlineStr">
        <is>
          <t>xám</t>
        </is>
      </c>
      <c r="E183" s="20" t="inlineStr">
        <is>
          <t>có nhãn, chưa gán link</t>
        </is>
      </c>
      <c r="F183" s="4" t="inlineStr">
        <is>
          <t>MX_NB-01: C</t>
        </is>
      </c>
      <c r="G183" s="4" t="inlineStr"/>
      <c r="H183" s="4" t="inlineStr"/>
    </row>
    <row r="184">
      <c r="A184" s="4" t="inlineStr">
        <is>
          <t>C12</t>
        </is>
      </c>
      <c r="B184" s="4" t="inlineStr">
        <is>
          <t>12FO NB-01 → NB-02</t>
        </is>
      </c>
      <c r="C184" s="4" t="n">
        <v>12</v>
      </c>
      <c r="D184" s="4" t="inlineStr">
        <is>
          <t>trắng</t>
        </is>
      </c>
      <c r="E184" s="20" t="inlineStr">
        <is>
          <t>có nhãn, chưa gán link</t>
        </is>
      </c>
      <c r="F184" s="4" t="inlineStr">
        <is>
          <t>MX_NB-01: C</t>
        </is>
      </c>
      <c r="G184" s="4" t="inlineStr"/>
      <c r="H184" s="4" t="inlineStr"/>
    </row>
    <row r="185">
      <c r="A185" s="4" t="inlineStr">
        <is>
          <t>C13</t>
        </is>
      </c>
      <c r="B185" s="4" t="inlineStr">
        <is>
          <t>12FO NB-02 → NB-03</t>
        </is>
      </c>
      <c r="C185" s="4" t="n">
        <v>1</v>
      </c>
      <c r="D185" s="4" t="inlineStr">
        <is>
          <t>xanh dương</t>
        </is>
      </c>
      <c r="E185" s="16" t="inlineStr">
        <is>
          <t>dùng R2-04</t>
        </is>
      </c>
      <c r="F185" s="4" t="inlineStr"/>
      <c r="G185" s="4" t="inlineStr"/>
      <c r="H185" s="4" t="inlineStr">
        <is>
          <t>R2-04</t>
        </is>
      </c>
    </row>
    <row r="186">
      <c r="A186" s="4" t="inlineStr">
        <is>
          <t>C13</t>
        </is>
      </c>
      <c r="B186" s="4" t="inlineStr">
        <is>
          <t>12FO NB-02 → NB-03</t>
        </is>
      </c>
      <c r="C186" s="4" t="n">
        <v>2</v>
      </c>
      <c r="D186" s="4" t="inlineStr">
        <is>
          <t>cam</t>
        </is>
      </c>
      <c r="E186" s="16" t="inlineStr">
        <is>
          <t>dùng R2-04</t>
        </is>
      </c>
      <c r="F186" s="4" t="inlineStr"/>
      <c r="G186" s="4" t="inlineStr"/>
      <c r="H186" s="4" t="inlineStr">
        <is>
          <t>R2-04</t>
        </is>
      </c>
    </row>
    <row r="187">
      <c r="A187" s="4" t="inlineStr">
        <is>
          <t>C13</t>
        </is>
      </c>
      <c r="B187" s="4" t="inlineStr">
        <is>
          <t>12FO NB-02 → NB-03</t>
        </is>
      </c>
      <c r="C187" s="4" t="n">
        <v>3</v>
      </c>
      <c r="D187" s="4" t="inlineStr">
        <is>
          <t>xanh lá</t>
        </is>
      </c>
      <c r="E187" s="16" t="inlineStr">
        <is>
          <t>dùng R1-04</t>
        </is>
      </c>
      <c r="F187" s="4" t="inlineStr"/>
      <c r="G187" s="4" t="inlineStr"/>
      <c r="H187" s="4" t="inlineStr">
        <is>
          <t>R1-04</t>
        </is>
      </c>
    </row>
    <row r="188">
      <c r="A188" s="4" t="inlineStr">
        <is>
          <t>C13</t>
        </is>
      </c>
      <c r="B188" s="4" t="inlineStr">
        <is>
          <t>12FO NB-02 → NB-03</t>
        </is>
      </c>
      <c r="C188" s="4" t="n">
        <v>4</v>
      </c>
      <c r="D188" s="4" t="inlineStr">
        <is>
          <t>nâu</t>
        </is>
      </c>
      <c r="E188" s="16" t="inlineStr">
        <is>
          <t>dùng R1-04</t>
        </is>
      </c>
      <c r="F188" s="4" t="inlineStr"/>
      <c r="G188" s="4" t="inlineStr"/>
      <c r="H188" s="4" t="inlineStr">
        <is>
          <t>R1-04</t>
        </is>
      </c>
    </row>
    <row r="189">
      <c r="A189" s="4" t="inlineStr">
        <is>
          <t>C13</t>
        </is>
      </c>
      <c r="B189" s="4" t="inlineStr">
        <is>
          <t>12FO NB-02 → NB-03</t>
        </is>
      </c>
      <c r="C189" s="4" t="n">
        <v>5</v>
      </c>
      <c r="D189" s="4" t="inlineStr">
        <is>
          <t>xám</t>
        </is>
      </c>
      <c r="E189" s="4" t="inlineStr">
        <is>
          <t>trống/chưa rõ</t>
        </is>
      </c>
      <c r="F189" s="4" t="inlineStr"/>
      <c r="G189" s="4" t="inlineStr"/>
      <c r="H189" s="4" t="inlineStr"/>
    </row>
    <row r="190">
      <c r="A190" s="4" t="inlineStr">
        <is>
          <t>C13</t>
        </is>
      </c>
      <c r="B190" s="4" t="inlineStr">
        <is>
          <t>12FO NB-02 → NB-03</t>
        </is>
      </c>
      <c r="C190" s="4" t="n">
        <v>6</v>
      </c>
      <c r="D190" s="4" t="inlineStr">
        <is>
          <t>trắng</t>
        </is>
      </c>
      <c r="E190" s="4" t="inlineStr">
        <is>
          <t>trống/chưa rõ</t>
        </is>
      </c>
      <c r="F190" s="4" t="inlineStr"/>
      <c r="G190" s="4" t="inlineStr"/>
      <c r="H190" s="4" t="inlineStr"/>
    </row>
    <row r="191">
      <c r="A191" s="4" t="inlineStr">
        <is>
          <t>C13</t>
        </is>
      </c>
      <c r="B191" s="4" t="inlineStr">
        <is>
          <t>12FO NB-02 → NB-03</t>
        </is>
      </c>
      <c r="C191" s="4" t="n">
        <v>7</v>
      </c>
      <c r="D191" s="4" t="inlineStr">
        <is>
          <t>xanh dương</t>
        </is>
      </c>
      <c r="E191" s="4" t="inlineStr">
        <is>
          <t>trống/chưa rõ</t>
        </is>
      </c>
      <c r="F191" s="4" t="inlineStr"/>
      <c r="G191" s="4" t="inlineStr"/>
      <c r="H191" s="4" t="inlineStr"/>
    </row>
    <row r="192">
      <c r="A192" s="4" t="inlineStr">
        <is>
          <t>C13</t>
        </is>
      </c>
      <c r="B192" s="4" t="inlineStr">
        <is>
          <t>12FO NB-02 → NB-03</t>
        </is>
      </c>
      <c r="C192" s="4" t="n">
        <v>8</v>
      </c>
      <c r="D192" s="4" t="inlineStr">
        <is>
          <t>cam</t>
        </is>
      </c>
      <c r="E192" s="4" t="inlineStr">
        <is>
          <t>trống/chưa rõ</t>
        </is>
      </c>
      <c r="F192" s="4" t="inlineStr"/>
      <c r="G192" s="4" t="inlineStr"/>
      <c r="H192" s="4" t="inlineStr"/>
    </row>
    <row r="193">
      <c r="A193" s="4" t="inlineStr">
        <is>
          <t>C13</t>
        </is>
      </c>
      <c r="B193" s="4" t="inlineStr">
        <is>
          <t>12FO NB-02 → NB-03</t>
        </is>
      </c>
      <c r="C193" s="4" t="n">
        <v>9</v>
      </c>
      <c r="D193" s="4" t="inlineStr">
        <is>
          <t>xanh lá</t>
        </is>
      </c>
      <c r="E193" s="4" t="inlineStr">
        <is>
          <t>trống/chưa rõ</t>
        </is>
      </c>
      <c r="F193" s="4" t="inlineStr"/>
      <c r="G193" s="4" t="inlineStr"/>
      <c r="H193" s="4" t="inlineStr"/>
    </row>
    <row r="194">
      <c r="A194" s="4" t="inlineStr">
        <is>
          <t>C13</t>
        </is>
      </c>
      <c r="B194" s="4" t="inlineStr">
        <is>
          <t>12FO NB-02 → NB-03</t>
        </is>
      </c>
      <c r="C194" s="4" t="n">
        <v>10</v>
      </c>
      <c r="D194" s="4" t="inlineStr">
        <is>
          <t>nâu</t>
        </is>
      </c>
      <c r="E194" s="4" t="inlineStr">
        <is>
          <t>trống/chưa rõ</t>
        </is>
      </c>
      <c r="F194" s="4" t="inlineStr"/>
      <c r="G194" s="4" t="inlineStr"/>
      <c r="H194" s="4" t="inlineStr"/>
    </row>
    <row r="195">
      <c r="A195" s="4" t="inlineStr">
        <is>
          <t>C13</t>
        </is>
      </c>
      <c r="B195" s="4" t="inlineStr">
        <is>
          <t>12FO NB-02 → NB-03</t>
        </is>
      </c>
      <c r="C195" s="4" t="n">
        <v>11</v>
      </c>
      <c r="D195" s="4" t="inlineStr">
        <is>
          <t>xám</t>
        </is>
      </c>
      <c r="E195" s="4" t="inlineStr">
        <is>
          <t>trống/chưa rõ</t>
        </is>
      </c>
      <c r="F195" s="4" t="inlineStr"/>
      <c r="G195" s="4" t="inlineStr"/>
      <c r="H195" s="4" t="inlineStr"/>
    </row>
    <row r="196">
      <c r="A196" s="4" t="inlineStr">
        <is>
          <t>C13</t>
        </is>
      </c>
      <c r="B196" s="4" t="inlineStr">
        <is>
          <t>12FO NB-02 → NB-03</t>
        </is>
      </c>
      <c r="C196" s="4" t="n">
        <v>12</v>
      </c>
      <c r="D196" s="4" t="inlineStr">
        <is>
          <t>trắng</t>
        </is>
      </c>
      <c r="E196" s="4" t="inlineStr">
        <is>
          <t>trống/chưa rõ</t>
        </is>
      </c>
      <c r="F196" s="4" t="inlineStr"/>
      <c r="G196" s="4" t="inlineStr"/>
      <c r="H196" s="4" t="inlineStr"/>
    </row>
    <row r="197">
      <c r="A197" s="4" t="inlineStr">
        <is>
          <t>C14</t>
        </is>
      </c>
      <c r="B197" s="4" t="inlineStr">
        <is>
          <t>12FO NB-03 → NB-04</t>
        </is>
      </c>
      <c r="C197" s="4" t="n">
        <v>1</v>
      </c>
      <c r="D197" s="4" t="inlineStr">
        <is>
          <t>xanh dương</t>
        </is>
      </c>
      <c r="E197" s="16" t="inlineStr">
        <is>
          <t>dùng R2-04</t>
        </is>
      </c>
      <c r="F197" s="4" t="inlineStr"/>
      <c r="G197" s="4" t="inlineStr"/>
      <c r="H197" s="4" t="inlineStr">
        <is>
          <t>R2-04</t>
        </is>
      </c>
    </row>
    <row r="198">
      <c r="A198" s="4" t="inlineStr">
        <is>
          <t>C14</t>
        </is>
      </c>
      <c r="B198" s="4" t="inlineStr">
        <is>
          <t>12FO NB-03 → NB-04</t>
        </is>
      </c>
      <c r="C198" s="4" t="n">
        <v>2</v>
      </c>
      <c r="D198" s="4" t="inlineStr">
        <is>
          <t>cam</t>
        </is>
      </c>
      <c r="E198" s="16" t="inlineStr">
        <is>
          <t>dùng R2-04</t>
        </is>
      </c>
      <c r="F198" s="4" t="inlineStr"/>
      <c r="G198" s="4" t="inlineStr"/>
      <c r="H198" s="4" t="inlineStr">
        <is>
          <t>R2-04</t>
        </is>
      </c>
    </row>
    <row r="199">
      <c r="A199" s="4" t="inlineStr">
        <is>
          <t>C14</t>
        </is>
      </c>
      <c r="B199" s="4" t="inlineStr">
        <is>
          <t>12FO NB-03 → NB-04</t>
        </is>
      </c>
      <c r="C199" s="4" t="n">
        <v>3</v>
      </c>
      <c r="D199" s="4" t="inlineStr">
        <is>
          <t>xanh lá</t>
        </is>
      </c>
      <c r="E199" s="16" t="inlineStr">
        <is>
          <t>dùng R1-04</t>
        </is>
      </c>
      <c r="F199" s="4" t="inlineStr"/>
      <c r="G199" s="4" t="inlineStr"/>
      <c r="H199" s="4" t="inlineStr">
        <is>
          <t>R1-04</t>
        </is>
      </c>
    </row>
    <row r="200">
      <c r="A200" s="4" t="inlineStr">
        <is>
          <t>C14</t>
        </is>
      </c>
      <c r="B200" s="4" t="inlineStr">
        <is>
          <t>12FO NB-03 → NB-04</t>
        </is>
      </c>
      <c r="C200" s="4" t="n">
        <v>4</v>
      </c>
      <c r="D200" s="4" t="inlineStr">
        <is>
          <t>nâu</t>
        </is>
      </c>
      <c r="E200" s="16" t="inlineStr">
        <is>
          <t>dùng R1-04</t>
        </is>
      </c>
      <c r="F200" s="4" t="inlineStr"/>
      <c r="G200" s="4" t="inlineStr"/>
      <c r="H200" s="4" t="inlineStr">
        <is>
          <t>R1-04</t>
        </is>
      </c>
    </row>
    <row r="201">
      <c r="A201" s="4" t="inlineStr">
        <is>
          <t>C14</t>
        </is>
      </c>
      <c r="B201" s="4" t="inlineStr">
        <is>
          <t>12FO NB-03 → NB-04</t>
        </is>
      </c>
      <c r="C201" s="4" t="n">
        <v>5</v>
      </c>
      <c r="D201" s="4" t="inlineStr">
        <is>
          <t>xám</t>
        </is>
      </c>
      <c r="E201" s="4" t="inlineStr">
        <is>
          <t>trống/chưa rõ</t>
        </is>
      </c>
      <c r="F201" s="4" t="inlineStr"/>
      <c r="G201" s="4" t="inlineStr"/>
      <c r="H201" s="4" t="inlineStr"/>
    </row>
    <row r="202">
      <c r="A202" s="4" t="inlineStr">
        <is>
          <t>C14</t>
        </is>
      </c>
      <c r="B202" s="4" t="inlineStr">
        <is>
          <t>12FO NB-03 → NB-04</t>
        </is>
      </c>
      <c r="C202" s="4" t="n">
        <v>6</v>
      </c>
      <c r="D202" s="4" t="inlineStr">
        <is>
          <t>trắng</t>
        </is>
      </c>
      <c r="E202" s="4" t="inlineStr">
        <is>
          <t>trống/chưa rõ</t>
        </is>
      </c>
      <c r="F202" s="4" t="inlineStr"/>
      <c r="G202" s="4" t="inlineStr"/>
      <c r="H202" s="4" t="inlineStr"/>
    </row>
    <row r="203">
      <c r="A203" s="4" t="inlineStr">
        <is>
          <t>C14</t>
        </is>
      </c>
      <c r="B203" s="4" t="inlineStr">
        <is>
          <t>12FO NB-03 → NB-04</t>
        </is>
      </c>
      <c r="C203" s="4" t="n">
        <v>7</v>
      </c>
      <c r="D203" s="4" t="inlineStr">
        <is>
          <t>xanh dương</t>
        </is>
      </c>
      <c r="E203" s="4" t="inlineStr">
        <is>
          <t>trống/chưa rõ</t>
        </is>
      </c>
      <c r="F203" s="4" t="inlineStr"/>
      <c r="G203" s="4" t="inlineStr"/>
      <c r="H203" s="4" t="inlineStr"/>
    </row>
    <row r="204">
      <c r="A204" s="4" t="inlineStr">
        <is>
          <t>C14</t>
        </is>
      </c>
      <c r="B204" s="4" t="inlineStr">
        <is>
          <t>12FO NB-03 → NB-04</t>
        </is>
      </c>
      <c r="C204" s="4" t="n">
        <v>8</v>
      </c>
      <c r="D204" s="4" t="inlineStr">
        <is>
          <t>cam</t>
        </is>
      </c>
      <c r="E204" s="4" t="inlineStr">
        <is>
          <t>trống/chưa rõ</t>
        </is>
      </c>
      <c r="F204" s="4" t="inlineStr"/>
      <c r="G204" s="4" t="inlineStr"/>
      <c r="H204" s="4" t="inlineStr"/>
    </row>
    <row r="205">
      <c r="A205" s="4" t="inlineStr">
        <is>
          <t>C14</t>
        </is>
      </c>
      <c r="B205" s="4" t="inlineStr">
        <is>
          <t>12FO NB-03 → NB-04</t>
        </is>
      </c>
      <c r="C205" s="4" t="n">
        <v>9</v>
      </c>
      <c r="D205" s="4" t="inlineStr">
        <is>
          <t>xanh lá</t>
        </is>
      </c>
      <c r="E205" s="4" t="inlineStr">
        <is>
          <t>trống/chưa rõ</t>
        </is>
      </c>
      <c r="F205" s="4" t="inlineStr"/>
      <c r="G205" s="4" t="inlineStr"/>
      <c r="H205" s="4" t="inlineStr"/>
    </row>
    <row r="206">
      <c r="A206" s="4" t="inlineStr">
        <is>
          <t>C14</t>
        </is>
      </c>
      <c r="B206" s="4" t="inlineStr">
        <is>
          <t>12FO NB-03 → NB-04</t>
        </is>
      </c>
      <c r="C206" s="4" t="n">
        <v>10</v>
      </c>
      <c r="D206" s="4" t="inlineStr">
        <is>
          <t>nâu</t>
        </is>
      </c>
      <c r="E206" s="4" t="inlineStr">
        <is>
          <t>trống/chưa rõ</t>
        </is>
      </c>
      <c r="F206" s="4" t="inlineStr"/>
      <c r="G206" s="4" t="inlineStr"/>
      <c r="H206" s="4" t="inlineStr"/>
    </row>
    <row r="207">
      <c r="A207" s="4" t="inlineStr">
        <is>
          <t>C14</t>
        </is>
      </c>
      <c r="B207" s="4" t="inlineStr">
        <is>
          <t>12FO NB-03 → NB-04</t>
        </is>
      </c>
      <c r="C207" s="4" t="n">
        <v>11</v>
      </c>
      <c r="D207" s="4" t="inlineStr">
        <is>
          <t>xám</t>
        </is>
      </c>
      <c r="E207" s="4" t="inlineStr">
        <is>
          <t>trống/chưa rõ</t>
        </is>
      </c>
      <c r="F207" s="4" t="inlineStr"/>
      <c r="G207" s="4" t="inlineStr"/>
      <c r="H207" s="4" t="inlineStr"/>
    </row>
    <row r="208">
      <c r="A208" s="4" t="inlineStr">
        <is>
          <t>C14</t>
        </is>
      </c>
      <c r="B208" s="4" t="inlineStr">
        <is>
          <t>12FO NB-03 → NB-04</t>
        </is>
      </c>
      <c r="C208" s="4" t="n">
        <v>12</v>
      </c>
      <c r="D208" s="4" t="inlineStr">
        <is>
          <t>trắng</t>
        </is>
      </c>
      <c r="E208" s="4" t="inlineStr">
        <is>
          <t>trống/chưa rõ</t>
        </is>
      </c>
      <c r="F208" s="4" t="inlineStr"/>
      <c r="G208" s="4" t="inlineStr"/>
      <c r="H208" s="4" t="inlineStr"/>
    </row>
    <row r="209">
      <c r="A209" s="4" t="inlineStr">
        <is>
          <t>C15</t>
        </is>
      </c>
      <c r="B209" s="4" t="inlineStr">
        <is>
          <t>12FO NB-04 → MX thẳng HTP</t>
        </is>
      </c>
      <c r="C209" s="4" t="n">
        <v>1</v>
      </c>
      <c r="D209" s="4" t="inlineStr">
        <is>
          <t>xanh dương</t>
        </is>
      </c>
      <c r="E209" s="16" t="inlineStr">
        <is>
          <t>dùng R2-04</t>
        </is>
      </c>
      <c r="F209" s="4" t="inlineStr"/>
      <c r="G209" s="4" t="inlineStr"/>
      <c r="H209" s="4" t="inlineStr">
        <is>
          <t>R2-04</t>
        </is>
      </c>
    </row>
    <row r="210">
      <c r="A210" s="4" t="inlineStr">
        <is>
          <t>C15</t>
        </is>
      </c>
      <c r="B210" s="4" t="inlineStr">
        <is>
          <t>12FO NB-04 → MX thẳng HTP</t>
        </is>
      </c>
      <c r="C210" s="4" t="n">
        <v>2</v>
      </c>
      <c r="D210" s="4" t="inlineStr">
        <is>
          <t>cam</t>
        </is>
      </c>
      <c r="E210" s="16" t="inlineStr">
        <is>
          <t>dùng R2-04</t>
        </is>
      </c>
      <c r="F210" s="4" t="inlineStr"/>
      <c r="G210" s="4" t="inlineStr"/>
      <c r="H210" s="4" t="inlineStr">
        <is>
          <t>R2-04</t>
        </is>
      </c>
    </row>
    <row r="211">
      <c r="A211" s="4" t="inlineStr">
        <is>
          <t>C15</t>
        </is>
      </c>
      <c r="B211" s="4" t="inlineStr">
        <is>
          <t>12FO NB-04 → MX thẳng HTP</t>
        </is>
      </c>
      <c r="C211" s="4" t="n">
        <v>3</v>
      </c>
      <c r="D211" s="4" t="inlineStr">
        <is>
          <t>xanh lá</t>
        </is>
      </c>
      <c r="E211" s="16" t="inlineStr">
        <is>
          <t>dùng R1-04</t>
        </is>
      </c>
      <c r="F211" s="4" t="inlineStr"/>
      <c r="G211" s="4" t="inlineStr"/>
      <c r="H211" s="4" t="inlineStr">
        <is>
          <t>R1-04</t>
        </is>
      </c>
    </row>
    <row r="212">
      <c r="A212" s="4" t="inlineStr">
        <is>
          <t>C15</t>
        </is>
      </c>
      <c r="B212" s="4" t="inlineStr">
        <is>
          <t>12FO NB-04 → MX thẳng HTP</t>
        </is>
      </c>
      <c r="C212" s="4" t="n">
        <v>4</v>
      </c>
      <c r="D212" s="4" t="inlineStr">
        <is>
          <t>nâu</t>
        </is>
      </c>
      <c r="E212" s="16" t="inlineStr">
        <is>
          <t>dùng R1-04</t>
        </is>
      </c>
      <c r="F212" s="4" t="inlineStr"/>
      <c r="G212" s="4" t="inlineStr"/>
      <c r="H212" s="4" t="inlineStr">
        <is>
          <t>R1-04</t>
        </is>
      </c>
    </row>
    <row r="213">
      <c r="A213" s="4" t="inlineStr">
        <is>
          <t>C15</t>
        </is>
      </c>
      <c r="B213" s="4" t="inlineStr">
        <is>
          <t>12FO NB-04 → MX thẳng HTP</t>
        </is>
      </c>
      <c r="C213" s="4" t="n">
        <v>5</v>
      </c>
      <c r="D213" s="4" t="inlineStr">
        <is>
          <t>xám</t>
        </is>
      </c>
      <c r="E213" s="4" t="inlineStr">
        <is>
          <t>trống/chưa rõ</t>
        </is>
      </c>
      <c r="F213" s="4" t="inlineStr"/>
      <c r="G213" s="4" t="inlineStr"/>
      <c r="H213" s="4" t="inlineStr"/>
    </row>
    <row r="214">
      <c r="A214" s="4" t="inlineStr">
        <is>
          <t>C15</t>
        </is>
      </c>
      <c r="B214" s="4" t="inlineStr">
        <is>
          <t>12FO NB-04 → MX thẳng HTP</t>
        </is>
      </c>
      <c r="C214" s="4" t="n">
        <v>6</v>
      </c>
      <c r="D214" s="4" t="inlineStr">
        <is>
          <t>trắng</t>
        </is>
      </c>
      <c r="E214" s="4" t="inlineStr">
        <is>
          <t>trống/chưa rõ</t>
        </is>
      </c>
      <c r="F214" s="4" t="inlineStr"/>
      <c r="G214" s="4" t="inlineStr"/>
      <c r="H214" s="4" t="inlineStr"/>
    </row>
    <row r="215">
      <c r="A215" s="4" t="inlineStr">
        <is>
          <t>C15</t>
        </is>
      </c>
      <c r="B215" s="4" t="inlineStr">
        <is>
          <t>12FO NB-04 → MX thẳng HTP</t>
        </is>
      </c>
      <c r="C215" s="4" t="n">
        <v>7</v>
      </c>
      <c r="D215" s="4" t="inlineStr">
        <is>
          <t>xanh dương</t>
        </is>
      </c>
      <c r="E215" s="4" t="inlineStr">
        <is>
          <t>trống/chưa rõ</t>
        </is>
      </c>
      <c r="F215" s="4" t="inlineStr"/>
      <c r="G215" s="4" t="inlineStr"/>
      <c r="H215" s="4" t="inlineStr"/>
    </row>
    <row r="216">
      <c r="A216" s="4" t="inlineStr">
        <is>
          <t>C15</t>
        </is>
      </c>
      <c r="B216" s="4" t="inlineStr">
        <is>
          <t>12FO NB-04 → MX thẳng HTP</t>
        </is>
      </c>
      <c r="C216" s="4" t="n">
        <v>8</v>
      </c>
      <c r="D216" s="4" t="inlineStr">
        <is>
          <t>cam</t>
        </is>
      </c>
      <c r="E216" s="4" t="inlineStr">
        <is>
          <t>trống/chưa rõ</t>
        </is>
      </c>
      <c r="F216" s="4" t="inlineStr"/>
      <c r="G216" s="4" t="inlineStr"/>
      <c r="H216" s="4" t="inlineStr"/>
    </row>
    <row r="217">
      <c r="A217" s="4" t="inlineStr">
        <is>
          <t>C15</t>
        </is>
      </c>
      <c r="B217" s="4" t="inlineStr">
        <is>
          <t>12FO NB-04 → MX thẳng HTP</t>
        </is>
      </c>
      <c r="C217" s="4" t="n">
        <v>9</v>
      </c>
      <c r="D217" s="4" t="inlineStr">
        <is>
          <t>xanh lá</t>
        </is>
      </c>
      <c r="E217" s="4" t="inlineStr">
        <is>
          <t>trống/chưa rõ</t>
        </is>
      </c>
      <c r="F217" s="4" t="inlineStr"/>
      <c r="G217" s="4" t="inlineStr"/>
      <c r="H217" s="4" t="inlineStr"/>
    </row>
    <row r="218">
      <c r="A218" s="4" t="inlineStr">
        <is>
          <t>C15</t>
        </is>
      </c>
      <c r="B218" s="4" t="inlineStr">
        <is>
          <t>12FO NB-04 → MX thẳng HTP</t>
        </is>
      </c>
      <c r="C218" s="4" t="n">
        <v>10</v>
      </c>
      <c r="D218" s="4" t="inlineStr">
        <is>
          <t>nâu</t>
        </is>
      </c>
      <c r="E218" s="4" t="inlineStr">
        <is>
          <t>trống/chưa rõ</t>
        </is>
      </c>
      <c r="F218" s="4" t="inlineStr"/>
      <c r="G218" s="4" t="inlineStr"/>
      <c r="H218" s="4" t="inlineStr"/>
    </row>
    <row r="219">
      <c r="A219" s="4" t="inlineStr">
        <is>
          <t>C15</t>
        </is>
      </c>
      <c r="B219" s="4" t="inlineStr">
        <is>
          <t>12FO NB-04 → MX thẳng HTP</t>
        </is>
      </c>
      <c r="C219" s="4" t="n">
        <v>11</v>
      </c>
      <c r="D219" s="4" t="inlineStr">
        <is>
          <t>xám</t>
        </is>
      </c>
      <c r="E219" s="4" t="inlineStr">
        <is>
          <t>trống/chưa rõ</t>
        </is>
      </c>
      <c r="F219" s="4" t="inlineStr"/>
      <c r="G219" s="4" t="inlineStr"/>
      <c r="H219" s="4" t="inlineStr"/>
    </row>
    <row r="220">
      <c r="A220" s="4" t="inlineStr">
        <is>
          <t>C15</t>
        </is>
      </c>
      <c r="B220" s="4" t="inlineStr">
        <is>
          <t>12FO NB-04 → MX thẳng HTP</t>
        </is>
      </c>
      <c r="C220" s="4" t="n">
        <v>12</v>
      </c>
      <c r="D220" s="4" t="inlineStr">
        <is>
          <t>trắng</t>
        </is>
      </c>
      <c r="E220" s="4" t="inlineStr">
        <is>
          <t>trống/chưa rõ</t>
        </is>
      </c>
      <c r="F220" s="4" t="inlineStr"/>
      <c r="G220" s="4" t="inlineStr"/>
      <c r="H220" s="4" t="inlineStr"/>
    </row>
    <row r="221">
      <c r="A221" s="4" t="inlineStr">
        <is>
          <t>C16</t>
        </is>
      </c>
      <c r="B221" s="4" t="inlineStr">
        <is>
          <t>12FO MX thẳng HTP → HTP-03B</t>
        </is>
      </c>
      <c r="C221" s="4" t="n">
        <v>1</v>
      </c>
      <c r="D221" s="4" t="inlineStr">
        <is>
          <t>xanh dương</t>
        </is>
      </c>
      <c r="E221" s="16" t="inlineStr">
        <is>
          <t>dùng R2-04</t>
        </is>
      </c>
      <c r="F221" s="4" t="inlineStr"/>
      <c r="G221" s="4" t="inlineStr"/>
      <c r="H221" s="4" t="inlineStr">
        <is>
          <t>R2-04</t>
        </is>
      </c>
    </row>
    <row r="222">
      <c r="A222" s="4" t="inlineStr">
        <is>
          <t>C16</t>
        </is>
      </c>
      <c r="B222" s="4" t="inlineStr">
        <is>
          <t>12FO MX thẳng HTP → HTP-03B</t>
        </is>
      </c>
      <c r="C222" s="4" t="n">
        <v>2</v>
      </c>
      <c r="D222" s="4" t="inlineStr">
        <is>
          <t>cam</t>
        </is>
      </c>
      <c r="E222" s="16" t="inlineStr">
        <is>
          <t>dùng R2-04</t>
        </is>
      </c>
      <c r="F222" s="4" t="inlineStr"/>
      <c r="G222" s="4" t="inlineStr"/>
      <c r="H222" s="4" t="inlineStr">
        <is>
          <t>R2-04</t>
        </is>
      </c>
    </row>
    <row r="223">
      <c r="A223" s="4" t="inlineStr">
        <is>
          <t>C16</t>
        </is>
      </c>
      <c r="B223" s="4" t="inlineStr">
        <is>
          <t>12FO MX thẳng HTP → HTP-03B</t>
        </is>
      </c>
      <c r="C223" s="4" t="n">
        <v>3</v>
      </c>
      <c r="D223" s="4" t="inlineStr">
        <is>
          <t>xanh lá</t>
        </is>
      </c>
      <c r="E223" s="16" t="inlineStr">
        <is>
          <t>dùng R1-04</t>
        </is>
      </c>
      <c r="F223" s="4" t="inlineStr"/>
      <c r="G223" s="4" t="inlineStr"/>
      <c r="H223" s="4" t="inlineStr">
        <is>
          <t>R1-04</t>
        </is>
      </c>
    </row>
    <row r="224">
      <c r="A224" s="4" t="inlineStr">
        <is>
          <t>C16</t>
        </is>
      </c>
      <c r="B224" s="4" t="inlineStr">
        <is>
          <t>12FO MX thẳng HTP → HTP-03B</t>
        </is>
      </c>
      <c r="C224" s="4" t="n">
        <v>4</v>
      </c>
      <c r="D224" s="4" t="inlineStr">
        <is>
          <t>nâu</t>
        </is>
      </c>
      <c r="E224" s="16" t="inlineStr">
        <is>
          <t>dùng R1-04</t>
        </is>
      </c>
      <c r="F224" s="4" t="inlineStr"/>
      <c r="G224" s="4" t="inlineStr"/>
      <c r="H224" s="4" t="inlineStr">
        <is>
          <t>R1-04</t>
        </is>
      </c>
    </row>
    <row r="225">
      <c r="A225" s="4" t="inlineStr">
        <is>
          <t>C16</t>
        </is>
      </c>
      <c r="B225" s="4" t="inlineStr">
        <is>
          <t>12FO MX thẳng HTP → HTP-03B</t>
        </is>
      </c>
      <c r="C225" s="4" t="n">
        <v>5</v>
      </c>
      <c r="D225" s="4" t="inlineStr">
        <is>
          <t>xám</t>
        </is>
      </c>
      <c r="E225" s="4" t="inlineStr">
        <is>
          <t>trống/chưa rõ</t>
        </is>
      </c>
      <c r="F225" s="4" t="inlineStr"/>
      <c r="G225" s="4" t="inlineStr"/>
      <c r="H225" s="4" t="inlineStr"/>
    </row>
    <row r="226">
      <c r="A226" s="4" t="inlineStr">
        <is>
          <t>C16</t>
        </is>
      </c>
      <c r="B226" s="4" t="inlineStr">
        <is>
          <t>12FO MX thẳng HTP → HTP-03B</t>
        </is>
      </c>
      <c r="C226" s="4" t="n">
        <v>6</v>
      </c>
      <c r="D226" s="4" t="inlineStr">
        <is>
          <t>trắng</t>
        </is>
      </c>
      <c r="E226" s="4" t="inlineStr">
        <is>
          <t>trống/chưa rõ</t>
        </is>
      </c>
      <c r="F226" s="4" t="inlineStr"/>
      <c r="G226" s="4" t="inlineStr"/>
      <c r="H226" s="4" t="inlineStr"/>
    </row>
    <row r="227">
      <c r="A227" s="4" t="inlineStr">
        <is>
          <t>C16</t>
        </is>
      </c>
      <c r="B227" s="4" t="inlineStr">
        <is>
          <t>12FO MX thẳng HTP → HTP-03B</t>
        </is>
      </c>
      <c r="C227" s="4" t="n">
        <v>7</v>
      </c>
      <c r="D227" s="4" t="inlineStr">
        <is>
          <t>xanh dương</t>
        </is>
      </c>
      <c r="E227" s="4" t="inlineStr">
        <is>
          <t>trống/chưa rõ</t>
        </is>
      </c>
      <c r="F227" s="4" t="inlineStr"/>
      <c r="G227" s="4" t="inlineStr"/>
      <c r="H227" s="4" t="inlineStr"/>
    </row>
    <row r="228">
      <c r="A228" s="4" t="inlineStr">
        <is>
          <t>C16</t>
        </is>
      </c>
      <c r="B228" s="4" t="inlineStr">
        <is>
          <t>12FO MX thẳng HTP → HTP-03B</t>
        </is>
      </c>
      <c r="C228" s="4" t="n">
        <v>8</v>
      </c>
      <c r="D228" s="4" t="inlineStr">
        <is>
          <t>cam</t>
        </is>
      </c>
      <c r="E228" s="4" t="inlineStr">
        <is>
          <t>trống/chưa rõ</t>
        </is>
      </c>
      <c r="F228" s="4" t="inlineStr"/>
      <c r="G228" s="4" t="inlineStr"/>
      <c r="H228" s="4" t="inlineStr"/>
    </row>
    <row r="229">
      <c r="A229" s="4" t="inlineStr">
        <is>
          <t>C16</t>
        </is>
      </c>
      <c r="B229" s="4" t="inlineStr">
        <is>
          <t>12FO MX thẳng HTP → HTP-03B</t>
        </is>
      </c>
      <c r="C229" s="4" t="n">
        <v>9</v>
      </c>
      <c r="D229" s="4" t="inlineStr">
        <is>
          <t>xanh lá</t>
        </is>
      </c>
      <c r="E229" s="4" t="inlineStr">
        <is>
          <t>trống/chưa rõ</t>
        </is>
      </c>
      <c r="F229" s="4" t="inlineStr"/>
      <c r="G229" s="4" t="inlineStr"/>
      <c r="H229" s="4" t="inlineStr"/>
    </row>
    <row r="230">
      <c r="A230" s="4" t="inlineStr">
        <is>
          <t>C16</t>
        </is>
      </c>
      <c r="B230" s="4" t="inlineStr">
        <is>
          <t>12FO MX thẳng HTP → HTP-03B</t>
        </is>
      </c>
      <c r="C230" s="4" t="n">
        <v>10</v>
      </c>
      <c r="D230" s="4" t="inlineStr">
        <is>
          <t>nâu</t>
        </is>
      </c>
      <c r="E230" s="4" t="inlineStr">
        <is>
          <t>trống/chưa rõ</t>
        </is>
      </c>
      <c r="F230" s="4" t="inlineStr"/>
      <c r="G230" s="4" t="inlineStr"/>
      <c r="H230" s="4" t="inlineStr"/>
    </row>
    <row r="231">
      <c r="A231" s="4" t="inlineStr">
        <is>
          <t>C16</t>
        </is>
      </c>
      <c r="B231" s="4" t="inlineStr">
        <is>
          <t>12FO MX thẳng HTP → HTP-03B</t>
        </is>
      </c>
      <c r="C231" s="4" t="n">
        <v>11</v>
      </c>
      <c r="D231" s="4" t="inlineStr">
        <is>
          <t>xám</t>
        </is>
      </c>
      <c r="E231" s="4" t="inlineStr">
        <is>
          <t>trống/chưa rõ</t>
        </is>
      </c>
      <c r="F231" s="4" t="inlineStr"/>
      <c r="G231" s="4" t="inlineStr"/>
      <c r="H231" s="4" t="inlineStr"/>
    </row>
    <row r="232">
      <c r="A232" s="4" t="inlineStr">
        <is>
          <t>C16</t>
        </is>
      </c>
      <c r="B232" s="4" t="inlineStr">
        <is>
          <t>12FO MX thẳng HTP → HTP-03B</t>
        </is>
      </c>
      <c r="C232" s="4" t="n">
        <v>12</v>
      </c>
      <c r="D232" s="4" t="inlineStr">
        <is>
          <t>trắng</t>
        </is>
      </c>
      <c r="E232" s="4" t="inlineStr">
        <is>
          <t>trống/chưa rõ</t>
        </is>
      </c>
      <c r="F232" s="4" t="inlineStr"/>
      <c r="G232" s="4" t="inlineStr"/>
      <c r="H232" s="4" t="inlineStr"/>
    </row>
    <row r="233">
      <c r="A233" s="4" t="inlineStr">
        <is>
          <t>C17</t>
        </is>
      </c>
      <c r="B233" s="4" t="inlineStr">
        <is>
          <t>POSTEF 24FO nhập đài (cs 1550→1288)</t>
        </is>
      </c>
      <c r="C233" s="4" t="n">
        <v>1</v>
      </c>
      <c r="D233" s="4" t="inlineStr">
        <is>
          <t>xanh dương</t>
        </is>
      </c>
      <c r="E233" s="16" t="inlineStr">
        <is>
          <t>dùng R2-04</t>
        </is>
      </c>
      <c r="F233" s="4" t="inlineStr"/>
      <c r="G233" s="4" t="inlineStr"/>
      <c r="H233" s="4" t="inlineStr">
        <is>
          <t>R2-04</t>
        </is>
      </c>
    </row>
    <row r="234">
      <c r="A234" s="4" t="inlineStr">
        <is>
          <t>C17</t>
        </is>
      </c>
      <c r="B234" s="4" t="inlineStr">
        <is>
          <t>POSTEF 24FO nhập đài (cs 1550→1288)</t>
        </is>
      </c>
      <c r="C234" s="4" t="n">
        <v>2</v>
      </c>
      <c r="D234" s="4" t="inlineStr">
        <is>
          <t>cam</t>
        </is>
      </c>
      <c r="E234" s="16" t="inlineStr">
        <is>
          <t>dùng R2-04</t>
        </is>
      </c>
      <c r="F234" s="4" t="inlineStr"/>
      <c r="G234" s="4" t="inlineStr"/>
      <c r="H234" s="4" t="inlineStr">
        <is>
          <t>R2-04</t>
        </is>
      </c>
    </row>
    <row r="235">
      <c r="A235" s="4" t="inlineStr">
        <is>
          <t>C17</t>
        </is>
      </c>
      <c r="B235" s="4" t="inlineStr">
        <is>
          <t>POSTEF 24FO nhập đài (cs 1550→1288)</t>
        </is>
      </c>
      <c r="C235" s="4" t="n">
        <v>3</v>
      </c>
      <c r="D235" s="4" t="inlineStr">
        <is>
          <t>xanh lá</t>
        </is>
      </c>
      <c r="E235" s="16" t="inlineStr">
        <is>
          <t>dùng R1-04</t>
        </is>
      </c>
      <c r="F235" s="4" t="inlineStr"/>
      <c r="G235" s="4" t="inlineStr"/>
      <c r="H235" s="4" t="inlineStr">
        <is>
          <t>R1-04</t>
        </is>
      </c>
    </row>
    <row r="236">
      <c r="A236" s="4" t="inlineStr">
        <is>
          <t>C17</t>
        </is>
      </c>
      <c r="B236" s="4" t="inlineStr">
        <is>
          <t>POSTEF 24FO nhập đài (cs 1550→1288)</t>
        </is>
      </c>
      <c r="C236" s="4" t="n">
        <v>4</v>
      </c>
      <c r="D236" s="4" t="inlineStr">
        <is>
          <t>nâu</t>
        </is>
      </c>
      <c r="E236" s="16" t="inlineStr">
        <is>
          <t>dùng R1-04</t>
        </is>
      </c>
      <c r="F236" s="4" t="inlineStr"/>
      <c r="G236" s="4" t="inlineStr"/>
      <c r="H236" s="4" t="inlineStr">
        <is>
          <t>R1-04</t>
        </is>
      </c>
    </row>
    <row r="237">
      <c r="A237" s="4" t="inlineStr">
        <is>
          <t>C17</t>
        </is>
      </c>
      <c r="B237" s="4" t="inlineStr">
        <is>
          <t>POSTEF 24FO nhập đài (cs 1550→1288)</t>
        </is>
      </c>
      <c r="C237" s="4" t="n">
        <v>5</v>
      </c>
      <c r="D237" s="4" t="inlineStr">
        <is>
          <t>xám</t>
        </is>
      </c>
      <c r="E237" s="4" t="inlineStr">
        <is>
          <t>trống/chưa rõ</t>
        </is>
      </c>
      <c r="F237" s="4" t="inlineStr"/>
      <c r="G237" s="4" t="inlineStr"/>
      <c r="H237" s="4" t="inlineStr"/>
    </row>
    <row r="238">
      <c r="A238" s="4" t="inlineStr">
        <is>
          <t>C17</t>
        </is>
      </c>
      <c r="B238" s="4" t="inlineStr">
        <is>
          <t>POSTEF 24FO nhập đài (cs 1550→1288)</t>
        </is>
      </c>
      <c r="C238" s="4" t="n">
        <v>6</v>
      </c>
      <c r="D238" s="4" t="inlineStr">
        <is>
          <t>trắng</t>
        </is>
      </c>
      <c r="E238" s="4" t="inlineStr">
        <is>
          <t>trống/chưa rõ</t>
        </is>
      </c>
      <c r="F238" s="4" t="inlineStr"/>
      <c r="G238" s="4" t="inlineStr"/>
      <c r="H238" s="4" t="inlineStr"/>
    </row>
    <row r="239">
      <c r="A239" s="4" t="inlineStr">
        <is>
          <t>C17</t>
        </is>
      </c>
      <c r="B239" s="4" t="inlineStr">
        <is>
          <t>POSTEF 24FO nhập đài (cs 1550→1288)</t>
        </is>
      </c>
      <c r="C239" s="4" t="n">
        <v>7</v>
      </c>
      <c r="D239" s="4" t="inlineStr">
        <is>
          <t>xanh dương</t>
        </is>
      </c>
      <c r="E239" s="4" t="inlineStr">
        <is>
          <t>trống/chưa rõ</t>
        </is>
      </c>
      <c r="F239" s="4" t="inlineStr"/>
      <c r="G239" s="4" t="inlineStr"/>
      <c r="H239" s="4" t="inlineStr"/>
    </row>
    <row r="240">
      <c r="A240" s="4" t="inlineStr">
        <is>
          <t>C17</t>
        </is>
      </c>
      <c r="B240" s="4" t="inlineStr">
        <is>
          <t>POSTEF 24FO nhập đài (cs 1550→1288)</t>
        </is>
      </c>
      <c r="C240" s="4" t="n">
        <v>8</v>
      </c>
      <c r="D240" s="4" t="inlineStr">
        <is>
          <t>cam</t>
        </is>
      </c>
      <c r="E240" s="4" t="inlineStr">
        <is>
          <t>trống/chưa rõ</t>
        </is>
      </c>
      <c r="F240" s="4" t="inlineStr"/>
      <c r="G240" s="4" t="inlineStr"/>
      <c r="H240" s="4" t="inlineStr"/>
    </row>
    <row r="241">
      <c r="A241" s="4" t="inlineStr">
        <is>
          <t>C17</t>
        </is>
      </c>
      <c r="B241" s="4" t="inlineStr">
        <is>
          <t>POSTEF 24FO nhập đài (cs 1550→1288)</t>
        </is>
      </c>
      <c r="C241" s="4" t="n">
        <v>9</v>
      </c>
      <c r="D241" s="4" t="inlineStr">
        <is>
          <t>xanh lá</t>
        </is>
      </c>
      <c r="E241" s="4" t="inlineStr">
        <is>
          <t>trống/chưa rõ</t>
        </is>
      </c>
      <c r="F241" s="4" t="inlineStr"/>
      <c r="G241" s="4" t="inlineStr"/>
      <c r="H241" s="4" t="inlineStr"/>
    </row>
    <row r="242">
      <c r="A242" s="4" t="inlineStr">
        <is>
          <t>C17</t>
        </is>
      </c>
      <c r="B242" s="4" t="inlineStr">
        <is>
          <t>POSTEF 24FO nhập đài (cs 1550→1288)</t>
        </is>
      </c>
      <c r="C242" s="4" t="n">
        <v>10</v>
      </c>
      <c r="D242" s="4" t="inlineStr">
        <is>
          <t>nâu</t>
        </is>
      </c>
      <c r="E242" s="4" t="inlineStr">
        <is>
          <t>trống/chưa rõ</t>
        </is>
      </c>
      <c r="F242" s="4" t="inlineStr"/>
      <c r="G242" s="4" t="inlineStr"/>
      <c r="H242" s="4" t="inlineStr"/>
    </row>
    <row r="243">
      <c r="A243" s="4" t="inlineStr">
        <is>
          <t>C17</t>
        </is>
      </c>
      <c r="B243" s="4" t="inlineStr">
        <is>
          <t>POSTEF 24FO nhập đài (cs 1550→1288)</t>
        </is>
      </c>
      <c r="C243" s="4" t="n">
        <v>11</v>
      </c>
      <c r="D243" s="4" t="inlineStr">
        <is>
          <t>xám</t>
        </is>
      </c>
      <c r="E243" s="4" t="inlineStr">
        <is>
          <t>trống/chưa rõ</t>
        </is>
      </c>
      <c r="F243" s="4" t="inlineStr"/>
      <c r="G243" s="4" t="inlineStr"/>
      <c r="H243" s="4" t="inlineStr"/>
    </row>
    <row r="244">
      <c r="A244" s="4" t="inlineStr">
        <is>
          <t>C17</t>
        </is>
      </c>
      <c r="B244" s="4" t="inlineStr">
        <is>
          <t>POSTEF 24FO nhập đài (cs 1550→1288)</t>
        </is>
      </c>
      <c r="C244" s="4" t="n">
        <v>12</v>
      </c>
      <c r="D244" s="4" t="inlineStr">
        <is>
          <t>trắng</t>
        </is>
      </c>
      <c r="E244" s="4" t="inlineStr">
        <is>
          <t>trống/chưa rõ</t>
        </is>
      </c>
      <c r="F244" s="4" t="inlineStr"/>
      <c r="G244" s="4" t="inlineStr"/>
      <c r="H244" s="4" t="inlineStr"/>
    </row>
    <row r="245">
      <c r="A245" s="4" t="inlineStr">
        <is>
          <t>C17</t>
        </is>
      </c>
      <c r="B245" s="4" t="inlineStr">
        <is>
          <t>POSTEF 24FO nhập đài (cs 1550→1288)</t>
        </is>
      </c>
      <c r="C245" s="4" t="n">
        <v>13</v>
      </c>
      <c r="D245" s="4" t="inlineStr">
        <is>
          <t>xanh dương</t>
        </is>
      </c>
      <c r="E245" s="4" t="inlineStr">
        <is>
          <t>trống/chưa rõ</t>
        </is>
      </c>
      <c r="F245" s="4" t="inlineStr"/>
      <c r="G245" s="4" t="inlineStr"/>
      <c r="H245" s="4" t="inlineStr"/>
    </row>
    <row r="246">
      <c r="A246" s="4" t="inlineStr">
        <is>
          <t>C17</t>
        </is>
      </c>
      <c r="B246" s="4" t="inlineStr">
        <is>
          <t>POSTEF 24FO nhập đài (cs 1550→1288)</t>
        </is>
      </c>
      <c r="C246" s="4" t="n">
        <v>14</v>
      </c>
      <c r="D246" s="4" t="inlineStr">
        <is>
          <t>cam</t>
        </is>
      </c>
      <c r="E246" s="4" t="inlineStr">
        <is>
          <t>trống/chưa rõ</t>
        </is>
      </c>
      <c r="F246" s="4" t="inlineStr"/>
      <c r="G246" s="4" t="inlineStr"/>
      <c r="H246" s="4" t="inlineStr"/>
    </row>
    <row r="247">
      <c r="A247" s="4" t="inlineStr">
        <is>
          <t>C17</t>
        </is>
      </c>
      <c r="B247" s="4" t="inlineStr">
        <is>
          <t>POSTEF 24FO nhập đài (cs 1550→1288)</t>
        </is>
      </c>
      <c r="C247" s="4" t="n">
        <v>15</v>
      </c>
      <c r="D247" s="4" t="inlineStr">
        <is>
          <t>xanh lá</t>
        </is>
      </c>
      <c r="E247" s="4" t="inlineStr">
        <is>
          <t>trống/chưa rõ</t>
        </is>
      </c>
      <c r="F247" s="4" t="inlineStr"/>
      <c r="G247" s="4" t="inlineStr"/>
      <c r="H247" s="4" t="inlineStr"/>
    </row>
    <row r="248">
      <c r="A248" s="4" t="inlineStr">
        <is>
          <t>C17</t>
        </is>
      </c>
      <c r="B248" s="4" t="inlineStr">
        <is>
          <t>POSTEF 24FO nhập đài (cs 1550→1288)</t>
        </is>
      </c>
      <c r="C248" s="4" t="n">
        <v>16</v>
      </c>
      <c r="D248" s="4" t="inlineStr">
        <is>
          <t>nâu</t>
        </is>
      </c>
      <c r="E248" s="4" t="inlineStr">
        <is>
          <t>trống/chưa rõ</t>
        </is>
      </c>
      <c r="F248" s="4" t="inlineStr"/>
      <c r="G248" s="4" t="inlineStr"/>
      <c r="H248" s="4" t="inlineStr"/>
    </row>
    <row r="249">
      <c r="A249" s="4" t="inlineStr">
        <is>
          <t>C17</t>
        </is>
      </c>
      <c r="B249" s="4" t="inlineStr">
        <is>
          <t>POSTEF 24FO nhập đài (cs 1550→1288)</t>
        </is>
      </c>
      <c r="C249" s="4" t="n">
        <v>17</v>
      </c>
      <c r="D249" s="4" t="inlineStr">
        <is>
          <t>xám</t>
        </is>
      </c>
      <c r="E249" s="4" t="inlineStr">
        <is>
          <t>trống/chưa rõ</t>
        </is>
      </c>
      <c r="F249" s="4" t="inlineStr"/>
      <c r="G249" s="4" t="inlineStr"/>
      <c r="H249" s="4" t="inlineStr"/>
    </row>
    <row r="250">
      <c r="A250" s="4" t="inlineStr">
        <is>
          <t>C17</t>
        </is>
      </c>
      <c r="B250" s="4" t="inlineStr">
        <is>
          <t>POSTEF 24FO nhập đài (cs 1550→1288)</t>
        </is>
      </c>
      <c r="C250" s="4" t="n">
        <v>18</v>
      </c>
      <c r="D250" s="4" t="inlineStr">
        <is>
          <t>trắng</t>
        </is>
      </c>
      <c r="E250" s="4" t="inlineStr">
        <is>
          <t>trống/chưa rõ</t>
        </is>
      </c>
      <c r="F250" s="4" t="inlineStr"/>
      <c r="G250" s="4" t="inlineStr"/>
      <c r="H250" s="4" t="inlineStr"/>
    </row>
    <row r="251">
      <c r="A251" s="4" t="inlineStr">
        <is>
          <t>C17</t>
        </is>
      </c>
      <c r="B251" s="4" t="inlineStr">
        <is>
          <t>POSTEF 24FO nhập đài (cs 1550→1288)</t>
        </is>
      </c>
      <c r="C251" s="4" t="n">
        <v>19</v>
      </c>
      <c r="D251" s="4" t="inlineStr">
        <is>
          <t>xanh dương</t>
        </is>
      </c>
      <c r="E251" s="4" t="inlineStr">
        <is>
          <t>trống/chưa rõ</t>
        </is>
      </c>
      <c r="F251" s="4" t="inlineStr"/>
      <c r="G251" s="4" t="inlineStr"/>
      <c r="H251" s="4" t="inlineStr"/>
    </row>
    <row r="252">
      <c r="A252" s="4" t="inlineStr">
        <is>
          <t>C17</t>
        </is>
      </c>
      <c r="B252" s="4" t="inlineStr">
        <is>
          <t>POSTEF 24FO nhập đài (cs 1550→1288)</t>
        </is>
      </c>
      <c r="C252" s="4" t="n">
        <v>20</v>
      </c>
      <c r="D252" s="4" t="inlineStr">
        <is>
          <t>cam</t>
        </is>
      </c>
      <c r="E252" s="4" t="inlineStr">
        <is>
          <t>trống/chưa rõ</t>
        </is>
      </c>
      <c r="F252" s="4" t="inlineStr"/>
      <c r="G252" s="4" t="inlineStr"/>
      <c r="H252" s="4" t="inlineStr"/>
    </row>
    <row r="253">
      <c r="A253" s="4" t="inlineStr">
        <is>
          <t>C17</t>
        </is>
      </c>
      <c r="B253" s="4" t="inlineStr">
        <is>
          <t>POSTEF 24FO nhập đài (cs 1550→1288)</t>
        </is>
      </c>
      <c r="C253" s="4" t="n">
        <v>21</v>
      </c>
      <c r="D253" s="4" t="inlineStr">
        <is>
          <t>xanh lá</t>
        </is>
      </c>
      <c r="E253" s="4" t="inlineStr">
        <is>
          <t>trống/chưa rõ</t>
        </is>
      </c>
      <c r="F253" s="4" t="inlineStr"/>
      <c r="G253" s="4" t="inlineStr"/>
      <c r="H253" s="4" t="inlineStr"/>
    </row>
    <row r="254">
      <c r="A254" s="4" t="inlineStr">
        <is>
          <t>C17</t>
        </is>
      </c>
      <c r="B254" s="4" t="inlineStr">
        <is>
          <t>POSTEF 24FO nhập đài (cs 1550→1288)</t>
        </is>
      </c>
      <c r="C254" s="4" t="n">
        <v>22</v>
      </c>
      <c r="D254" s="4" t="inlineStr">
        <is>
          <t>nâu</t>
        </is>
      </c>
      <c r="E254" s="4" t="inlineStr">
        <is>
          <t>trống/chưa rõ</t>
        </is>
      </c>
      <c r="F254" s="4" t="inlineStr"/>
      <c r="G254" s="4" t="inlineStr"/>
      <c r="H254" s="4" t="inlineStr"/>
    </row>
    <row r="255">
      <c r="A255" s="4" t="inlineStr">
        <is>
          <t>C17</t>
        </is>
      </c>
      <c r="B255" s="4" t="inlineStr">
        <is>
          <t>POSTEF 24FO nhập đài (cs 1550→1288)</t>
        </is>
      </c>
      <c r="C255" s="4" t="n">
        <v>23</v>
      </c>
      <c r="D255" s="4" t="inlineStr">
        <is>
          <t>xám</t>
        </is>
      </c>
      <c r="E255" s="4" t="inlineStr">
        <is>
          <t>trống/chưa rõ</t>
        </is>
      </c>
      <c r="F255" s="4" t="inlineStr"/>
      <c r="G255" s="4" t="inlineStr"/>
      <c r="H255" s="4" t="inlineStr"/>
    </row>
    <row r="256">
      <c r="A256" s="4" t="inlineStr">
        <is>
          <t>C17</t>
        </is>
      </c>
      <c r="B256" s="4" t="inlineStr">
        <is>
          <t>POSTEF 24FO nhập đài (cs 1550→1288)</t>
        </is>
      </c>
      <c r="C256" s="4" t="n">
        <v>24</v>
      </c>
      <c r="D256" s="4" t="inlineStr">
        <is>
          <t>trắng</t>
        </is>
      </c>
      <c r="E256" s="4" t="inlineStr">
        <is>
          <t>trống/chưa rõ</t>
        </is>
      </c>
      <c r="F256" s="4" t="inlineStr"/>
      <c r="G256" s="4" t="inlineStr"/>
      <c r="H256" s="4" t="inlineStr"/>
    </row>
    <row r="257">
      <c r="A257" s="4" t="inlineStr">
        <is>
          <t>C18</t>
        </is>
      </c>
      <c r="B257" s="4" t="inlineStr">
        <is>
          <t>FOCAL 2020 vào HNB059 (6FO)</t>
        </is>
      </c>
      <c r="C257" s="4" t="n">
        <v>1</v>
      </c>
      <c r="D257" s="4" t="inlineStr">
        <is>
          <t>xanh dương</t>
        </is>
      </c>
      <c r="E257" s="16" t="inlineStr">
        <is>
          <t>dùng R1-01</t>
        </is>
      </c>
      <c r="F257" s="4" t="inlineStr"/>
      <c r="G257" s="4" t="inlineStr"/>
      <c r="H257" s="4" t="inlineStr">
        <is>
          <t>R1-01</t>
        </is>
      </c>
    </row>
    <row r="258">
      <c r="A258" s="4" t="inlineStr">
        <is>
          <t>C18</t>
        </is>
      </c>
      <c r="B258" s="4" t="inlineStr">
        <is>
          <t>FOCAL 2020 vào HNB059 (6FO)</t>
        </is>
      </c>
      <c r="C258" s="4" t="n">
        <v>2</v>
      </c>
      <c r="D258" s="4" t="inlineStr">
        <is>
          <t>cam</t>
        </is>
      </c>
      <c r="E258" s="16" t="inlineStr">
        <is>
          <t>dùng R1-01</t>
        </is>
      </c>
      <c r="F258" s="4" t="inlineStr"/>
      <c r="G258" s="4" t="inlineStr"/>
      <c r="H258" s="4" t="inlineStr">
        <is>
          <t>R1-01</t>
        </is>
      </c>
    </row>
    <row r="259">
      <c r="A259" s="4" t="inlineStr">
        <is>
          <t>C18</t>
        </is>
      </c>
      <c r="B259" s="4" t="inlineStr">
        <is>
          <t>FOCAL 2020 vào HNB059 (6FO)</t>
        </is>
      </c>
      <c r="C259" s="4" t="n">
        <v>3</v>
      </c>
      <c r="D259" s="4" t="inlineStr">
        <is>
          <t>xanh lá</t>
        </is>
      </c>
      <c r="E259" s="4" t="inlineStr">
        <is>
          <t>trống/chưa rõ</t>
        </is>
      </c>
      <c r="F259" s="4" t="inlineStr"/>
      <c r="G259" s="4" t="inlineStr"/>
      <c r="H259" s="4" t="inlineStr"/>
    </row>
    <row r="260">
      <c r="A260" s="4" t="inlineStr">
        <is>
          <t>C18</t>
        </is>
      </c>
      <c r="B260" s="4" t="inlineStr">
        <is>
          <t>FOCAL 2020 vào HNB059 (6FO)</t>
        </is>
      </c>
      <c r="C260" s="4" t="n">
        <v>4</v>
      </c>
      <c r="D260" s="4" t="inlineStr">
        <is>
          <t>nâu</t>
        </is>
      </c>
      <c r="E260" s="4" t="inlineStr">
        <is>
          <t>trống/chưa rõ</t>
        </is>
      </c>
      <c r="F260" s="4" t="inlineStr"/>
      <c r="G260" s="4" t="inlineStr"/>
      <c r="H260" s="4" t="inlineStr"/>
    </row>
    <row r="261">
      <c r="A261" s="4" t="inlineStr">
        <is>
          <t>C18</t>
        </is>
      </c>
      <c r="B261" s="4" t="inlineStr">
        <is>
          <t>FOCAL 2020 vào HNB059 (6FO)</t>
        </is>
      </c>
      <c r="C261" s="4" t="n">
        <v>5</v>
      </c>
      <c r="D261" s="4" t="inlineStr">
        <is>
          <t>xám</t>
        </is>
      </c>
      <c r="E261" s="4" t="inlineStr">
        <is>
          <t>trống/chưa rõ</t>
        </is>
      </c>
      <c r="F261" s="4" t="inlineStr"/>
      <c r="G261" s="4" t="inlineStr"/>
      <c r="H261" s="4" t="inlineStr"/>
    </row>
    <row r="262">
      <c r="A262" s="4" t="inlineStr">
        <is>
          <t>C18</t>
        </is>
      </c>
      <c r="B262" s="4" t="inlineStr">
        <is>
          <t>FOCAL 2020 vào HNB059 (6FO)</t>
        </is>
      </c>
      <c r="C262" s="4" t="n">
        <v>6</v>
      </c>
      <c r="D262" s="4" t="inlineStr">
        <is>
          <t>trắng</t>
        </is>
      </c>
      <c r="E262" s="4" t="inlineStr">
        <is>
          <t>trống/chưa rõ</t>
        </is>
      </c>
      <c r="F262" s="4" t="inlineStr"/>
      <c r="G262" s="4" t="inlineStr"/>
      <c r="H262" s="4" t="inlineStr"/>
    </row>
    <row r="263">
      <c r="A263" s="4" t="inlineStr">
        <is>
          <t>C19</t>
        </is>
      </c>
      <c r="B263" s="4" t="inlineStr">
        <is>
          <t>FOCAL 2020 HNB059 → HNB060 (6FO)</t>
        </is>
      </c>
      <c r="C263" s="4" t="n">
        <v>1</v>
      </c>
      <c r="D263" s="4" t="inlineStr">
        <is>
          <t>xanh dương</t>
        </is>
      </c>
      <c r="E263" s="16" t="inlineStr">
        <is>
          <t>dùng R1-02</t>
        </is>
      </c>
      <c r="F263" s="4" t="inlineStr"/>
      <c r="G263" s="4" t="inlineStr"/>
      <c r="H263" s="4" t="inlineStr">
        <is>
          <t>R1-02</t>
        </is>
      </c>
    </row>
    <row r="264">
      <c r="A264" s="4" t="inlineStr">
        <is>
          <t>C19</t>
        </is>
      </c>
      <c r="B264" s="4" t="inlineStr">
        <is>
          <t>FOCAL 2020 HNB059 → HNB060 (6FO)</t>
        </is>
      </c>
      <c r="C264" s="4" t="n">
        <v>2</v>
      </c>
      <c r="D264" s="4" t="inlineStr">
        <is>
          <t>cam</t>
        </is>
      </c>
      <c r="E264" s="16" t="inlineStr">
        <is>
          <t>dùng R1-02</t>
        </is>
      </c>
      <c r="F264" s="4" t="inlineStr"/>
      <c r="G264" s="4" t="inlineStr"/>
      <c r="H264" s="4" t="inlineStr">
        <is>
          <t>R1-02</t>
        </is>
      </c>
    </row>
    <row r="265">
      <c r="A265" s="4" t="inlineStr">
        <is>
          <t>C19</t>
        </is>
      </c>
      <c r="B265" s="4" t="inlineStr">
        <is>
          <t>FOCAL 2020 HNB059 → HNB060 (6FO)</t>
        </is>
      </c>
      <c r="C265" s="4" t="n">
        <v>3</v>
      </c>
      <c r="D265" s="4" t="inlineStr">
        <is>
          <t>xanh lá</t>
        </is>
      </c>
      <c r="E265" s="4" t="inlineStr">
        <is>
          <t>trống/chưa rõ</t>
        </is>
      </c>
      <c r="F265" s="4" t="inlineStr"/>
      <c r="G265" s="4" t="inlineStr"/>
      <c r="H265" s="4" t="inlineStr"/>
    </row>
    <row r="266">
      <c r="A266" s="4" t="inlineStr">
        <is>
          <t>C19</t>
        </is>
      </c>
      <c r="B266" s="4" t="inlineStr">
        <is>
          <t>FOCAL 2020 HNB059 → HNB060 (6FO)</t>
        </is>
      </c>
      <c r="C266" s="4" t="n">
        <v>4</v>
      </c>
      <c r="D266" s="4" t="inlineStr">
        <is>
          <t>nâu</t>
        </is>
      </c>
      <c r="E266" s="4" t="inlineStr">
        <is>
          <t>trống/chưa rõ</t>
        </is>
      </c>
      <c r="F266" s="4" t="inlineStr"/>
      <c r="G266" s="4" t="inlineStr"/>
      <c r="H266" s="4" t="inlineStr"/>
    </row>
    <row r="267">
      <c r="A267" s="4" t="inlineStr">
        <is>
          <t>C19</t>
        </is>
      </c>
      <c r="B267" s="4" t="inlineStr">
        <is>
          <t>FOCAL 2020 HNB059 → HNB060 (6FO)</t>
        </is>
      </c>
      <c r="C267" s="4" t="n">
        <v>5</v>
      </c>
      <c r="D267" s="4" t="inlineStr">
        <is>
          <t>xám</t>
        </is>
      </c>
      <c r="E267" s="4" t="inlineStr">
        <is>
          <t>trống/chưa rõ</t>
        </is>
      </c>
      <c r="F267" s="4" t="inlineStr"/>
      <c r="G267" s="4" t="inlineStr"/>
      <c r="H267" s="4" t="inlineStr"/>
    </row>
    <row r="268">
      <c r="A268" s="4" t="inlineStr">
        <is>
          <t>C19</t>
        </is>
      </c>
      <c r="B268" s="4" t="inlineStr">
        <is>
          <t>FOCAL 2020 HNB059 → HNB060 (6FO)</t>
        </is>
      </c>
      <c r="C268" s="4" t="n">
        <v>6</v>
      </c>
      <c r="D268" s="4" t="inlineStr">
        <is>
          <t>trắng</t>
        </is>
      </c>
      <c r="E268" s="4" t="inlineStr">
        <is>
          <t>trống/chưa rõ</t>
        </is>
      </c>
      <c r="F268" s="4" t="inlineStr"/>
      <c r="G268" s="4" t="inlineStr"/>
      <c r="H268" s="4" t="inlineStr"/>
    </row>
    <row r="269">
      <c r="A269" s="4" t="inlineStr">
        <is>
          <t>C20</t>
        </is>
      </c>
      <c r="B269" s="4" t="inlineStr">
        <is>
          <t>FOCAL 2020 HNB060 → HNB048 (6FO)</t>
        </is>
      </c>
      <c r="C269" s="4" t="n">
        <v>1</v>
      </c>
      <c r="D269" s="4" t="inlineStr">
        <is>
          <t>xanh dương</t>
        </is>
      </c>
      <c r="E269" s="16" t="inlineStr">
        <is>
          <t>dùng R1-03</t>
        </is>
      </c>
      <c r="F269" s="4" t="inlineStr"/>
      <c r="G269" s="4" t="inlineStr"/>
      <c r="H269" s="4" t="inlineStr">
        <is>
          <t>R1-03</t>
        </is>
      </c>
    </row>
    <row r="270">
      <c r="A270" s="4" t="inlineStr">
        <is>
          <t>C20</t>
        </is>
      </c>
      <c r="B270" s="4" t="inlineStr">
        <is>
          <t>FOCAL 2020 HNB060 → HNB048 (6FO)</t>
        </is>
      </c>
      <c r="C270" s="4" t="n">
        <v>2</v>
      </c>
      <c r="D270" s="4" t="inlineStr">
        <is>
          <t>cam</t>
        </is>
      </c>
      <c r="E270" s="16" t="inlineStr">
        <is>
          <t>dùng R1-03</t>
        </is>
      </c>
      <c r="F270" s="4" t="inlineStr"/>
      <c r="G270" s="4" t="inlineStr"/>
      <c r="H270" s="4" t="inlineStr">
        <is>
          <t>R1-03</t>
        </is>
      </c>
    </row>
    <row r="271">
      <c r="A271" s="4" t="inlineStr">
        <is>
          <t>C20</t>
        </is>
      </c>
      <c r="B271" s="4" t="inlineStr">
        <is>
          <t>FOCAL 2020 HNB060 → HNB048 (6FO)</t>
        </is>
      </c>
      <c r="C271" s="4" t="n">
        <v>3</v>
      </c>
      <c r="D271" s="4" t="inlineStr">
        <is>
          <t>xanh lá</t>
        </is>
      </c>
      <c r="E271" s="4" t="inlineStr">
        <is>
          <t>trống/chưa rõ</t>
        </is>
      </c>
      <c r="F271" s="4" t="inlineStr"/>
      <c r="G271" s="4" t="inlineStr"/>
      <c r="H271" s="4" t="inlineStr"/>
    </row>
    <row r="272">
      <c r="A272" s="4" t="inlineStr">
        <is>
          <t>C20</t>
        </is>
      </c>
      <c r="B272" s="4" t="inlineStr">
        <is>
          <t>FOCAL 2020 HNB060 → HNB048 (6FO)</t>
        </is>
      </c>
      <c r="C272" s="4" t="n">
        <v>4</v>
      </c>
      <c r="D272" s="4" t="inlineStr">
        <is>
          <t>nâu</t>
        </is>
      </c>
      <c r="E272" s="4" t="inlineStr">
        <is>
          <t>trống/chưa rõ</t>
        </is>
      </c>
      <c r="F272" s="4" t="inlineStr"/>
      <c r="G272" s="4" t="inlineStr"/>
      <c r="H272" s="4" t="inlineStr"/>
    </row>
    <row r="273">
      <c r="A273" s="4" t="inlineStr">
        <is>
          <t>C20</t>
        </is>
      </c>
      <c r="B273" s="4" t="inlineStr">
        <is>
          <t>FOCAL 2020 HNB060 → HNB048 (6FO)</t>
        </is>
      </c>
      <c r="C273" s="4" t="n">
        <v>5</v>
      </c>
      <c r="D273" s="4" t="inlineStr">
        <is>
          <t>xám</t>
        </is>
      </c>
      <c r="E273" s="4" t="inlineStr">
        <is>
          <t>trống/chưa rõ</t>
        </is>
      </c>
      <c r="F273" s="4" t="inlineStr"/>
      <c r="G273" s="4" t="inlineStr"/>
      <c r="H273" s="4" t="inlineStr"/>
    </row>
    <row r="274">
      <c r="A274" s="4" t="inlineStr">
        <is>
          <t>C20</t>
        </is>
      </c>
      <c r="B274" s="4" t="inlineStr">
        <is>
          <t>FOCAL 2020 HNB060 → HNB048 (6FO)</t>
        </is>
      </c>
      <c r="C274" s="4" t="n">
        <v>6</v>
      </c>
      <c r="D274" s="4" t="inlineStr">
        <is>
          <t>trắng</t>
        </is>
      </c>
      <c r="E274" s="4" t="inlineStr">
        <is>
          <t>trống/chưa rõ</t>
        </is>
      </c>
      <c r="F274" s="4" t="inlineStr"/>
      <c r="G274" s="4" t="inlineStr"/>
      <c r="H274" s="4" t="inlineStr"/>
    </row>
    <row r="275">
      <c r="A275" s="4" t="inlineStr">
        <is>
          <t>C21</t>
        </is>
      </c>
      <c r="B275" s="4" t="inlineStr">
        <is>
          <t>FOCAL 2020 HNB048 → MX_NVT_03B (6FO)</t>
        </is>
      </c>
      <c r="C275" s="4" t="n">
        <v>1</v>
      </c>
      <c r="D275" s="4" t="inlineStr">
        <is>
          <t>xanh dương</t>
        </is>
      </c>
      <c r="E275" s="16" t="inlineStr">
        <is>
          <t>dùng R1-04</t>
        </is>
      </c>
      <c r="F275" s="4" t="inlineStr"/>
      <c r="G275" s="4" t="inlineStr"/>
      <c r="H275" s="4" t="inlineStr">
        <is>
          <t>R1-04</t>
        </is>
      </c>
    </row>
    <row r="276">
      <c r="A276" s="4" t="inlineStr">
        <is>
          <t>C21</t>
        </is>
      </c>
      <c r="B276" s="4" t="inlineStr">
        <is>
          <t>FOCAL 2020 HNB048 → MX_NVT_03B (6FO)</t>
        </is>
      </c>
      <c r="C276" s="4" t="n">
        <v>2</v>
      </c>
      <c r="D276" s="4" t="inlineStr">
        <is>
          <t>cam</t>
        </is>
      </c>
      <c r="E276" s="16" t="inlineStr">
        <is>
          <t>dùng R1-04</t>
        </is>
      </c>
      <c r="F276" s="4" t="inlineStr"/>
      <c r="G276" s="4" t="inlineStr"/>
      <c r="H276" s="4" t="inlineStr">
        <is>
          <t>R1-04</t>
        </is>
      </c>
    </row>
    <row r="277">
      <c r="A277" s="4" t="inlineStr">
        <is>
          <t>C21</t>
        </is>
      </c>
      <c r="B277" s="4" t="inlineStr">
        <is>
          <t>FOCAL 2020 HNB048 → MX_NVT_03B (6FO)</t>
        </is>
      </c>
      <c r="C277" s="4" t="n">
        <v>3</v>
      </c>
      <c r="D277" s="4" t="inlineStr">
        <is>
          <t>xanh lá</t>
        </is>
      </c>
      <c r="E277" s="4" t="inlineStr">
        <is>
          <t>trống/chưa rõ</t>
        </is>
      </c>
      <c r="F277" s="4" t="inlineStr"/>
      <c r="G277" s="4" t="inlineStr"/>
      <c r="H277" s="4" t="inlineStr"/>
    </row>
    <row r="278">
      <c r="A278" s="4" t="inlineStr">
        <is>
          <t>C21</t>
        </is>
      </c>
      <c r="B278" s="4" t="inlineStr">
        <is>
          <t>FOCAL 2020 HNB048 → MX_NVT_03B (6FO)</t>
        </is>
      </c>
      <c r="C278" s="4" t="n">
        <v>4</v>
      </c>
      <c r="D278" s="4" t="inlineStr">
        <is>
          <t>nâu</t>
        </is>
      </c>
      <c r="E278" s="4" t="inlineStr">
        <is>
          <t>trống/chưa rõ</t>
        </is>
      </c>
      <c r="F278" s="4" t="inlineStr"/>
      <c r="G278" s="4" t="inlineStr"/>
      <c r="H278" s="4" t="inlineStr"/>
    </row>
    <row r="279">
      <c r="A279" s="4" t="inlineStr">
        <is>
          <t>C21</t>
        </is>
      </c>
      <c r="B279" s="4" t="inlineStr">
        <is>
          <t>FOCAL 2020 HNB048 → MX_NVT_03B (6FO)</t>
        </is>
      </c>
      <c r="C279" s="4" t="n">
        <v>5</v>
      </c>
      <c r="D279" s="4" t="inlineStr">
        <is>
          <t>xám</t>
        </is>
      </c>
      <c r="E279" s="4" t="inlineStr">
        <is>
          <t>trống/chưa rõ</t>
        </is>
      </c>
      <c r="F279" s="4" t="inlineStr"/>
      <c r="G279" s="4" t="inlineStr"/>
      <c r="H279" s="4" t="inlineStr"/>
    </row>
    <row r="280">
      <c r="A280" s="4" t="inlineStr">
        <is>
          <t>C21</t>
        </is>
      </c>
      <c r="B280" s="4" t="inlineStr">
        <is>
          <t>FOCAL 2020 HNB048 → MX_NVT_03B (6FO)</t>
        </is>
      </c>
      <c r="C280" s="4" t="n">
        <v>6</v>
      </c>
      <c r="D280" s="4" t="inlineStr">
        <is>
          <t>trắng</t>
        </is>
      </c>
      <c r="E280" s="4" t="inlineStr">
        <is>
          <t>trống/chưa rõ</t>
        </is>
      </c>
      <c r="F280" s="4" t="inlineStr"/>
      <c r="G280" s="4" t="inlineStr"/>
      <c r="H280" s="4" t="inlineStr"/>
    </row>
  </sheetData>
  <autoFilter ref="A28:H280"/>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L18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7" customWidth="1" min="2" max="2"/>
    <col width="46" customWidth="1" min="3" max="3"/>
    <col width="7" customWidth="1" min="4" max="4"/>
    <col width="6" customWidth="1" min="5" max="5"/>
    <col width="11" customWidth="1" min="6" max="6"/>
    <col width="46" customWidth="1" min="7" max="7"/>
    <col width="7" customWidth="1" min="8" max="8"/>
    <col width="6" customWidth="1" min="9" max="9"/>
    <col width="11" customWidth="1" min="10" max="10"/>
    <col width="16" customWidth="1" min="11" max="11"/>
    <col width="30" customWidth="1" min="12" max="12"/>
  </cols>
  <sheetData>
    <row r="1">
      <c r="A1" s="1" t="inlineStr">
        <is>
          <t>Bảng phối core tại măng xông: core nào hàn với core nào</t>
        </is>
      </c>
    </row>
    <row r="2">
      <c r="A2" s="2" t="inlineStr">
        <is>
          <t>Suy từ nhãn trong sơ đồ MX (cùng nhãn = cùng nhóm hàn; core nhỏ hàn core nhỏ). Màu sợi/ống theo thứ tự 6 sợi/ống (giả định). Cột "Trạm" lấy từ tên trạm ghi sát nhãn.</t>
        </is>
      </c>
    </row>
    <row r="4" ht="32" customHeight="1">
      <c r="A4" s="3" t="inlineStr">
        <is>
          <t>Măng xông</t>
        </is>
      </c>
      <c r="B4" s="3" t="inlineStr">
        <is>
          <t>Nhãn</t>
        </is>
      </c>
      <c r="C4" s="3" t="inlineStr">
        <is>
          <t>Cáp A</t>
        </is>
      </c>
      <c r="D4" s="3" t="inlineStr">
        <is>
          <t>Core A</t>
        </is>
      </c>
      <c r="E4" s="3" t="inlineStr">
        <is>
          <t>Ống A</t>
        </is>
      </c>
      <c r="F4" s="3" t="inlineStr">
        <is>
          <t>Màu A</t>
        </is>
      </c>
      <c r="G4" s="3" t="inlineStr">
        <is>
          <t>Cáp B</t>
        </is>
      </c>
      <c r="H4" s="3" t="inlineStr">
        <is>
          <t>Core B</t>
        </is>
      </c>
      <c r="I4" s="3" t="inlineStr">
        <is>
          <t>Ống B</t>
        </is>
      </c>
      <c r="J4" s="3" t="inlineStr">
        <is>
          <t>Màu B</t>
        </is>
      </c>
      <c r="K4" s="3" t="inlineStr">
        <is>
          <t>Trạm (ghi trong sơ đồ)</t>
        </is>
      </c>
      <c r="L4" s="3" t="inlineStr">
        <is>
          <t>Ghi chú</t>
        </is>
      </c>
    </row>
    <row r="5">
      <c r="A5" s="4" t="inlineStr">
        <is>
          <t>MX_PHẠM HÙNG</t>
        </is>
      </c>
      <c r="B5" s="4" t="inlineStr">
        <is>
          <t>A</t>
        </is>
      </c>
      <c r="C5" s="4" t="inlineStr">
        <is>
          <t>K4 · 8FO → HNB014</t>
        </is>
      </c>
      <c r="D5" s="4" t="n">
        <v>1</v>
      </c>
      <c r="E5" s="4" t="n">
        <v>1</v>
      </c>
      <c r="F5" s="4" t="inlineStr">
        <is>
          <t>xanh dương</t>
        </is>
      </c>
      <c r="G5" s="4" t="inlineStr">
        <is>
          <t>K17 · Focal 6/2007 8FO → HNB012</t>
        </is>
      </c>
      <c r="H5" s="4" t="n">
        <v>1</v>
      </c>
      <c r="I5" s="4" t="n">
        <v>1</v>
      </c>
      <c r="J5" s="4" t="inlineStr">
        <is>
          <t>xanh dương</t>
        </is>
      </c>
      <c r="K5" s="4" t="inlineStr"/>
      <c r="L5" s="22" t="inlineStr"/>
    </row>
    <row r="6">
      <c r="A6" s="4" t="inlineStr">
        <is>
          <t>MX_PHẠM HÙNG</t>
        </is>
      </c>
      <c r="B6" s="4" t="inlineStr">
        <is>
          <t>A</t>
        </is>
      </c>
      <c r="C6" s="4" t="inlineStr">
        <is>
          <t>K4 · 8FO → HNB014</t>
        </is>
      </c>
      <c r="D6" s="4" t="n">
        <v>2</v>
      </c>
      <c r="E6" s="4" t="n">
        <v>1</v>
      </c>
      <c r="F6" s="4" t="inlineStr">
        <is>
          <t>cam</t>
        </is>
      </c>
      <c r="G6" s="4" t="inlineStr">
        <is>
          <t>K17 · Focal 6/2007 8FO → HNB012</t>
        </is>
      </c>
      <c r="H6" s="4" t="n">
        <v>2</v>
      </c>
      <c r="I6" s="4" t="n">
        <v>1</v>
      </c>
      <c r="J6" s="4" t="inlineStr">
        <is>
          <t>cam</t>
        </is>
      </c>
      <c r="K6" s="4" t="inlineStr"/>
      <c r="L6" s="22" t="inlineStr"/>
    </row>
    <row r="7">
      <c r="A7" s="4" t="inlineStr">
        <is>
          <t>MX_PHẠM HÙNG</t>
        </is>
      </c>
      <c r="B7" s="4" t="inlineStr">
        <is>
          <t>A</t>
        </is>
      </c>
      <c r="C7" s="4" t="inlineStr">
        <is>
          <t>K4 · 8FO → HNB014</t>
        </is>
      </c>
      <c r="D7" s="4" t="n">
        <v>3</v>
      </c>
      <c r="E7" s="4" t="n">
        <v>1</v>
      </c>
      <c r="F7" s="4" t="inlineStr">
        <is>
          <t>xanh lá</t>
        </is>
      </c>
      <c r="G7" s="4" t="inlineStr">
        <is>
          <t>K17 · Focal 6/2007 8FO → HNB012</t>
        </is>
      </c>
      <c r="H7" s="4" t="n">
        <v>3</v>
      </c>
      <c r="I7" s="4" t="n">
        <v>1</v>
      </c>
      <c r="J7" s="4" t="inlineStr">
        <is>
          <t>xanh lá</t>
        </is>
      </c>
      <c r="K7" s="4" t="inlineStr"/>
      <c r="L7" s="22" t="inlineStr"/>
    </row>
    <row r="8">
      <c r="A8" s="4" t="inlineStr">
        <is>
          <t>MX_PHẠM HÙNG</t>
        </is>
      </c>
      <c r="B8" s="4" t="inlineStr">
        <is>
          <t>A</t>
        </is>
      </c>
      <c r="C8" s="4" t="inlineStr">
        <is>
          <t>K4 · 8FO → HNB014</t>
        </is>
      </c>
      <c r="D8" s="4" t="n">
        <v>4</v>
      </c>
      <c r="E8" s="4" t="n">
        <v>1</v>
      </c>
      <c r="F8" s="4" t="inlineStr">
        <is>
          <t>nâu</t>
        </is>
      </c>
      <c r="G8" s="4" t="inlineStr">
        <is>
          <t>K17 · Focal 6/2007 8FO → HNB012</t>
        </is>
      </c>
      <c r="H8" s="4" t="n">
        <v>4</v>
      </c>
      <c r="I8" s="4" t="n">
        <v>1</v>
      </c>
      <c r="J8" s="4" t="inlineStr">
        <is>
          <t>nâu</t>
        </is>
      </c>
      <c r="K8" s="4" t="inlineStr"/>
      <c r="L8" s="22" t="inlineStr"/>
    </row>
    <row r="9">
      <c r="A9" s="4" t="inlineStr">
        <is>
          <t>MX_PHẠM HÙNG</t>
        </is>
      </c>
      <c r="B9" s="4" t="inlineStr">
        <is>
          <t>B</t>
        </is>
      </c>
      <c r="C9" s="4" t="inlineStr">
        <is>
          <t>K4 · 8FO → HNB014</t>
        </is>
      </c>
      <c r="D9" s="4" t="n">
        <v>5</v>
      </c>
      <c r="E9" s="4" t="n">
        <v>1</v>
      </c>
      <c r="F9" s="4" t="inlineStr">
        <is>
          <t>xám</t>
        </is>
      </c>
      <c r="G9" s="4" t="inlineStr">
        <is>
          <t>C17 · 6FO → HNB113</t>
        </is>
      </c>
      <c r="H9" s="4" t="n">
        <v>1</v>
      </c>
      <c r="I9" s="4" t="n">
        <v>1</v>
      </c>
      <c r="J9" s="4" t="inlineStr">
        <is>
          <t>xanh dương</t>
        </is>
      </c>
      <c r="K9" s="4" t="inlineStr"/>
      <c r="L9" s="22" t="inlineStr"/>
    </row>
    <row r="10">
      <c r="A10" s="4" t="inlineStr">
        <is>
          <t>MX_PHẠM HÙNG</t>
        </is>
      </c>
      <c r="B10" s="4" t="inlineStr">
        <is>
          <t>B</t>
        </is>
      </c>
      <c r="C10" s="4" t="inlineStr">
        <is>
          <t>K4 · 8FO → HNB014</t>
        </is>
      </c>
      <c r="D10" s="4" t="n">
        <v>6</v>
      </c>
      <c r="E10" s="4" t="n">
        <v>1</v>
      </c>
      <c r="F10" s="4" t="inlineStr">
        <is>
          <t>trắng</t>
        </is>
      </c>
      <c r="G10" s="4" t="inlineStr">
        <is>
          <t>C17 · 6FO → HNB113</t>
        </is>
      </c>
      <c r="H10" s="4" t="n">
        <v>2</v>
      </c>
      <c r="I10" s="4" t="n">
        <v>1</v>
      </c>
      <c r="J10" s="4" t="inlineStr">
        <is>
          <t>cam</t>
        </is>
      </c>
      <c r="K10" s="4" t="inlineStr"/>
      <c r="L10" s="22" t="inlineStr"/>
    </row>
    <row r="11">
      <c r="A11" s="4" t="inlineStr">
        <is>
          <t>MX_PHẠM HÙNG</t>
        </is>
      </c>
      <c r="B11" s="4" t="inlineStr">
        <is>
          <t>B</t>
        </is>
      </c>
      <c r="C11" s="4" t="inlineStr">
        <is>
          <t>K4 · 8FO → HNB014</t>
        </is>
      </c>
      <c r="D11" s="4" t="n">
        <v>7</v>
      </c>
      <c r="E11" s="4" t="n">
        <v>2</v>
      </c>
      <c r="F11" s="4" t="inlineStr">
        <is>
          <t>xanh dương</t>
        </is>
      </c>
      <c r="G11" s="4" t="inlineStr">
        <is>
          <t>C17 · 6FO → HNB113</t>
        </is>
      </c>
      <c r="H11" s="4" t="n">
        <v>3</v>
      </c>
      <c r="I11" s="4" t="n">
        <v>1</v>
      </c>
      <c r="J11" s="4" t="inlineStr">
        <is>
          <t>xanh lá</t>
        </is>
      </c>
      <c r="K11" s="4" t="inlineStr"/>
      <c r="L11" s="22" t="inlineStr"/>
    </row>
    <row r="12">
      <c r="A12" s="4" t="inlineStr">
        <is>
          <t>MX_PHẠM HÙNG</t>
        </is>
      </c>
      <c r="B12" s="4" t="inlineStr">
        <is>
          <t>B</t>
        </is>
      </c>
      <c r="C12" s="4" t="inlineStr">
        <is>
          <t>K4 · 8FO → HNB014</t>
        </is>
      </c>
      <c r="D12" s="4" t="n">
        <v>8</v>
      </c>
      <c r="E12" s="4" t="n">
        <v>2</v>
      </c>
      <c r="F12" s="4" t="inlineStr">
        <is>
          <t>cam</t>
        </is>
      </c>
      <c r="G12" s="4" t="inlineStr">
        <is>
          <t>C17 · 6FO → HNB113</t>
        </is>
      </c>
      <c r="H12" s="4" t="n">
        <v>4</v>
      </c>
      <c r="I12" s="4" t="n">
        <v>1</v>
      </c>
      <c r="J12" s="4" t="inlineStr">
        <is>
          <t>nâu</t>
        </is>
      </c>
      <c r="K12" s="4" t="inlineStr"/>
      <c r="L12" s="22" t="inlineStr"/>
    </row>
    <row r="13">
      <c r="A13" s="4" t="inlineStr">
        <is>
          <t>MX_LVL-01</t>
        </is>
      </c>
      <c r="B13" s="4" t="inlineStr">
        <is>
          <t>A</t>
        </is>
      </c>
      <c r="C13" s="4" t="inlineStr">
        <is>
          <t>AM5 · VINA 2018 AESS 12FO → HNB011</t>
        </is>
      </c>
      <c r="D13" s="4" t="n">
        <v>1</v>
      </c>
      <c r="E13" s="4" t="n">
        <v>1</v>
      </c>
      <c r="F13" s="4" t="inlineStr">
        <is>
          <t>xanh dương</t>
        </is>
      </c>
      <c r="G13" s="4" t="inlineStr">
        <is>
          <t>AA8 · FOCAL 2020 12FO → Đào Sư Tích</t>
        </is>
      </c>
      <c r="H13" s="4" t="n">
        <v>3</v>
      </c>
      <c r="I13" s="4" t="n">
        <v>1</v>
      </c>
      <c r="J13" s="4" t="inlineStr">
        <is>
          <t>xanh lá</t>
        </is>
      </c>
      <c r="K13" s="4" t="inlineStr">
        <is>
          <t>HNB011</t>
        </is>
      </c>
      <c r="L13" s="22" t="inlineStr"/>
    </row>
    <row r="14">
      <c r="A14" s="4" t="inlineStr">
        <is>
          <t>MX_LVL-01</t>
        </is>
      </c>
      <c r="B14" s="4" t="inlineStr">
        <is>
          <t>A</t>
        </is>
      </c>
      <c r="C14" s="4" t="inlineStr">
        <is>
          <t>AM5 · VINA 2018 AESS 12FO → HNB011</t>
        </is>
      </c>
      <c r="D14" s="4" t="n">
        <v>2</v>
      </c>
      <c r="E14" s="4" t="n">
        <v>1</v>
      </c>
      <c r="F14" s="4" t="inlineStr">
        <is>
          <t>cam</t>
        </is>
      </c>
      <c r="G14" s="4" t="inlineStr">
        <is>
          <t>AA8 · FOCAL 2020 12FO → Đào Sư Tích</t>
        </is>
      </c>
      <c r="H14" s="4" t="n">
        <v>4</v>
      </c>
      <c r="I14" s="4" t="n">
        <v>1</v>
      </c>
      <c r="J14" s="4" t="inlineStr">
        <is>
          <t>nâu</t>
        </is>
      </c>
      <c r="K14" s="4" t="inlineStr">
        <is>
          <t>HNB011</t>
        </is>
      </c>
      <c r="L14" s="22" t="inlineStr"/>
    </row>
    <row r="15">
      <c r="A15" s="4" t="inlineStr">
        <is>
          <t>MX_LVL-01</t>
        </is>
      </c>
      <c r="B15" s="4" t="inlineStr">
        <is>
          <t>B</t>
        </is>
      </c>
      <c r="C15" s="4" t="inlineStr">
        <is>
          <t>AA8 · FOCAL 2020 12FO → Đào Sư Tích</t>
        </is>
      </c>
      <c r="D15" s="4" t="n">
        <v>5</v>
      </c>
      <c r="E15" s="4" t="n">
        <v>1</v>
      </c>
      <c r="F15" s="4" t="inlineStr">
        <is>
          <t>xám</t>
        </is>
      </c>
      <c r="G15" s="4" t="inlineStr">
        <is>
          <t>AD22 · FOCAL 2013 12FO → LVL-Ngô Quang Thắm</t>
        </is>
      </c>
      <c r="H15" s="4" t="n">
        <v>5</v>
      </c>
      <c r="I15" s="4" t="n">
        <v>1</v>
      </c>
      <c r="J15" s="4" t="inlineStr">
        <is>
          <t>xám</t>
        </is>
      </c>
      <c r="K15" s="4" t="inlineStr">
        <is>
          <t>HNB055</t>
        </is>
      </c>
      <c r="L15" s="22" t="inlineStr"/>
    </row>
    <row r="16">
      <c r="A16" s="4" t="inlineStr">
        <is>
          <t>MX_LVL-01</t>
        </is>
      </c>
      <c r="B16" s="4" t="inlineStr">
        <is>
          <t>B</t>
        </is>
      </c>
      <c r="C16" s="4" t="inlineStr">
        <is>
          <t>AA8 · FOCAL 2020 12FO → Đào Sư Tích</t>
        </is>
      </c>
      <c r="D16" s="4" t="n">
        <v>6</v>
      </c>
      <c r="E16" s="4" t="n">
        <v>1</v>
      </c>
      <c r="F16" s="4" t="inlineStr">
        <is>
          <t>trắng</t>
        </is>
      </c>
      <c r="G16" s="4" t="inlineStr">
        <is>
          <t>AD22 · FOCAL 2013 12FO → LVL-Ngô Quang Thắm</t>
        </is>
      </c>
      <c r="H16" s="4" t="n">
        <v>6</v>
      </c>
      <c r="I16" s="4" t="n">
        <v>1</v>
      </c>
      <c r="J16" s="4" t="inlineStr">
        <is>
          <t>trắng</t>
        </is>
      </c>
      <c r="K16" s="4" t="inlineStr">
        <is>
          <t>HNB055</t>
        </is>
      </c>
      <c r="L16" s="22" t="inlineStr"/>
    </row>
    <row r="17">
      <c r="A17" s="4" t="inlineStr">
        <is>
          <t>MX_LVL-01</t>
        </is>
      </c>
      <c r="B17" s="4" t="inlineStr">
        <is>
          <t>C</t>
        </is>
      </c>
      <c r="C17" s="4" t="inlineStr">
        <is>
          <t>AD5 · FOCAL 6/2007 12FO → HNB075</t>
        </is>
      </c>
      <c r="D17" s="4" t="n">
        <v>1</v>
      </c>
      <c r="E17" s="4" t="n">
        <v>1</v>
      </c>
      <c r="F17" s="4" t="inlineStr">
        <is>
          <t>xanh dương</t>
        </is>
      </c>
      <c r="G17" s="4" t="inlineStr">
        <is>
          <t>AD22 · FOCAL 2013 12FO → LVL-Ngô Quang Thắm</t>
        </is>
      </c>
      <c r="H17" s="4" t="n">
        <v>1</v>
      </c>
      <c r="I17" s="4" t="n">
        <v>1</v>
      </c>
      <c r="J17" s="4" t="inlineStr">
        <is>
          <t>xanh dương</t>
        </is>
      </c>
      <c r="K17" s="4" t="inlineStr">
        <is>
          <t>HNB075</t>
        </is>
      </c>
      <c r="L17" s="22" t="inlineStr"/>
    </row>
    <row r="18">
      <c r="A18" s="4" t="inlineStr">
        <is>
          <t>MX_LVL-01</t>
        </is>
      </c>
      <c r="B18" s="4" t="inlineStr">
        <is>
          <t>C</t>
        </is>
      </c>
      <c r="C18" s="4" t="inlineStr">
        <is>
          <t>AD5 · FOCAL 6/2007 12FO → HNB075</t>
        </is>
      </c>
      <c r="D18" s="4" t="n">
        <v>2</v>
      </c>
      <c r="E18" s="4" t="n">
        <v>1</v>
      </c>
      <c r="F18" s="4" t="inlineStr">
        <is>
          <t>cam</t>
        </is>
      </c>
      <c r="G18" s="4" t="inlineStr">
        <is>
          <t>AD22 · FOCAL 2013 12FO → LVL-Ngô Quang Thắm</t>
        </is>
      </c>
      <c r="H18" s="4" t="n">
        <v>2</v>
      </c>
      <c r="I18" s="4" t="n">
        <v>1</v>
      </c>
      <c r="J18" s="4" t="inlineStr">
        <is>
          <t>cam</t>
        </is>
      </c>
      <c r="K18" s="4" t="inlineStr">
        <is>
          <t>HNB075</t>
        </is>
      </c>
      <c r="L18" s="22" t="inlineStr"/>
    </row>
    <row r="19">
      <c r="A19" s="4" t="inlineStr">
        <is>
          <t>MX_LVL-01</t>
        </is>
      </c>
      <c r="B19" s="4" t="inlineStr">
        <is>
          <t>D</t>
        </is>
      </c>
      <c r="C19" s="4" t="inlineStr">
        <is>
          <t>AD5 · FOCAL 6/2007 12FO → HNB075</t>
        </is>
      </c>
      <c r="D19" s="4" t="n">
        <v>3</v>
      </c>
      <c r="E19" s="4" t="n">
        <v>1</v>
      </c>
      <c r="F19" s="4" t="inlineStr">
        <is>
          <t>xanh lá</t>
        </is>
      </c>
      <c r="G19" s="4" t="inlineStr">
        <is>
          <t>AD22 · FOCAL 2013 12FO → LVL-Ngô Quang Thắm</t>
        </is>
      </c>
      <c r="H19" s="4" t="n">
        <v>7</v>
      </c>
      <c r="I19" s="4" t="n">
        <v>2</v>
      </c>
      <c r="J19" s="4" t="inlineStr">
        <is>
          <t>xanh dương</t>
        </is>
      </c>
      <c r="K19" s="4" t="inlineStr"/>
      <c r="L19" s="22" t="inlineStr"/>
    </row>
    <row r="20">
      <c r="A20" s="4" t="inlineStr">
        <is>
          <t>MX_LVL-01</t>
        </is>
      </c>
      <c r="B20" s="4" t="inlineStr">
        <is>
          <t>D</t>
        </is>
      </c>
      <c r="C20" s="4" t="inlineStr">
        <is>
          <t>AD5 · FOCAL 6/2007 12FO → HNB075</t>
        </is>
      </c>
      <c r="D20" s="4" t="n">
        <v>4</v>
      </c>
      <c r="E20" s="4" t="n">
        <v>1</v>
      </c>
      <c r="F20" s="4" t="inlineStr">
        <is>
          <t>nâu</t>
        </is>
      </c>
      <c r="G20" s="4" t="inlineStr">
        <is>
          <t>AD22 · FOCAL 2013 12FO → LVL-Ngô Quang Thắm</t>
        </is>
      </c>
      <c r="H20" s="4" t="n">
        <v>8</v>
      </c>
      <c r="I20" s="4" t="n">
        <v>2</v>
      </c>
      <c r="J20" s="4" t="inlineStr">
        <is>
          <t>cam</t>
        </is>
      </c>
      <c r="K20" s="4" t="inlineStr"/>
      <c r="L20" s="22" t="inlineStr"/>
    </row>
    <row r="21">
      <c r="A21" s="4" t="inlineStr">
        <is>
          <t>MX_LVL-01</t>
        </is>
      </c>
      <c r="B21" s="4" t="inlineStr">
        <is>
          <t>D</t>
        </is>
      </c>
      <c r="C21" s="4" t="inlineStr">
        <is>
          <t>AD5 · FOCAL 6/2007 12FO → HNB075</t>
        </is>
      </c>
      <c r="D21" s="4" t="n">
        <v>5</v>
      </c>
      <c r="E21" s="4" t="n">
        <v>1</v>
      </c>
      <c r="F21" s="4" t="inlineStr">
        <is>
          <t>xám</t>
        </is>
      </c>
      <c r="G21" s="4" t="inlineStr">
        <is>
          <t>AD22 · FOCAL 2013 12FO → LVL-Ngô Quang Thắm</t>
        </is>
      </c>
      <c r="H21" s="4" t="n">
        <v>9</v>
      </c>
      <c r="I21" s="4" t="n">
        <v>2</v>
      </c>
      <c r="J21" s="4" t="inlineStr">
        <is>
          <t>xanh lá</t>
        </is>
      </c>
      <c r="K21" s="4" t="inlineStr"/>
      <c r="L21" s="22" t="inlineStr"/>
    </row>
    <row r="22">
      <c r="A22" s="4" t="inlineStr">
        <is>
          <t>MX_LVL-01</t>
        </is>
      </c>
      <c r="B22" s="4" t="inlineStr">
        <is>
          <t>D</t>
        </is>
      </c>
      <c r="C22" s="4" t="inlineStr">
        <is>
          <t>AD5 · FOCAL 6/2007 12FO → HNB075</t>
        </is>
      </c>
      <c r="D22" s="4" t="n">
        <v>6</v>
      </c>
      <c r="E22" s="4" t="n">
        <v>1</v>
      </c>
      <c r="F22" s="4" t="inlineStr">
        <is>
          <t>trắng</t>
        </is>
      </c>
      <c r="G22" s="4" t="inlineStr">
        <is>
          <t>AD22 · FOCAL 2013 12FO → LVL-Ngô Quang Thắm</t>
        </is>
      </c>
      <c r="H22" s="4" t="n">
        <v>10</v>
      </c>
      <c r="I22" s="4" t="n">
        <v>2</v>
      </c>
      <c r="J22" s="4" t="inlineStr">
        <is>
          <t>nâu</t>
        </is>
      </c>
      <c r="K22" s="4" t="inlineStr"/>
      <c r="L22" s="22" t="inlineStr"/>
    </row>
    <row r="23">
      <c r="A23" s="4" t="inlineStr">
        <is>
          <t>MX_LVL-01</t>
        </is>
      </c>
      <c r="B23" s="4" t="inlineStr">
        <is>
          <t>E</t>
        </is>
      </c>
      <c r="C23" s="4" t="inlineStr">
        <is>
          <t>AD5 · FOCAL 6/2007 12FO → HNB075</t>
        </is>
      </c>
      <c r="D23" s="4" t="n">
        <v>7</v>
      </c>
      <c r="E23" s="4" t="n">
        <v>2</v>
      </c>
      <c r="F23" s="4" t="inlineStr">
        <is>
          <t>xanh dương</t>
        </is>
      </c>
      <c r="G23" s="4" t="inlineStr">
        <is>
          <t>AA8 · FOCAL 2020 12FO → Đào Sư Tích</t>
        </is>
      </c>
      <c r="H23" s="4" t="n">
        <v>7</v>
      </c>
      <c r="I23" s="4" t="n">
        <v>2</v>
      </c>
      <c r="J23" s="4" t="inlineStr">
        <is>
          <t>xanh dương</t>
        </is>
      </c>
      <c r="K23" s="4" t="inlineStr"/>
      <c r="L23" s="22" t="inlineStr"/>
    </row>
    <row r="24">
      <c r="A24" s="4" t="inlineStr">
        <is>
          <t>MX_LVL-01</t>
        </is>
      </c>
      <c r="B24" s="4" t="inlineStr">
        <is>
          <t>E</t>
        </is>
      </c>
      <c r="C24" s="4" t="inlineStr">
        <is>
          <t>AD5 · FOCAL 6/2007 12FO → HNB075</t>
        </is>
      </c>
      <c r="D24" s="4" t="n">
        <v>8</v>
      </c>
      <c r="E24" s="4" t="n">
        <v>2</v>
      </c>
      <c r="F24" s="4" t="inlineStr">
        <is>
          <t>cam</t>
        </is>
      </c>
      <c r="G24" s="4" t="inlineStr">
        <is>
          <t>AA8 · FOCAL 2020 12FO → Đào Sư Tích</t>
        </is>
      </c>
      <c r="H24" s="4" t="n">
        <v>8</v>
      </c>
      <c r="I24" s="4" t="n">
        <v>2</v>
      </c>
      <c r="J24" s="4" t="inlineStr">
        <is>
          <t>cam</t>
        </is>
      </c>
      <c r="K24" s="4" t="inlineStr"/>
      <c r="L24" s="22" t="inlineStr"/>
    </row>
    <row r="25">
      <c r="A25" s="4" t="inlineStr">
        <is>
          <t>MX_LVL-02</t>
        </is>
      </c>
      <c r="B25" s="4" t="inlineStr">
        <is>
          <t>A</t>
        </is>
      </c>
      <c r="C25" s="4" t="inlineStr">
        <is>
          <t>AD28 · FOCAL 2013 12FO → Đào Sư Tích</t>
        </is>
      </c>
      <c r="D25" s="4" t="n">
        <v>1</v>
      </c>
      <c r="E25" s="4" t="n">
        <v>1</v>
      </c>
      <c r="F25" s="4" t="inlineStr">
        <is>
          <t>xanh dương</t>
        </is>
      </c>
      <c r="G25" s="4" t="inlineStr">
        <is>
          <t>AD41 · SACOM 1/2015 12FO → LVL-Ngô Quang Thắm</t>
        </is>
      </c>
      <c r="H25" s="4" t="n">
        <v>1</v>
      </c>
      <c r="I25" s="4" t="n">
        <v>1</v>
      </c>
      <c r="J25" s="4" t="inlineStr">
        <is>
          <t>xanh dương</t>
        </is>
      </c>
      <c r="K25" s="4" t="inlineStr">
        <is>
          <t>HNB075</t>
        </is>
      </c>
      <c r="L25" s="22" t="inlineStr"/>
    </row>
    <row r="26">
      <c r="A26" s="4" t="inlineStr">
        <is>
          <t>MX_LVL-02</t>
        </is>
      </c>
      <c r="B26" s="4" t="inlineStr">
        <is>
          <t>A</t>
        </is>
      </c>
      <c r="C26" s="4" t="inlineStr">
        <is>
          <t>AD28 · FOCAL 2013 12FO → Đào Sư Tích</t>
        </is>
      </c>
      <c r="D26" s="4" t="n">
        <v>2</v>
      </c>
      <c r="E26" s="4" t="n">
        <v>1</v>
      </c>
      <c r="F26" s="4" t="inlineStr">
        <is>
          <t>cam</t>
        </is>
      </c>
      <c r="G26" s="4" t="inlineStr">
        <is>
          <t>AD41 · SACOM 1/2015 12FO → LVL-Ngô Quang Thắm</t>
        </is>
      </c>
      <c r="H26" s="4" t="n">
        <v>2</v>
      </c>
      <c r="I26" s="4" t="n">
        <v>1</v>
      </c>
      <c r="J26" s="4" t="inlineStr">
        <is>
          <t>cam</t>
        </is>
      </c>
      <c r="K26" s="4" t="inlineStr">
        <is>
          <t>HNB075</t>
        </is>
      </c>
      <c r="L26" s="22" t="inlineStr"/>
    </row>
    <row r="27">
      <c r="A27" s="4" t="inlineStr">
        <is>
          <t>MX_LVL-02</t>
        </is>
      </c>
      <c r="B27" s="4" t="inlineStr">
        <is>
          <t>A</t>
        </is>
      </c>
      <c r="C27" s="4" t="inlineStr">
        <is>
          <t>AD28 · FOCAL 2013 12FO → Đào Sư Tích</t>
        </is>
      </c>
      <c r="D27" s="4" t="n">
        <v>7</v>
      </c>
      <c r="E27" s="4" t="n">
        <v>2</v>
      </c>
      <c r="F27" s="4" t="inlineStr">
        <is>
          <t>xanh dương</t>
        </is>
      </c>
      <c r="G27" s="4" t="inlineStr">
        <is>
          <t>AD41 · SACOM 1/2015 12FO → LVL-Ngô Quang Thắm</t>
        </is>
      </c>
      <c r="H27" s="4" t="n">
        <v>7</v>
      </c>
      <c r="I27" s="4" t="n">
        <v>2</v>
      </c>
      <c r="J27" s="4" t="inlineStr">
        <is>
          <t>xanh dương</t>
        </is>
      </c>
      <c r="K27" s="4" t="inlineStr"/>
      <c r="L27" s="22" t="inlineStr"/>
    </row>
    <row r="28">
      <c r="A28" s="4" t="inlineStr">
        <is>
          <t>MX_LVL-02</t>
        </is>
      </c>
      <c r="B28" s="4" t="inlineStr">
        <is>
          <t>A</t>
        </is>
      </c>
      <c r="C28" s="4" t="inlineStr">
        <is>
          <t>AD28 · FOCAL 2013 12FO → Đào Sư Tích</t>
        </is>
      </c>
      <c r="D28" s="4" t="n">
        <v>8</v>
      </c>
      <c r="E28" s="4" t="n">
        <v>2</v>
      </c>
      <c r="F28" s="4" t="inlineStr">
        <is>
          <t>cam</t>
        </is>
      </c>
      <c r="G28" s="4" t="inlineStr">
        <is>
          <t>AD41 · SACOM 1/2015 12FO → LVL-Ngô Quang Thắm</t>
        </is>
      </c>
      <c r="H28" s="4" t="n">
        <v>8</v>
      </c>
      <c r="I28" s="4" t="n">
        <v>2</v>
      </c>
      <c r="J28" s="4" t="inlineStr">
        <is>
          <t>cam</t>
        </is>
      </c>
      <c r="K28" s="4" t="inlineStr"/>
      <c r="L28" s="22" t="inlineStr"/>
    </row>
    <row r="29">
      <c r="A29" s="4" t="inlineStr">
        <is>
          <t>MX_LVL-02</t>
        </is>
      </c>
      <c r="B29" s="4" t="inlineStr">
        <is>
          <t>A</t>
        </is>
      </c>
      <c r="C29" s="4" t="inlineStr">
        <is>
          <t>AD28 · FOCAL 2013 12FO → Đào Sư Tích</t>
        </is>
      </c>
      <c r="D29" s="4" t="n">
        <v>9</v>
      </c>
      <c r="E29" s="4" t="n">
        <v>2</v>
      </c>
      <c r="F29" s="4" t="inlineStr">
        <is>
          <t>xanh lá</t>
        </is>
      </c>
      <c r="G29" s="4" t="inlineStr">
        <is>
          <t>AD41 · SACOM 1/2015 12FO → LVL-Ngô Quang Thắm</t>
        </is>
      </c>
      <c r="H29" s="4" t="n">
        <v>9</v>
      </c>
      <c r="I29" s="4" t="n">
        <v>2</v>
      </c>
      <c r="J29" s="4" t="inlineStr">
        <is>
          <t>xanh lá</t>
        </is>
      </c>
      <c r="K29" s="4" t="inlineStr"/>
      <c r="L29" s="22" t="inlineStr"/>
    </row>
    <row r="30">
      <c r="A30" s="4" t="inlineStr">
        <is>
          <t>MX_LVL-02</t>
        </is>
      </c>
      <c r="B30" s="4" t="inlineStr">
        <is>
          <t>A</t>
        </is>
      </c>
      <c r="C30" s="4" t="inlineStr">
        <is>
          <t>AD28 · FOCAL 2013 12FO → Đào Sư Tích</t>
        </is>
      </c>
      <c r="D30" s="4" t="n">
        <v>10</v>
      </c>
      <c r="E30" s="4" t="n">
        <v>2</v>
      </c>
      <c r="F30" s="4" t="inlineStr">
        <is>
          <t>nâu</t>
        </is>
      </c>
      <c r="G30" s="4" t="inlineStr">
        <is>
          <t>AD41 · SACOM 1/2015 12FO → LVL-Ngô Quang Thắm</t>
        </is>
      </c>
      <c r="H30" s="4" t="n">
        <v>10</v>
      </c>
      <c r="I30" s="4" t="n">
        <v>2</v>
      </c>
      <c r="J30" s="4" t="inlineStr">
        <is>
          <t>nâu</t>
        </is>
      </c>
      <c r="K30" s="4" t="inlineStr"/>
      <c r="L30" s="22" t="inlineStr"/>
    </row>
    <row r="31">
      <c r="A31" s="4" t="inlineStr">
        <is>
          <t>MX_LVL-02</t>
        </is>
      </c>
      <c r="B31" s="4" t="inlineStr">
        <is>
          <t>A</t>
        </is>
      </c>
      <c r="C31" s="4" t="inlineStr">
        <is>
          <t>AD28 · FOCAL 2013 12FO → Đào Sư Tích</t>
        </is>
      </c>
      <c r="D31" s="4" t="n">
        <v>11</v>
      </c>
      <c r="E31" s="4" t="n">
        <v>2</v>
      </c>
      <c r="F31" s="4" t="inlineStr">
        <is>
          <t>xám</t>
        </is>
      </c>
      <c r="G31" s="4" t="inlineStr">
        <is>
          <t>AD41 · SACOM 1/2015 12FO → LVL-Ngô Quang Thắm</t>
        </is>
      </c>
      <c r="H31" s="4" t="n">
        <v>11</v>
      </c>
      <c r="I31" s="4" t="n">
        <v>2</v>
      </c>
      <c r="J31" s="4" t="inlineStr">
        <is>
          <t>xám</t>
        </is>
      </c>
      <c r="K31" s="4" t="inlineStr"/>
      <c r="L31" s="22" t="inlineStr"/>
    </row>
    <row r="32">
      <c r="A32" s="4" t="inlineStr">
        <is>
          <t>MX_LVL-02</t>
        </is>
      </c>
      <c r="B32" s="4" t="inlineStr">
        <is>
          <t>A</t>
        </is>
      </c>
      <c r="C32" s="4" t="inlineStr">
        <is>
          <t>AD28 · FOCAL 2013 12FO → Đào Sư Tích</t>
        </is>
      </c>
      <c r="D32" s="4" t="n">
        <v>12</v>
      </c>
      <c r="E32" s="4" t="n">
        <v>2</v>
      </c>
      <c r="F32" s="4" t="inlineStr">
        <is>
          <t>trắng</t>
        </is>
      </c>
      <c r="G32" s="4" t="inlineStr">
        <is>
          <t>AD41 · SACOM 1/2015 12FO → LVL-Ngô Quang Thắm</t>
        </is>
      </c>
      <c r="H32" s="4" t="n">
        <v>12</v>
      </c>
      <c r="I32" s="4" t="n">
        <v>2</v>
      </c>
      <c r="J32" s="4" t="inlineStr">
        <is>
          <t>trắng</t>
        </is>
      </c>
      <c r="K32" s="4" t="inlineStr"/>
      <c r="L32" s="22" t="inlineStr"/>
    </row>
    <row r="33">
      <c r="A33" s="4" t="inlineStr">
        <is>
          <t>MX_LVL-02</t>
        </is>
      </c>
      <c r="B33" s="4" t="inlineStr">
        <is>
          <t>B</t>
        </is>
      </c>
      <c r="C33" s="4" t="inlineStr">
        <is>
          <t>AD28 · FOCAL 2013 12FO → Đào Sư Tích</t>
        </is>
      </c>
      <c r="D33" s="4" t="n">
        <v>5</v>
      </c>
      <c r="E33" s="4" t="n">
        <v>1</v>
      </c>
      <c r="F33" s="4" t="inlineStr">
        <is>
          <t>xám</t>
        </is>
      </c>
      <c r="G33" s="4" t="inlineStr">
        <is>
          <t>AQ28 · POSTEF 6/2019 8FO → HNB055</t>
        </is>
      </c>
      <c r="H33" s="4" t="n">
        <v>1</v>
      </c>
      <c r="I33" s="4" t="n">
        <v>1</v>
      </c>
      <c r="J33" s="4" t="inlineStr">
        <is>
          <t>xanh dương</t>
        </is>
      </c>
      <c r="K33" s="4" t="inlineStr">
        <is>
          <t>HNB055</t>
        </is>
      </c>
      <c r="L33" s="22" t="inlineStr"/>
    </row>
    <row r="34">
      <c r="A34" s="4" t="inlineStr">
        <is>
          <t>MX_LVL-02</t>
        </is>
      </c>
      <c r="B34" s="4" t="inlineStr">
        <is>
          <t>B</t>
        </is>
      </c>
      <c r="C34" s="4" t="inlineStr">
        <is>
          <t>AD28 · FOCAL 2013 12FO → Đào Sư Tích</t>
        </is>
      </c>
      <c r="D34" s="4" t="n">
        <v>6</v>
      </c>
      <c r="E34" s="4" t="n">
        <v>1</v>
      </c>
      <c r="F34" s="4" t="inlineStr">
        <is>
          <t>trắng</t>
        </is>
      </c>
      <c r="G34" s="4" t="inlineStr">
        <is>
          <t>AQ28 · POSTEF 6/2019 8FO → HNB055</t>
        </is>
      </c>
      <c r="H34" s="4" t="n">
        <v>2</v>
      </c>
      <c r="I34" s="4" t="n">
        <v>1</v>
      </c>
      <c r="J34" s="4" t="inlineStr">
        <is>
          <t>cam</t>
        </is>
      </c>
      <c r="K34" s="4" t="inlineStr">
        <is>
          <t>HNB055</t>
        </is>
      </c>
      <c r="L34" s="22" t="inlineStr"/>
    </row>
    <row r="35">
      <c r="A35" s="4" t="inlineStr">
        <is>
          <t>MX_LVL-02</t>
        </is>
      </c>
      <c r="B35" s="4" t="inlineStr">
        <is>
          <t>C</t>
        </is>
      </c>
      <c r="C35" s="4" t="inlineStr">
        <is>
          <t>AD41 · SACOM 1/2015 12FO → LVL-Ngô Quang Thắm</t>
        </is>
      </c>
      <c r="D35" s="4" t="n">
        <v>5</v>
      </c>
      <c r="E35" s="4" t="n">
        <v>1</v>
      </c>
      <c r="F35" s="4" t="inlineStr">
        <is>
          <t>xám</t>
        </is>
      </c>
      <c r="G35" s="4" t="inlineStr">
        <is>
          <t>AQ41 · SACOM 3.2016 8FO → HNB065</t>
        </is>
      </c>
      <c r="H35" s="4" t="n">
        <v>1</v>
      </c>
      <c r="I35" s="4" t="n">
        <v>1</v>
      </c>
      <c r="J35" s="4" t="inlineStr">
        <is>
          <t>xanh dương</t>
        </is>
      </c>
      <c r="K35" s="4" t="inlineStr">
        <is>
          <t>HNB065</t>
        </is>
      </c>
      <c r="L35" s="22" t="inlineStr"/>
    </row>
    <row r="36">
      <c r="A36" s="4" t="inlineStr">
        <is>
          <t>MX_LVL-02</t>
        </is>
      </c>
      <c r="B36" s="4" t="inlineStr">
        <is>
          <t>C</t>
        </is>
      </c>
      <c r="C36" s="4" t="inlineStr">
        <is>
          <t>AD41 · SACOM 1/2015 12FO → LVL-Ngô Quang Thắm</t>
        </is>
      </c>
      <c r="D36" s="4" t="n">
        <v>6</v>
      </c>
      <c r="E36" s="4" t="n">
        <v>1</v>
      </c>
      <c r="F36" s="4" t="inlineStr">
        <is>
          <t>trắng</t>
        </is>
      </c>
      <c r="G36" s="4" t="inlineStr">
        <is>
          <t>AQ41 · SACOM 3.2016 8FO → HNB065</t>
        </is>
      </c>
      <c r="H36" s="4" t="n">
        <v>2</v>
      </c>
      <c r="I36" s="4" t="n">
        <v>1</v>
      </c>
      <c r="J36" s="4" t="inlineStr">
        <is>
          <t>cam</t>
        </is>
      </c>
      <c r="K36" s="4" t="inlineStr">
        <is>
          <t>HNB065</t>
        </is>
      </c>
      <c r="L36" s="22" t="inlineStr"/>
    </row>
    <row r="37">
      <c r="A37" s="4" t="inlineStr">
        <is>
          <t>MX_LVL-02</t>
        </is>
      </c>
      <c r="B37" s="4" t="inlineStr">
        <is>
          <t>D</t>
        </is>
      </c>
      <c r="C37" s="4" t="inlineStr">
        <is>
          <t xml:space="preserve">AA31 · FO → </t>
        </is>
      </c>
      <c r="D37" s="4" t="n">
        <v>1</v>
      </c>
      <c r="E37" s="4" t="n">
        <v>1</v>
      </c>
      <c r="F37" s="4" t="inlineStr">
        <is>
          <t>xanh dương</t>
        </is>
      </c>
      <c r="G37" s="4" t="inlineStr">
        <is>
          <t>AD41 · SACOM 1/2015 12FO → LVL-Ngô Quang Thắm</t>
        </is>
      </c>
      <c r="H37" s="4" t="n">
        <v>3</v>
      </c>
      <c r="I37" s="4" t="n">
        <v>1</v>
      </c>
      <c r="J37" s="4" t="inlineStr">
        <is>
          <t>xanh lá</t>
        </is>
      </c>
      <c r="K37" s="4" t="inlineStr">
        <is>
          <t>HNB073</t>
        </is>
      </c>
      <c r="L37" s="22" t="inlineStr"/>
    </row>
    <row r="38">
      <c r="A38" s="4" t="inlineStr">
        <is>
          <t>MX_LVL-02</t>
        </is>
      </c>
      <c r="B38" s="4" t="inlineStr">
        <is>
          <t>D</t>
        </is>
      </c>
      <c r="C38" s="4" t="inlineStr">
        <is>
          <t xml:space="preserve">AA31 · FO → </t>
        </is>
      </c>
      <c r="D38" s="4" t="n">
        <v>2</v>
      </c>
      <c r="E38" s="4" t="n">
        <v>1</v>
      </c>
      <c r="F38" s="4" t="inlineStr">
        <is>
          <t>cam</t>
        </is>
      </c>
      <c r="G38" s="4" t="inlineStr">
        <is>
          <t>AD41 · SACOM 1/2015 12FO → LVL-Ngô Quang Thắm</t>
        </is>
      </c>
      <c r="H38" s="4" t="n">
        <v>4</v>
      </c>
      <c r="I38" s="4" t="n">
        <v>1</v>
      </c>
      <c r="J38" s="4" t="inlineStr">
        <is>
          <t>nâu</t>
        </is>
      </c>
      <c r="K38" s="4" t="inlineStr">
        <is>
          <t>HNB073</t>
        </is>
      </c>
      <c r="L38" s="22" t="inlineStr"/>
    </row>
    <row r="39">
      <c r="A39" s="4" t="inlineStr">
        <is>
          <t>MX_LVL-03</t>
        </is>
      </c>
      <c r="B39" s="4" t="inlineStr">
        <is>
          <t>A</t>
        </is>
      </c>
      <c r="C39" s="4" t="inlineStr">
        <is>
          <t>AD61 · 12FO → LVL-Ngô Quang Thắm</t>
        </is>
      </c>
      <c r="D39" s="4" t="n">
        <v>1</v>
      </c>
      <c r="E39" s="4" t="n">
        <v>1</v>
      </c>
      <c r="F39" s="4" t="inlineStr">
        <is>
          <t>xanh dương</t>
        </is>
      </c>
      <c r="G39" s="4" t="inlineStr">
        <is>
          <t>AQ61 · POSTEF 9/2019 12FO → Phạm Hữu Lầu</t>
        </is>
      </c>
      <c r="H39" s="4" t="n">
        <v>7</v>
      </c>
      <c r="I39" s="4" t="n">
        <v>2</v>
      </c>
      <c r="J39" s="4" t="inlineStr">
        <is>
          <t>xanh dương</t>
        </is>
      </c>
      <c r="K39" s="4" t="inlineStr"/>
      <c r="L39" s="22" t="inlineStr"/>
    </row>
    <row r="40">
      <c r="A40" s="4" t="inlineStr">
        <is>
          <t>MX_LVL-03</t>
        </is>
      </c>
      <c r="B40" s="4" t="inlineStr">
        <is>
          <t>A</t>
        </is>
      </c>
      <c r="C40" s="4" t="inlineStr">
        <is>
          <t>AD61 · 12FO → LVL-Ngô Quang Thắm</t>
        </is>
      </c>
      <c r="D40" s="4" t="n">
        <v>2</v>
      </c>
      <c r="E40" s="4" t="n">
        <v>1</v>
      </c>
      <c r="F40" s="4" t="inlineStr">
        <is>
          <t>cam</t>
        </is>
      </c>
      <c r="G40" s="4" t="inlineStr">
        <is>
          <t>AQ61 · POSTEF 9/2019 12FO → Phạm Hữu Lầu</t>
        </is>
      </c>
      <c r="H40" s="4" t="n">
        <v>8</v>
      </c>
      <c r="I40" s="4" t="n">
        <v>2</v>
      </c>
      <c r="J40" s="4" t="inlineStr">
        <is>
          <t>cam</t>
        </is>
      </c>
      <c r="K40" s="4" t="inlineStr"/>
      <c r="L40" s="22" t="inlineStr"/>
    </row>
    <row r="41">
      <c r="A41" s="4" t="inlineStr">
        <is>
          <t>MX_LVL-03</t>
        </is>
      </c>
      <c r="B41" s="4" t="inlineStr">
        <is>
          <t>A</t>
        </is>
      </c>
      <c r="C41" s="4" t="inlineStr">
        <is>
          <t>AD61 · 12FO → LVL-Ngô Quang Thắm</t>
        </is>
      </c>
      <c r="D41" s="4" t="n">
        <v>3</v>
      </c>
      <c r="E41" s="4" t="n">
        <v>1</v>
      </c>
      <c r="F41" s="4" t="inlineStr">
        <is>
          <t>xanh lá</t>
        </is>
      </c>
      <c r="G41" s="4" t="inlineStr">
        <is>
          <t>AQ61 · POSTEF 9/2019 12FO → Phạm Hữu Lầu</t>
        </is>
      </c>
      <c r="H41" s="4" t="n">
        <v>9</v>
      </c>
      <c r="I41" s="4" t="n">
        <v>2</v>
      </c>
      <c r="J41" s="4" t="inlineStr">
        <is>
          <t>xanh lá</t>
        </is>
      </c>
      <c r="K41" s="4" t="inlineStr">
        <is>
          <t>HNB066</t>
        </is>
      </c>
      <c r="L41" s="22" t="inlineStr"/>
    </row>
    <row r="42">
      <c r="A42" s="4" t="inlineStr">
        <is>
          <t>MX_LVL-03</t>
        </is>
      </c>
      <c r="B42" s="4" t="inlineStr">
        <is>
          <t>A</t>
        </is>
      </c>
      <c r="C42" s="4" t="inlineStr">
        <is>
          <t>AD61 · 12FO → LVL-Ngô Quang Thắm</t>
        </is>
      </c>
      <c r="D42" s="4" t="n">
        <v>4</v>
      </c>
      <c r="E42" s="4" t="n">
        <v>1</v>
      </c>
      <c r="F42" s="4" t="inlineStr">
        <is>
          <t>nâu</t>
        </is>
      </c>
      <c r="G42" s="4" t="inlineStr">
        <is>
          <t>AQ61 · POSTEF 9/2019 12FO → Phạm Hữu Lầu</t>
        </is>
      </c>
      <c r="H42" s="4" t="n">
        <v>10</v>
      </c>
      <c r="I42" s="4" t="n">
        <v>2</v>
      </c>
      <c r="J42" s="4" t="inlineStr">
        <is>
          <t>nâu</t>
        </is>
      </c>
      <c r="K42" s="4" t="inlineStr">
        <is>
          <t>HNB066</t>
        </is>
      </c>
      <c r="L42" s="22" t="inlineStr"/>
    </row>
    <row r="43">
      <c r="A43" s="4" t="inlineStr">
        <is>
          <t>MX_LVL-03</t>
        </is>
      </c>
      <c r="B43" s="4" t="inlineStr">
        <is>
          <t>A</t>
        </is>
      </c>
      <c r="C43" s="4" t="inlineStr">
        <is>
          <t>AD61 · 12FO → LVL-Ngô Quang Thắm</t>
        </is>
      </c>
      <c r="D43" s="4" t="n">
        <v>5</v>
      </c>
      <c r="E43" s="4" t="n">
        <v>1</v>
      </c>
      <c r="F43" s="4" t="inlineStr">
        <is>
          <t>xám</t>
        </is>
      </c>
      <c r="G43" s="4" t="inlineStr">
        <is>
          <t>AQ61 · POSTEF 9/2019 12FO → Phạm Hữu Lầu</t>
        </is>
      </c>
      <c r="H43" s="4" t="n">
        <v>11</v>
      </c>
      <c r="I43" s="4" t="n">
        <v>2</v>
      </c>
      <c r="J43" s="4" t="inlineStr">
        <is>
          <t>xám</t>
        </is>
      </c>
      <c r="K43" s="4" t="inlineStr">
        <is>
          <t>HNB005</t>
        </is>
      </c>
      <c r="L43" s="22" t="inlineStr"/>
    </row>
    <row r="44">
      <c r="A44" s="4" t="inlineStr">
        <is>
          <t>MX_LVL-03</t>
        </is>
      </c>
      <c r="B44" s="4" t="inlineStr">
        <is>
          <t>A</t>
        </is>
      </c>
      <c r="C44" s="4" t="inlineStr">
        <is>
          <t>AD61 · 12FO → LVL-Ngô Quang Thắm</t>
        </is>
      </c>
      <c r="D44" s="4" t="n">
        <v>6</v>
      </c>
      <c r="E44" s="4" t="n">
        <v>1</v>
      </c>
      <c r="F44" s="4" t="inlineStr">
        <is>
          <t>trắng</t>
        </is>
      </c>
      <c r="G44" s="4" t="inlineStr">
        <is>
          <t>AQ61 · POSTEF 9/2019 12FO → Phạm Hữu Lầu</t>
        </is>
      </c>
      <c r="H44" s="4" t="n">
        <v>12</v>
      </c>
      <c r="I44" s="4" t="n">
        <v>2</v>
      </c>
      <c r="J44" s="4" t="inlineStr">
        <is>
          <t>trắng</t>
        </is>
      </c>
      <c r="K44" s="4" t="inlineStr">
        <is>
          <t>HNB005</t>
        </is>
      </c>
      <c r="L44" s="22" t="inlineStr"/>
    </row>
    <row r="45">
      <c r="A45" s="4" t="inlineStr">
        <is>
          <t>MX_LVL-03</t>
        </is>
      </c>
      <c r="B45" s="4" t="inlineStr">
        <is>
          <t>B</t>
        </is>
      </c>
      <c r="C45" s="4" t="inlineStr">
        <is>
          <t>AD48 · VINA-OFC 2016 12FO → Đào Sư Tích</t>
        </is>
      </c>
      <c r="D45" s="4" t="n">
        <v>1</v>
      </c>
      <c r="E45" s="4" t="n">
        <v>1</v>
      </c>
      <c r="F45" s="4" t="inlineStr">
        <is>
          <t>xanh dương</t>
        </is>
      </c>
      <c r="G45" s="4" t="inlineStr">
        <is>
          <t>AQ61 · POSTEF 9/2019 12FO → Phạm Hữu Lầu</t>
        </is>
      </c>
      <c r="H45" s="4" t="n">
        <v>1</v>
      </c>
      <c r="I45" s="4" t="n">
        <v>1</v>
      </c>
      <c r="J45" s="4" t="inlineStr">
        <is>
          <t>xanh dương</t>
        </is>
      </c>
      <c r="K45" s="4" t="inlineStr">
        <is>
          <t>HNB075</t>
        </is>
      </c>
      <c r="L45" s="22" t="inlineStr"/>
    </row>
    <row r="46">
      <c r="A46" s="4" t="inlineStr">
        <is>
          <t>MX_LVL-03</t>
        </is>
      </c>
      <c r="B46" s="4" t="inlineStr">
        <is>
          <t>B</t>
        </is>
      </c>
      <c r="C46" s="4" t="inlineStr">
        <is>
          <t>AD48 · VINA-OFC 2016 12FO → Đào Sư Tích</t>
        </is>
      </c>
      <c r="D46" s="4" t="n">
        <v>2</v>
      </c>
      <c r="E46" s="4" t="n">
        <v>1</v>
      </c>
      <c r="F46" s="4" t="inlineStr">
        <is>
          <t>cam</t>
        </is>
      </c>
      <c r="G46" s="4" t="inlineStr">
        <is>
          <t>AQ61 · POSTEF 9/2019 12FO → Phạm Hữu Lầu</t>
        </is>
      </c>
      <c r="H46" s="4" t="n">
        <v>2</v>
      </c>
      <c r="I46" s="4" t="n">
        <v>1</v>
      </c>
      <c r="J46" s="4" t="inlineStr">
        <is>
          <t>cam</t>
        </is>
      </c>
      <c r="K46" s="4" t="inlineStr">
        <is>
          <t>HNB075</t>
        </is>
      </c>
      <c r="L46" s="22" t="inlineStr"/>
    </row>
    <row r="47">
      <c r="A47" s="4" t="inlineStr">
        <is>
          <t>MX_LVL-03</t>
        </is>
      </c>
      <c r="B47" s="4" t="inlineStr">
        <is>
          <t>B</t>
        </is>
      </c>
      <c r="C47" s="4" t="inlineStr">
        <is>
          <t>AD48 · VINA-OFC 2016 12FO → Đào Sư Tích</t>
        </is>
      </c>
      <c r="D47" s="4" t="n">
        <v>3</v>
      </c>
      <c r="E47" s="4" t="n">
        <v>1</v>
      </c>
      <c r="F47" s="4" t="inlineStr">
        <is>
          <t>xanh lá</t>
        </is>
      </c>
      <c r="G47" s="4" t="inlineStr">
        <is>
          <t>AQ61 · POSTEF 9/2019 12FO → Phạm Hữu Lầu</t>
        </is>
      </c>
      <c r="H47" s="4" t="n">
        <v>3</v>
      </c>
      <c r="I47" s="4" t="n">
        <v>1</v>
      </c>
      <c r="J47" s="4" t="inlineStr">
        <is>
          <t>xanh lá</t>
        </is>
      </c>
      <c r="K47" s="4" t="inlineStr">
        <is>
          <t>HNB073</t>
        </is>
      </c>
      <c r="L47" s="22" t="inlineStr"/>
    </row>
    <row r="48">
      <c r="A48" s="4" t="inlineStr">
        <is>
          <t>MX_LVL-03</t>
        </is>
      </c>
      <c r="B48" s="4" t="inlineStr">
        <is>
          <t>B</t>
        </is>
      </c>
      <c r="C48" s="4" t="inlineStr">
        <is>
          <t>AD48 · VINA-OFC 2016 12FO → Đào Sư Tích</t>
        </is>
      </c>
      <c r="D48" s="4" t="n">
        <v>4</v>
      </c>
      <c r="E48" s="4" t="n">
        <v>1</v>
      </c>
      <c r="F48" s="4" t="inlineStr">
        <is>
          <t>nâu</t>
        </is>
      </c>
      <c r="G48" s="4" t="inlineStr">
        <is>
          <t>AQ61 · POSTEF 9/2019 12FO → Phạm Hữu Lầu</t>
        </is>
      </c>
      <c r="H48" s="4" t="n">
        <v>4</v>
      </c>
      <c r="I48" s="4" t="n">
        <v>1</v>
      </c>
      <c r="J48" s="4" t="inlineStr">
        <is>
          <t>nâu</t>
        </is>
      </c>
      <c r="K48" s="4" t="inlineStr">
        <is>
          <t>HNB073</t>
        </is>
      </c>
      <c r="L48" s="22" t="inlineStr"/>
    </row>
    <row r="49">
      <c r="A49" s="4" t="inlineStr">
        <is>
          <t>MX_LVL-03</t>
        </is>
      </c>
      <c r="B49" s="4" t="inlineStr">
        <is>
          <t>C</t>
        </is>
      </c>
      <c r="C49" s="4" t="inlineStr">
        <is>
          <t>AQ48 · SACOM 2014 12FO → HNB094</t>
        </is>
      </c>
      <c r="D49" s="4" t="n">
        <v>5</v>
      </c>
      <c r="E49" s="4" t="n">
        <v>1</v>
      </c>
      <c r="F49" s="4" t="inlineStr">
        <is>
          <t>xám</t>
        </is>
      </c>
      <c r="G49" s="4" t="inlineStr">
        <is>
          <t>AQ61 · POSTEF 9/2019 12FO → Phạm Hữu Lầu</t>
        </is>
      </c>
      <c r="H49" s="4" t="n">
        <v>5</v>
      </c>
      <c r="I49" s="4" t="n">
        <v>1</v>
      </c>
      <c r="J49" s="4" t="inlineStr">
        <is>
          <t>xám</t>
        </is>
      </c>
      <c r="K49" s="4" t="inlineStr">
        <is>
          <t>HNB094</t>
        </is>
      </c>
      <c r="L49" s="22" t="inlineStr"/>
    </row>
    <row r="50">
      <c r="A50" s="4" t="inlineStr">
        <is>
          <t>MX_LVL-03</t>
        </is>
      </c>
      <c r="B50" s="4" t="inlineStr">
        <is>
          <t>C</t>
        </is>
      </c>
      <c r="C50" s="4" t="inlineStr">
        <is>
          <t>AQ48 · SACOM 2014 12FO → HNB094</t>
        </is>
      </c>
      <c r="D50" s="4" t="n">
        <v>6</v>
      </c>
      <c r="E50" s="4" t="n">
        <v>1</v>
      </c>
      <c r="F50" s="4" t="inlineStr">
        <is>
          <t>trắng</t>
        </is>
      </c>
      <c r="G50" s="4" t="inlineStr">
        <is>
          <t>AQ61 · POSTEF 9/2019 12FO → Phạm Hữu Lầu</t>
        </is>
      </c>
      <c r="H50" s="4" t="n">
        <v>6</v>
      </c>
      <c r="I50" s="4" t="n">
        <v>1</v>
      </c>
      <c r="J50" s="4" t="inlineStr">
        <is>
          <t>trắng</t>
        </is>
      </c>
      <c r="K50" s="4" t="inlineStr">
        <is>
          <t>HNB094</t>
        </is>
      </c>
      <c r="L50" s="22" t="inlineStr"/>
    </row>
    <row r="51">
      <c r="A51" s="4" t="inlineStr">
        <is>
          <t>MX_LVL-03</t>
        </is>
      </c>
      <c r="B51" s="4" t="inlineStr">
        <is>
          <t>D</t>
        </is>
      </c>
      <c r="C51" s="4" t="inlineStr">
        <is>
          <t>AD48 · VINA-OFC 2016 12FO → Đào Sư Tích</t>
        </is>
      </c>
      <c r="D51" s="4" t="n">
        <v>7</v>
      </c>
      <c r="E51" s="4" t="n">
        <v>2</v>
      </c>
      <c r="F51" s="4" t="inlineStr">
        <is>
          <t>xanh dương</t>
        </is>
      </c>
      <c r="G51" s="4" t="inlineStr">
        <is>
          <t>AD61 · 12FO → LVL-Ngô Quang Thắm</t>
        </is>
      </c>
      <c r="H51" s="4" t="n">
        <v>7</v>
      </c>
      <c r="I51" s="4" t="n">
        <v>2</v>
      </c>
      <c r="J51" s="4" t="inlineStr">
        <is>
          <t>xanh dương</t>
        </is>
      </c>
      <c r="K51" s="4" t="inlineStr"/>
      <c r="L51" s="22" t="inlineStr"/>
    </row>
    <row r="52">
      <c r="A52" s="4" t="inlineStr">
        <is>
          <t>MX_LVL-03</t>
        </is>
      </c>
      <c r="B52" s="4" t="inlineStr">
        <is>
          <t>D</t>
        </is>
      </c>
      <c r="C52" s="4" t="inlineStr">
        <is>
          <t>AD48 · VINA-OFC 2016 12FO → Đào Sư Tích</t>
        </is>
      </c>
      <c r="D52" s="4" t="n">
        <v>8</v>
      </c>
      <c r="E52" s="4" t="n">
        <v>2</v>
      </c>
      <c r="F52" s="4" t="inlineStr">
        <is>
          <t>cam</t>
        </is>
      </c>
      <c r="G52" s="4" t="inlineStr">
        <is>
          <t>AD61 · 12FO → LVL-Ngô Quang Thắm</t>
        </is>
      </c>
      <c r="H52" s="4" t="n">
        <v>8</v>
      </c>
      <c r="I52" s="4" t="n">
        <v>2</v>
      </c>
      <c r="J52" s="4" t="inlineStr">
        <is>
          <t>cam</t>
        </is>
      </c>
      <c r="K52" s="4" t="inlineStr"/>
      <c r="L52" s="22" t="inlineStr"/>
    </row>
    <row r="53">
      <c r="A53" s="4" t="inlineStr">
        <is>
          <t>MX_LVL-03</t>
        </is>
      </c>
      <c r="B53" s="4" t="inlineStr">
        <is>
          <t>D</t>
        </is>
      </c>
      <c r="C53" s="4" t="inlineStr">
        <is>
          <t>AD48 · VINA-OFC 2016 12FO → Đào Sư Tích</t>
        </is>
      </c>
      <c r="D53" s="4" t="n">
        <v>9</v>
      </c>
      <c r="E53" s="4" t="n">
        <v>2</v>
      </c>
      <c r="F53" s="4" t="inlineStr">
        <is>
          <t>xanh lá</t>
        </is>
      </c>
      <c r="G53" s="4" t="inlineStr">
        <is>
          <t>AD61 · 12FO → LVL-Ngô Quang Thắm</t>
        </is>
      </c>
      <c r="H53" s="4" t="n">
        <v>9</v>
      </c>
      <c r="I53" s="4" t="n">
        <v>2</v>
      </c>
      <c r="J53" s="4" t="inlineStr">
        <is>
          <t>xanh lá</t>
        </is>
      </c>
      <c r="K53" s="4" t="inlineStr"/>
      <c r="L53" s="22" t="inlineStr"/>
    </row>
    <row r="54">
      <c r="A54" s="4" t="inlineStr">
        <is>
          <t>MX_LVL-03</t>
        </is>
      </c>
      <c r="B54" s="4" t="inlineStr">
        <is>
          <t>D</t>
        </is>
      </c>
      <c r="C54" s="4" t="inlineStr">
        <is>
          <t>AD48 · VINA-OFC 2016 12FO → Đào Sư Tích</t>
        </is>
      </c>
      <c r="D54" s="4" t="n">
        <v>10</v>
      </c>
      <c r="E54" s="4" t="n">
        <v>2</v>
      </c>
      <c r="F54" s="4" t="inlineStr">
        <is>
          <t>nâu</t>
        </is>
      </c>
      <c r="G54" s="4" t="inlineStr">
        <is>
          <t>AD61 · 12FO → LVL-Ngô Quang Thắm</t>
        </is>
      </c>
      <c r="H54" s="4" t="n">
        <v>10</v>
      </c>
      <c r="I54" s="4" t="n">
        <v>2</v>
      </c>
      <c r="J54" s="4" t="inlineStr">
        <is>
          <t>nâu</t>
        </is>
      </c>
      <c r="K54" s="4" t="inlineStr"/>
      <c r="L54" s="22" t="inlineStr"/>
    </row>
    <row r="55">
      <c r="A55" s="4" t="inlineStr">
        <is>
          <t>MX_LVL-03</t>
        </is>
      </c>
      <c r="B55" s="4" t="inlineStr">
        <is>
          <t>E</t>
        </is>
      </c>
      <c r="C55" s="4" t="inlineStr">
        <is>
          <t>AD48 · VINA-OFC 2016 12FO → Đào Sư Tích</t>
        </is>
      </c>
      <c r="D55" s="4" t="n">
        <v>5</v>
      </c>
      <c r="E55" s="4" t="n">
        <v>1</v>
      </c>
      <c r="F55" s="4" t="inlineStr">
        <is>
          <t>xám</t>
        </is>
      </c>
      <c r="G55" s="4" t="inlineStr">
        <is>
          <t>AQ48 · SACOM 2014 12FO → HNB094</t>
        </is>
      </c>
      <c r="H55" s="4" t="n">
        <v>3</v>
      </c>
      <c r="I55" s="4" t="n">
        <v>1</v>
      </c>
      <c r="J55" s="4" t="inlineStr">
        <is>
          <t>xanh lá</t>
        </is>
      </c>
      <c r="K55" s="4" t="inlineStr">
        <is>
          <t>HNB094</t>
        </is>
      </c>
      <c r="L55" s="22" t="inlineStr"/>
    </row>
    <row r="56">
      <c r="A56" s="4" t="inlineStr">
        <is>
          <t>MX_LVL-03</t>
        </is>
      </c>
      <c r="B56" s="4" t="inlineStr">
        <is>
          <t>E</t>
        </is>
      </c>
      <c r="C56" s="4" t="inlineStr">
        <is>
          <t>AD48 · VINA-OFC 2016 12FO → Đào Sư Tích</t>
        </is>
      </c>
      <c r="D56" s="4" t="n">
        <v>6</v>
      </c>
      <c r="E56" s="4" t="n">
        <v>1</v>
      </c>
      <c r="F56" s="4" t="inlineStr">
        <is>
          <t>trắng</t>
        </is>
      </c>
      <c r="G56" s="4" t="inlineStr">
        <is>
          <t>AQ48 · SACOM 2014 12FO → HNB094</t>
        </is>
      </c>
      <c r="H56" s="4" t="n">
        <v>4</v>
      </c>
      <c r="I56" s="4" t="n">
        <v>1</v>
      </c>
      <c r="J56" s="4" t="inlineStr">
        <is>
          <t>nâu</t>
        </is>
      </c>
      <c r="K56" s="4" t="inlineStr">
        <is>
          <t>HNB094</t>
        </is>
      </c>
      <c r="L56" s="22" t="inlineStr"/>
    </row>
    <row r="57">
      <c r="A57" s="4" t="inlineStr">
        <is>
          <t>MX_LVL-03</t>
        </is>
      </c>
      <c r="B57" s="4" t="inlineStr">
        <is>
          <t>F</t>
        </is>
      </c>
      <c r="C57" s="4" t="inlineStr">
        <is>
          <t>AQ48 · SACOM 2014 12FO → HNB094</t>
        </is>
      </c>
      <c r="D57" s="4" t="n">
        <v>1</v>
      </c>
      <c r="E57" s="4" t="n">
        <v>1</v>
      </c>
      <c r="F57" s="4" t="inlineStr">
        <is>
          <t>xanh dương</t>
        </is>
      </c>
      <c r="G57" s="4" t="inlineStr">
        <is>
          <t>AD61 · 12FO → LVL-Ngô Quang Thắm</t>
        </is>
      </c>
      <c r="H57" s="4" t="n">
        <v>11</v>
      </c>
      <c r="I57" s="4" t="n">
        <v>2</v>
      </c>
      <c r="J57" s="4" t="inlineStr">
        <is>
          <t>xám</t>
        </is>
      </c>
      <c r="K57" s="4" t="inlineStr">
        <is>
          <t>HNB094</t>
        </is>
      </c>
      <c r="L57" s="22" t="inlineStr"/>
    </row>
    <row r="58">
      <c r="A58" s="4" t="inlineStr">
        <is>
          <t>MX_LVL-03</t>
        </is>
      </c>
      <c r="B58" s="4" t="inlineStr">
        <is>
          <t>F</t>
        </is>
      </c>
      <c r="C58" s="4" t="inlineStr">
        <is>
          <t>AQ48 · SACOM 2014 12FO → HNB094</t>
        </is>
      </c>
      <c r="D58" s="4" t="n">
        <v>2</v>
      </c>
      <c r="E58" s="4" t="n">
        <v>1</v>
      </c>
      <c r="F58" s="4" t="inlineStr">
        <is>
          <t>cam</t>
        </is>
      </c>
      <c r="G58" s="4" t="inlineStr">
        <is>
          <t>AD61 · 12FO → LVL-Ngô Quang Thắm</t>
        </is>
      </c>
      <c r="H58" s="4" t="n">
        <v>12</v>
      </c>
      <c r="I58" s="4" t="n">
        <v>2</v>
      </c>
      <c r="J58" s="4" t="inlineStr">
        <is>
          <t>trắng</t>
        </is>
      </c>
      <c r="K58" s="4" t="inlineStr">
        <is>
          <t>HNB094</t>
        </is>
      </c>
      <c r="L58" s="22" t="inlineStr"/>
    </row>
    <row r="59">
      <c r="A59" s="4" t="inlineStr">
        <is>
          <t>MX_HTP-01</t>
        </is>
      </c>
      <c r="B59" s="4" t="inlineStr">
        <is>
          <t>A</t>
        </is>
      </c>
      <c r="C59" s="4" t="inlineStr">
        <is>
          <t>CE48 · FOCAL 12FO → Phạm Hũu Lầu</t>
        </is>
      </c>
      <c r="D59" s="4" t="n">
        <v>1</v>
      </c>
      <c r="E59" s="4" t="n">
        <v>1</v>
      </c>
      <c r="F59" s="4" t="inlineStr">
        <is>
          <t>xanh dương</t>
        </is>
      </c>
      <c r="G59" s="4" t="inlineStr">
        <is>
          <t>CE61 · FOCAL 12FO → AGG-NBE22 (SG mới)</t>
        </is>
      </c>
      <c r="H59" s="4" t="n">
        <v>1</v>
      </c>
      <c r="I59" s="4" t="n">
        <v>1</v>
      </c>
      <c r="J59" s="4" t="inlineStr">
        <is>
          <t>xanh dương</t>
        </is>
      </c>
      <c r="K59" s="4" t="inlineStr">
        <is>
          <t>HNB075</t>
        </is>
      </c>
      <c r="L59" s="22" t="inlineStr"/>
    </row>
    <row r="60">
      <c r="A60" s="4" t="inlineStr">
        <is>
          <t>MX_HTP-01</t>
        </is>
      </c>
      <c r="B60" s="4" t="inlineStr">
        <is>
          <t>A</t>
        </is>
      </c>
      <c r="C60" s="4" t="inlineStr">
        <is>
          <t>CE48 · FOCAL 12FO → Phạm Hũu Lầu</t>
        </is>
      </c>
      <c r="D60" s="4" t="n">
        <v>2</v>
      </c>
      <c r="E60" s="4" t="n">
        <v>1</v>
      </c>
      <c r="F60" s="4" t="inlineStr">
        <is>
          <t>cam</t>
        </is>
      </c>
      <c r="G60" s="4" t="inlineStr">
        <is>
          <t>CE61 · FOCAL 12FO → AGG-NBE22 (SG mới)</t>
        </is>
      </c>
      <c r="H60" s="4" t="n">
        <v>2</v>
      </c>
      <c r="I60" s="4" t="n">
        <v>1</v>
      </c>
      <c r="J60" s="4" t="inlineStr">
        <is>
          <t>cam</t>
        </is>
      </c>
      <c r="K60" s="4" t="inlineStr">
        <is>
          <t>HNB075</t>
        </is>
      </c>
      <c r="L60" s="22" t="inlineStr"/>
    </row>
    <row r="61">
      <c r="A61" s="4" t="inlineStr">
        <is>
          <t>MX_HTP-01</t>
        </is>
      </c>
      <c r="B61" s="4" t="inlineStr">
        <is>
          <t>A</t>
        </is>
      </c>
      <c r="C61" s="4" t="inlineStr">
        <is>
          <t>CE48 · FOCAL 12FO → Phạm Hũu Lầu</t>
        </is>
      </c>
      <c r="D61" s="4" t="n">
        <v>3</v>
      </c>
      <c r="E61" s="4" t="n">
        <v>1</v>
      </c>
      <c r="F61" s="4" t="inlineStr">
        <is>
          <t>xanh lá</t>
        </is>
      </c>
      <c r="G61" s="4" t="inlineStr">
        <is>
          <t>CE61 · FOCAL 12FO → AGG-NBE22 (SG mới)</t>
        </is>
      </c>
      <c r="H61" s="4" t="n">
        <v>3</v>
      </c>
      <c r="I61" s="4" t="n">
        <v>1</v>
      </c>
      <c r="J61" s="4" t="inlineStr">
        <is>
          <t>xanh lá</t>
        </is>
      </c>
      <c r="K61" s="4" t="inlineStr">
        <is>
          <t>HNB073</t>
        </is>
      </c>
      <c r="L61" s="22" t="inlineStr"/>
    </row>
    <row r="62">
      <c r="A62" s="4" t="inlineStr">
        <is>
          <t>MX_HTP-01</t>
        </is>
      </c>
      <c r="B62" s="4" t="inlineStr">
        <is>
          <t>A</t>
        </is>
      </c>
      <c r="C62" s="4" t="inlineStr">
        <is>
          <t>CE48 · FOCAL 12FO → Phạm Hũu Lầu</t>
        </is>
      </c>
      <c r="D62" s="4" t="n">
        <v>4</v>
      </c>
      <c r="E62" s="4" t="n">
        <v>1</v>
      </c>
      <c r="F62" s="4" t="inlineStr">
        <is>
          <t>nâu</t>
        </is>
      </c>
      <c r="G62" s="4" t="inlineStr">
        <is>
          <t>CE61 · FOCAL 12FO → AGG-NBE22 (SG mới)</t>
        </is>
      </c>
      <c r="H62" s="4" t="n">
        <v>4</v>
      </c>
      <c r="I62" s="4" t="n">
        <v>1</v>
      </c>
      <c r="J62" s="4" t="inlineStr">
        <is>
          <t>nâu</t>
        </is>
      </c>
      <c r="K62" s="4" t="inlineStr">
        <is>
          <t>HNB073</t>
        </is>
      </c>
      <c r="L62" s="22" t="inlineStr"/>
    </row>
    <row r="63">
      <c r="A63" s="4" t="inlineStr">
        <is>
          <t>MX_HTP-01</t>
        </is>
      </c>
      <c r="B63" s="4" t="inlineStr">
        <is>
          <t>A</t>
        </is>
      </c>
      <c r="C63" s="4" t="inlineStr">
        <is>
          <t>CE48 · FOCAL 12FO → Phạm Hũu Lầu</t>
        </is>
      </c>
      <c r="D63" s="4" t="n">
        <v>5</v>
      </c>
      <c r="E63" s="4" t="n">
        <v>1</v>
      </c>
      <c r="F63" s="4" t="inlineStr">
        <is>
          <t>xám</t>
        </is>
      </c>
      <c r="G63" s="4" t="inlineStr">
        <is>
          <t>CE61 · FOCAL 12FO → AGG-NBE22 (SG mới)</t>
        </is>
      </c>
      <c r="H63" s="4" t="n">
        <v>5</v>
      </c>
      <c r="I63" s="4" t="n">
        <v>1</v>
      </c>
      <c r="J63" s="4" t="inlineStr">
        <is>
          <t>xám</t>
        </is>
      </c>
      <c r="K63" s="4" t="inlineStr">
        <is>
          <t>HNB094</t>
        </is>
      </c>
      <c r="L63" s="22" t="inlineStr"/>
    </row>
    <row r="64">
      <c r="A64" s="4" t="inlineStr">
        <is>
          <t>MX_HTP-01</t>
        </is>
      </c>
      <c r="B64" s="4" t="inlineStr">
        <is>
          <t>A</t>
        </is>
      </c>
      <c r="C64" s="4" t="inlineStr">
        <is>
          <t>CE48 · FOCAL 12FO → Phạm Hũu Lầu</t>
        </is>
      </c>
      <c r="D64" s="4" t="n">
        <v>6</v>
      </c>
      <c r="E64" s="4" t="n">
        <v>1</v>
      </c>
      <c r="F64" s="4" t="inlineStr">
        <is>
          <t>trắng</t>
        </is>
      </c>
      <c r="G64" s="4" t="inlineStr">
        <is>
          <t>CE61 · FOCAL 12FO → AGG-NBE22 (SG mới)</t>
        </is>
      </c>
      <c r="H64" s="4" t="n">
        <v>6</v>
      </c>
      <c r="I64" s="4" t="n">
        <v>1</v>
      </c>
      <c r="J64" s="4" t="inlineStr">
        <is>
          <t>trắng</t>
        </is>
      </c>
      <c r="K64" s="4" t="inlineStr">
        <is>
          <t>HNB094</t>
        </is>
      </c>
      <c r="L64" s="22" t="inlineStr"/>
    </row>
    <row r="65">
      <c r="A65" s="4" t="inlineStr">
        <is>
          <t>MX_HTP-01</t>
        </is>
      </c>
      <c r="B65" s="4" t="inlineStr">
        <is>
          <t>A</t>
        </is>
      </c>
      <c r="C65" s="4" t="inlineStr">
        <is>
          <t>CE48 · FOCAL 12FO → Phạm Hũu Lầu</t>
        </is>
      </c>
      <c r="D65" s="4" t="n">
        <v>7</v>
      </c>
      <c r="E65" s="4" t="n">
        <v>2</v>
      </c>
      <c r="F65" s="4" t="inlineStr">
        <is>
          <t>xanh dương</t>
        </is>
      </c>
      <c r="G65" s="4" t="inlineStr">
        <is>
          <t>CE61 · FOCAL 12FO → AGG-NBE22 (SG mới)</t>
        </is>
      </c>
      <c r="H65" s="4" t="n">
        <v>7</v>
      </c>
      <c r="I65" s="4" t="n">
        <v>2</v>
      </c>
      <c r="J65" s="4" t="inlineStr">
        <is>
          <t>xanh dương</t>
        </is>
      </c>
      <c r="K65" s="4" t="inlineStr"/>
      <c r="L65" s="22" t="inlineStr"/>
    </row>
    <row r="66">
      <c r="A66" s="4" t="inlineStr">
        <is>
          <t>MX_HTP-01</t>
        </is>
      </c>
      <c r="B66" s="4" t="inlineStr">
        <is>
          <t>A</t>
        </is>
      </c>
      <c r="C66" s="4" t="inlineStr">
        <is>
          <t>CE48 · FOCAL 12FO → Phạm Hũu Lầu</t>
        </is>
      </c>
      <c r="D66" s="4" t="n">
        <v>8</v>
      </c>
      <c r="E66" s="4" t="n">
        <v>2</v>
      </c>
      <c r="F66" s="4" t="inlineStr">
        <is>
          <t>cam</t>
        </is>
      </c>
      <c r="G66" s="4" t="inlineStr">
        <is>
          <t>CE61 · FOCAL 12FO → AGG-NBE22 (SG mới)</t>
        </is>
      </c>
      <c r="H66" s="4" t="n">
        <v>8</v>
      </c>
      <c r="I66" s="4" t="n">
        <v>2</v>
      </c>
      <c r="J66" s="4" t="inlineStr">
        <is>
          <t>cam</t>
        </is>
      </c>
      <c r="K66" s="4" t="inlineStr"/>
      <c r="L66" s="22" t="inlineStr"/>
    </row>
    <row r="67">
      <c r="A67" s="4" t="inlineStr">
        <is>
          <t>MX_HTP-01</t>
        </is>
      </c>
      <c r="B67" s="4" t="inlineStr">
        <is>
          <t>A</t>
        </is>
      </c>
      <c r="C67" s="4" t="inlineStr">
        <is>
          <t>CE48 · FOCAL 12FO → Phạm Hũu Lầu</t>
        </is>
      </c>
      <c r="D67" s="4" t="n">
        <v>11</v>
      </c>
      <c r="E67" s="4" t="n">
        <v>2</v>
      </c>
      <c r="F67" s="4" t="inlineStr">
        <is>
          <t>xám</t>
        </is>
      </c>
      <c r="G67" s="4" t="inlineStr">
        <is>
          <t>CE61 · FOCAL 12FO → AGG-NBE22 (SG mới)</t>
        </is>
      </c>
      <c r="H67" s="4" t="n">
        <v>11</v>
      </c>
      <c r="I67" s="4" t="n">
        <v>2</v>
      </c>
      <c r="J67" s="4" t="inlineStr">
        <is>
          <t>xám</t>
        </is>
      </c>
      <c r="K67" s="4" t="inlineStr">
        <is>
          <t>HNB005</t>
        </is>
      </c>
      <c r="L67" s="22" t="inlineStr"/>
    </row>
    <row r="68">
      <c r="A68" s="4" t="inlineStr">
        <is>
          <t>MX_HTP-01</t>
        </is>
      </c>
      <c r="B68" s="4" t="inlineStr">
        <is>
          <t>A</t>
        </is>
      </c>
      <c r="C68" s="4" t="inlineStr">
        <is>
          <t>CE48 · FOCAL 12FO → Phạm Hũu Lầu</t>
        </is>
      </c>
      <c r="D68" s="4" t="n">
        <v>12</v>
      </c>
      <c r="E68" s="4" t="n">
        <v>2</v>
      </c>
      <c r="F68" s="4" t="inlineStr">
        <is>
          <t>trắng</t>
        </is>
      </c>
      <c r="G68" s="4" t="inlineStr">
        <is>
          <t>CE61 · FOCAL 12FO → AGG-NBE22 (SG mới)</t>
        </is>
      </c>
      <c r="H68" s="4" t="n">
        <v>12</v>
      </c>
      <c r="I68" s="4" t="n">
        <v>2</v>
      </c>
      <c r="J68" s="4" t="inlineStr">
        <is>
          <t>trắng</t>
        </is>
      </c>
      <c r="K68" s="4" t="inlineStr">
        <is>
          <t>HNB005</t>
        </is>
      </c>
      <c r="L68" s="22" t="inlineStr"/>
    </row>
    <row r="69">
      <c r="A69" s="4" t="inlineStr">
        <is>
          <t>MX_HTP-01</t>
        </is>
      </c>
      <c r="B69" s="4" t="inlineStr">
        <is>
          <t>B</t>
        </is>
      </c>
      <c r="C69" s="4" t="inlineStr">
        <is>
          <t>CE48 · FOCAL 12FO → Phạm Hũu Lầu</t>
        </is>
      </c>
      <c r="D69" s="4" t="n">
        <v>9</v>
      </c>
      <c r="E69" s="4" t="n">
        <v>2</v>
      </c>
      <c r="F69" s="4" t="inlineStr">
        <is>
          <t>xanh lá</t>
        </is>
      </c>
      <c r="G69" s="4" t="inlineStr">
        <is>
          <t>CR48 · POSTEF 2016 8FO → HNB066</t>
        </is>
      </c>
      <c r="H69" s="4" t="n">
        <v>1</v>
      </c>
      <c r="I69" s="4" t="n">
        <v>1</v>
      </c>
      <c r="J69" s="4" t="inlineStr">
        <is>
          <t>xanh dương</t>
        </is>
      </c>
      <c r="K69" s="4" t="inlineStr">
        <is>
          <t>HNB066</t>
        </is>
      </c>
      <c r="L69" s="22" t="inlineStr"/>
    </row>
    <row r="70">
      <c r="A70" s="4" t="inlineStr">
        <is>
          <t>MX_HTP-01</t>
        </is>
      </c>
      <c r="B70" s="4" t="inlineStr">
        <is>
          <t>B</t>
        </is>
      </c>
      <c r="C70" s="4" t="inlineStr">
        <is>
          <t>CE48 · FOCAL 12FO → Phạm Hũu Lầu</t>
        </is>
      </c>
      <c r="D70" s="4" t="n">
        <v>10</v>
      </c>
      <c r="E70" s="4" t="n">
        <v>2</v>
      </c>
      <c r="F70" s="4" t="inlineStr">
        <is>
          <t>nâu</t>
        </is>
      </c>
      <c r="G70" s="4" t="inlineStr">
        <is>
          <t>CR48 · POSTEF 2016 8FO → HNB066</t>
        </is>
      </c>
      <c r="H70" s="4" t="n">
        <v>2</v>
      </c>
      <c r="I70" s="4" t="n">
        <v>1</v>
      </c>
      <c r="J70" s="4" t="inlineStr">
        <is>
          <t>cam</t>
        </is>
      </c>
      <c r="K70" s="4" t="inlineStr">
        <is>
          <t>HNB066</t>
        </is>
      </c>
      <c r="L70" s="22" t="inlineStr"/>
    </row>
    <row r="71">
      <c r="A71" s="4" t="inlineStr">
        <is>
          <t>MX_LVL-04</t>
        </is>
      </c>
      <c r="B71" s="4" t="inlineStr">
        <is>
          <t>A</t>
        </is>
      </c>
      <c r="C71" s="4" t="inlineStr">
        <is>
          <t>AD67 · SAMTEL 3/2015 12FO → Đào Sư Tích</t>
        </is>
      </c>
      <c r="D71" s="4" t="n">
        <v>1</v>
      </c>
      <c r="E71" s="4" t="n">
        <v>1</v>
      </c>
      <c r="F71" s="4" t="inlineStr">
        <is>
          <t>xanh dương</t>
        </is>
      </c>
      <c r="G71" s="4" t="inlineStr">
        <is>
          <t>AD80 · 12FO → LVL-Ngô Quang Thắm</t>
        </is>
      </c>
      <c r="H71" s="4" t="n">
        <v>1</v>
      </c>
      <c r="I71" s="4" t="n">
        <v>1</v>
      </c>
      <c r="J71" s="4" t="inlineStr">
        <is>
          <t>xanh dương</t>
        </is>
      </c>
      <c r="K71" s="4" t="inlineStr"/>
      <c r="L71" s="22" t="inlineStr"/>
    </row>
    <row r="72">
      <c r="A72" s="4" t="inlineStr">
        <is>
          <t>MX_LVL-04</t>
        </is>
      </c>
      <c r="B72" s="4" t="inlineStr">
        <is>
          <t>A</t>
        </is>
      </c>
      <c r="C72" s="4" t="inlineStr">
        <is>
          <t>AD67 · SAMTEL 3/2015 12FO → Đào Sư Tích</t>
        </is>
      </c>
      <c r="D72" s="4" t="n">
        <v>2</v>
      </c>
      <c r="E72" s="4" t="n">
        <v>1</v>
      </c>
      <c r="F72" s="4" t="inlineStr">
        <is>
          <t>cam</t>
        </is>
      </c>
      <c r="G72" s="4" t="inlineStr">
        <is>
          <t>AD80 · 12FO → LVL-Ngô Quang Thắm</t>
        </is>
      </c>
      <c r="H72" s="4" t="n">
        <v>2</v>
      </c>
      <c r="I72" s="4" t="n">
        <v>1</v>
      </c>
      <c r="J72" s="4" t="inlineStr">
        <is>
          <t>cam</t>
        </is>
      </c>
      <c r="K72" s="4" t="inlineStr"/>
      <c r="L72" s="22" t="inlineStr"/>
    </row>
    <row r="73">
      <c r="A73" s="4" t="inlineStr">
        <is>
          <t>MX_LVL-04</t>
        </is>
      </c>
      <c r="B73" s="4" t="inlineStr">
        <is>
          <t>A</t>
        </is>
      </c>
      <c r="C73" s="4" t="inlineStr">
        <is>
          <t>AD67 · SAMTEL 3/2015 12FO → Đào Sư Tích</t>
        </is>
      </c>
      <c r="D73" s="4" t="n">
        <v>3</v>
      </c>
      <c r="E73" s="4" t="n">
        <v>1</v>
      </c>
      <c r="F73" s="4" t="inlineStr">
        <is>
          <t>xanh lá</t>
        </is>
      </c>
      <c r="G73" s="4" t="inlineStr">
        <is>
          <t>AD80 · 12FO → LVL-Ngô Quang Thắm</t>
        </is>
      </c>
      <c r="H73" s="4" t="n">
        <v>3</v>
      </c>
      <c r="I73" s="4" t="n">
        <v>1</v>
      </c>
      <c r="J73" s="4" t="inlineStr">
        <is>
          <t>xanh lá</t>
        </is>
      </c>
      <c r="K73" s="4" t="inlineStr">
        <is>
          <t>HNB066</t>
        </is>
      </c>
      <c r="L73" s="22" t="inlineStr"/>
    </row>
    <row r="74">
      <c r="A74" s="4" t="inlineStr">
        <is>
          <t>MX_LVL-04</t>
        </is>
      </c>
      <c r="B74" s="4" t="inlineStr">
        <is>
          <t>A</t>
        </is>
      </c>
      <c r="C74" s="4" t="inlineStr">
        <is>
          <t>AD67 · SAMTEL 3/2015 12FO → Đào Sư Tích</t>
        </is>
      </c>
      <c r="D74" s="4" t="n">
        <v>4</v>
      </c>
      <c r="E74" s="4" t="n">
        <v>1</v>
      </c>
      <c r="F74" s="4" t="inlineStr">
        <is>
          <t>nâu</t>
        </is>
      </c>
      <c r="G74" s="4" t="inlineStr">
        <is>
          <t>AD80 · 12FO → LVL-Ngô Quang Thắm</t>
        </is>
      </c>
      <c r="H74" s="4" t="n">
        <v>4</v>
      </c>
      <c r="I74" s="4" t="n">
        <v>1</v>
      </c>
      <c r="J74" s="4" t="inlineStr">
        <is>
          <t>nâu</t>
        </is>
      </c>
      <c r="K74" s="4" t="inlineStr">
        <is>
          <t>HNB066</t>
        </is>
      </c>
      <c r="L74" s="22" t="inlineStr"/>
    </row>
    <row r="75">
      <c r="A75" s="4" t="inlineStr">
        <is>
          <t>MX_LVL-04</t>
        </is>
      </c>
      <c r="B75" s="4" t="inlineStr">
        <is>
          <t>A</t>
        </is>
      </c>
      <c r="C75" s="4" t="inlineStr">
        <is>
          <t>AD67 · SAMTEL 3/2015 12FO → Đào Sư Tích</t>
        </is>
      </c>
      <c r="D75" s="4" t="n">
        <v>5</v>
      </c>
      <c r="E75" s="4" t="n">
        <v>1</v>
      </c>
      <c r="F75" s="4" t="inlineStr">
        <is>
          <t>xám</t>
        </is>
      </c>
      <c r="G75" s="4" t="inlineStr">
        <is>
          <t>AD80 · 12FO → LVL-Ngô Quang Thắm</t>
        </is>
      </c>
      <c r="H75" s="4" t="n">
        <v>5</v>
      </c>
      <c r="I75" s="4" t="n">
        <v>1</v>
      </c>
      <c r="J75" s="4" t="inlineStr">
        <is>
          <t>xám</t>
        </is>
      </c>
      <c r="K75" s="4" t="inlineStr">
        <is>
          <t>HNB005</t>
        </is>
      </c>
      <c r="L75" s="22" t="inlineStr"/>
    </row>
    <row r="76">
      <c r="A76" s="4" t="inlineStr">
        <is>
          <t>MX_LVL-04</t>
        </is>
      </c>
      <c r="B76" s="4" t="inlineStr">
        <is>
          <t>A</t>
        </is>
      </c>
      <c r="C76" s="4" t="inlineStr">
        <is>
          <t>AD67 · SAMTEL 3/2015 12FO → Đào Sư Tích</t>
        </is>
      </c>
      <c r="D76" s="4" t="n">
        <v>6</v>
      </c>
      <c r="E76" s="4" t="n">
        <v>1</v>
      </c>
      <c r="F76" s="4" t="inlineStr">
        <is>
          <t>trắng</t>
        </is>
      </c>
      <c r="G76" s="4" t="inlineStr">
        <is>
          <t>AD80 · 12FO → LVL-Ngô Quang Thắm</t>
        </is>
      </c>
      <c r="H76" s="4" t="n">
        <v>6</v>
      </c>
      <c r="I76" s="4" t="n">
        <v>1</v>
      </c>
      <c r="J76" s="4" t="inlineStr">
        <is>
          <t>trắng</t>
        </is>
      </c>
      <c r="K76" s="4" t="inlineStr">
        <is>
          <t>HNB005</t>
        </is>
      </c>
      <c r="L76" s="22" t="inlineStr"/>
    </row>
    <row r="77">
      <c r="A77" s="4" t="inlineStr">
        <is>
          <t>MX_LVL-04</t>
        </is>
      </c>
      <c r="B77" s="4" t="inlineStr">
        <is>
          <t>A</t>
        </is>
      </c>
      <c r="C77" s="4" t="inlineStr">
        <is>
          <t>AD67 · SAMTEL 3/2015 12FO → Đào Sư Tích</t>
        </is>
      </c>
      <c r="D77" s="4" t="n">
        <v>7</v>
      </c>
      <c r="E77" s="4" t="n">
        <v>2</v>
      </c>
      <c r="F77" s="4" t="inlineStr">
        <is>
          <t>xanh dương</t>
        </is>
      </c>
      <c r="G77" s="4" t="inlineStr">
        <is>
          <t>AD80 · 12FO → LVL-Ngô Quang Thắm</t>
        </is>
      </c>
      <c r="H77" s="4" t="n">
        <v>9</v>
      </c>
      <c r="I77" s="4" t="n">
        <v>2</v>
      </c>
      <c r="J77" s="4" t="inlineStr">
        <is>
          <t>xanh lá</t>
        </is>
      </c>
      <c r="K77" s="4" t="inlineStr"/>
      <c r="L77" s="22" t="inlineStr"/>
    </row>
    <row r="78">
      <c r="A78" s="4" t="inlineStr">
        <is>
          <t>MX_LVL-04</t>
        </is>
      </c>
      <c r="B78" s="4" t="inlineStr">
        <is>
          <t>A</t>
        </is>
      </c>
      <c r="C78" s="4" t="inlineStr">
        <is>
          <t>AD67 · SAMTEL 3/2015 12FO → Đào Sư Tích</t>
        </is>
      </c>
      <c r="D78" s="4" t="n">
        <v>8</v>
      </c>
      <c r="E78" s="4" t="n">
        <v>2</v>
      </c>
      <c r="F78" s="4" t="inlineStr">
        <is>
          <t>cam</t>
        </is>
      </c>
      <c r="G78" s="4" t="inlineStr">
        <is>
          <t>AD80 · 12FO → LVL-Ngô Quang Thắm</t>
        </is>
      </c>
      <c r="H78" s="4" t="n">
        <v>10</v>
      </c>
      <c r="I78" s="4" t="n">
        <v>2</v>
      </c>
      <c r="J78" s="4" t="inlineStr">
        <is>
          <t>nâu</t>
        </is>
      </c>
      <c r="K78" s="4" t="inlineStr"/>
      <c r="L78" s="22" t="inlineStr"/>
    </row>
    <row r="79">
      <c r="A79" s="4" t="inlineStr">
        <is>
          <t>MX_LVL-04</t>
        </is>
      </c>
      <c r="B79" s="4" t="inlineStr">
        <is>
          <t>B</t>
        </is>
      </c>
      <c r="C79" s="4" t="inlineStr">
        <is>
          <t>AD67 · SAMTEL 3/2015 12FO → Đào Sư Tích</t>
        </is>
      </c>
      <c r="D79" s="4" t="n">
        <v>11</v>
      </c>
      <c r="E79" s="4" t="n">
        <v>2</v>
      </c>
      <c r="F79" s="4" t="inlineStr">
        <is>
          <t>xám</t>
        </is>
      </c>
      <c r="G79" s="4" t="inlineStr">
        <is>
          <t>AA70 · POSTEF 8/2019 6FO → HNB018</t>
        </is>
      </c>
      <c r="H79" s="4" t="n">
        <v>1</v>
      </c>
      <c r="I79" s="4" t="n">
        <v>1</v>
      </c>
      <c r="J79" s="4" t="inlineStr">
        <is>
          <t>xanh dương</t>
        </is>
      </c>
      <c r="K79" s="4" t="inlineStr">
        <is>
          <t>HNB094</t>
        </is>
      </c>
      <c r="L79" s="22" t="inlineStr"/>
    </row>
    <row r="80">
      <c r="A80" s="4" t="inlineStr">
        <is>
          <t>MX_LVL-04</t>
        </is>
      </c>
      <c r="B80" s="4" t="inlineStr">
        <is>
          <t>B</t>
        </is>
      </c>
      <c r="C80" s="4" t="inlineStr">
        <is>
          <t>AD67 · SAMTEL 3/2015 12FO → Đào Sư Tích</t>
        </is>
      </c>
      <c r="D80" s="4" t="n">
        <v>12</v>
      </c>
      <c r="E80" s="4" t="n">
        <v>2</v>
      </c>
      <c r="F80" s="4" t="inlineStr">
        <is>
          <t>trắng</t>
        </is>
      </c>
      <c r="G80" s="4" t="inlineStr">
        <is>
          <t>AA70 · POSTEF 8/2019 6FO → HNB018</t>
        </is>
      </c>
      <c r="H80" s="4" t="n">
        <v>2</v>
      </c>
      <c r="I80" s="4" t="n">
        <v>1</v>
      </c>
      <c r="J80" s="4" t="inlineStr">
        <is>
          <t>cam</t>
        </is>
      </c>
      <c r="K80" s="4" t="inlineStr">
        <is>
          <t>HNB094</t>
        </is>
      </c>
      <c r="L80" s="22" t="inlineStr"/>
    </row>
    <row r="81">
      <c r="A81" s="4" t="inlineStr">
        <is>
          <t>MX_LVL-04</t>
        </is>
      </c>
      <c r="B81" s="4" t="inlineStr">
        <is>
          <t>C</t>
        </is>
      </c>
      <c r="C81" s="4" t="inlineStr">
        <is>
          <t xml:space="preserve">AR70 · FO → </t>
        </is>
      </c>
      <c r="D81" s="4" t="n">
        <v>1</v>
      </c>
      <c r="E81" s="4" t="n">
        <v>1</v>
      </c>
      <c r="F81" s="4" t="inlineStr">
        <is>
          <t>xanh dương</t>
        </is>
      </c>
      <c r="G81" s="4" t="inlineStr">
        <is>
          <t>AD80 · 12FO → LVL-Ngô Quang Thắm</t>
        </is>
      </c>
      <c r="H81" s="4" t="n">
        <v>7</v>
      </c>
      <c r="I81" s="4" t="n">
        <v>2</v>
      </c>
      <c r="J81" s="4" t="inlineStr">
        <is>
          <t>xanh dương</t>
        </is>
      </c>
      <c r="K81" s="4" t="inlineStr">
        <is>
          <t>LACG43</t>
        </is>
      </c>
      <c r="L81" s="22" t="inlineStr"/>
    </row>
    <row r="82">
      <c r="A82" s="4" t="inlineStr">
        <is>
          <t>MX_LVL-04</t>
        </is>
      </c>
      <c r="B82" s="4" t="inlineStr">
        <is>
          <t>C</t>
        </is>
      </c>
      <c r="C82" s="4" t="inlineStr">
        <is>
          <t xml:space="preserve">AR70 · FO → </t>
        </is>
      </c>
      <c r="D82" s="4" t="n">
        <v>2</v>
      </c>
      <c r="E82" s="4" t="n">
        <v>1</v>
      </c>
      <c r="F82" s="4" t="inlineStr">
        <is>
          <t>cam</t>
        </is>
      </c>
      <c r="G82" s="4" t="inlineStr">
        <is>
          <t>AD80 · 12FO → LVL-Ngô Quang Thắm</t>
        </is>
      </c>
      <c r="H82" s="4" t="n">
        <v>8</v>
      </c>
      <c r="I82" s="4" t="n">
        <v>2</v>
      </c>
      <c r="J82" s="4" t="inlineStr">
        <is>
          <t>cam</t>
        </is>
      </c>
      <c r="K82" s="4" t="inlineStr">
        <is>
          <t>LACG43</t>
        </is>
      </c>
      <c r="L82" s="22" t="inlineStr"/>
    </row>
    <row r="83">
      <c r="A83" s="4" t="inlineStr">
        <is>
          <t>MX_HTP-02</t>
        </is>
      </c>
      <c r="B83" s="4" t="inlineStr">
        <is>
          <t>A</t>
        </is>
      </c>
      <c r="C83" s="4" t="inlineStr">
        <is>
          <t>CE68 · FOCAL 12FO → cầu Phú Xuân 2</t>
        </is>
      </c>
      <c r="D83" s="4" t="n">
        <v>1</v>
      </c>
      <c r="E83" s="4" t="n">
        <v>1</v>
      </c>
      <c r="F83" s="4" t="inlineStr">
        <is>
          <t>xanh dương</t>
        </is>
      </c>
      <c r="G83" s="4" t="inlineStr">
        <is>
          <t>CE81 · FOCAL 12FO → AGG-NBE22 (SG mới)</t>
        </is>
      </c>
      <c r="H83" s="4" t="n">
        <v>1</v>
      </c>
      <c r="I83" s="4" t="n">
        <v>1</v>
      </c>
      <c r="J83" s="4" t="inlineStr">
        <is>
          <t>xanh dương</t>
        </is>
      </c>
      <c r="K83" s="4" t="inlineStr">
        <is>
          <t>HNB075</t>
        </is>
      </c>
      <c r="L83" s="22" t="inlineStr"/>
    </row>
    <row r="84">
      <c r="A84" s="4" t="inlineStr">
        <is>
          <t>MX_HTP-02</t>
        </is>
      </c>
      <c r="B84" s="4" t="inlineStr">
        <is>
          <t>A</t>
        </is>
      </c>
      <c r="C84" s="4" t="inlineStr">
        <is>
          <t>CE68 · FOCAL 12FO → cầu Phú Xuân 2</t>
        </is>
      </c>
      <c r="D84" s="4" t="n">
        <v>2</v>
      </c>
      <c r="E84" s="4" t="n">
        <v>1</v>
      </c>
      <c r="F84" s="4" t="inlineStr">
        <is>
          <t>cam</t>
        </is>
      </c>
      <c r="G84" s="4" t="inlineStr">
        <is>
          <t>CE81 · FOCAL 12FO → AGG-NBE22 (SG mới)</t>
        </is>
      </c>
      <c r="H84" s="4" t="n">
        <v>2</v>
      </c>
      <c r="I84" s="4" t="n">
        <v>1</v>
      </c>
      <c r="J84" s="4" t="inlineStr">
        <is>
          <t>cam</t>
        </is>
      </c>
      <c r="K84" s="4" t="inlineStr">
        <is>
          <t>HNB075</t>
        </is>
      </c>
      <c r="L84" s="22" t="inlineStr"/>
    </row>
    <row r="85">
      <c r="A85" s="4" t="inlineStr">
        <is>
          <t>MX_HTP-02</t>
        </is>
      </c>
      <c r="B85" s="4" t="inlineStr">
        <is>
          <t>A</t>
        </is>
      </c>
      <c r="C85" s="4" t="inlineStr">
        <is>
          <t>CE68 · FOCAL 12FO → cầu Phú Xuân 2</t>
        </is>
      </c>
      <c r="D85" s="4" t="n">
        <v>3</v>
      </c>
      <c r="E85" s="4" t="n">
        <v>1</v>
      </c>
      <c r="F85" s="4" t="inlineStr">
        <is>
          <t>xanh lá</t>
        </is>
      </c>
      <c r="G85" s="4" t="inlineStr">
        <is>
          <t>CE81 · FOCAL 12FO → AGG-NBE22 (SG mới)</t>
        </is>
      </c>
      <c r="H85" s="4" t="n">
        <v>3</v>
      </c>
      <c r="I85" s="4" t="n">
        <v>1</v>
      </c>
      <c r="J85" s="4" t="inlineStr">
        <is>
          <t>xanh lá</t>
        </is>
      </c>
      <c r="K85" s="4" t="inlineStr">
        <is>
          <t>HNB073</t>
        </is>
      </c>
      <c r="L85" s="22" t="inlineStr"/>
    </row>
    <row r="86">
      <c r="A86" s="4" t="inlineStr">
        <is>
          <t>MX_HTP-02</t>
        </is>
      </c>
      <c r="B86" s="4" t="inlineStr">
        <is>
          <t>A</t>
        </is>
      </c>
      <c r="C86" s="4" t="inlineStr">
        <is>
          <t>CE68 · FOCAL 12FO → cầu Phú Xuân 2</t>
        </is>
      </c>
      <c r="D86" s="4" t="n">
        <v>4</v>
      </c>
      <c r="E86" s="4" t="n">
        <v>1</v>
      </c>
      <c r="F86" s="4" t="inlineStr">
        <is>
          <t>nâu</t>
        </is>
      </c>
      <c r="G86" s="4" t="inlineStr">
        <is>
          <t>CE81 · FOCAL 12FO → AGG-NBE22 (SG mới)</t>
        </is>
      </c>
      <c r="H86" s="4" t="n">
        <v>4</v>
      </c>
      <c r="I86" s="4" t="n">
        <v>1</v>
      </c>
      <c r="J86" s="4" t="inlineStr">
        <is>
          <t>nâu</t>
        </is>
      </c>
      <c r="K86" s="4" t="inlineStr">
        <is>
          <t>HNB073</t>
        </is>
      </c>
      <c r="L86" s="22" t="inlineStr"/>
    </row>
    <row r="87">
      <c r="A87" s="4" t="inlineStr">
        <is>
          <t>MX_HTP-02</t>
        </is>
      </c>
      <c r="B87" s="4" t="inlineStr">
        <is>
          <t>A</t>
        </is>
      </c>
      <c r="C87" s="4" t="inlineStr">
        <is>
          <t>CE68 · FOCAL 12FO → cầu Phú Xuân 2</t>
        </is>
      </c>
      <c r="D87" s="4" t="n">
        <v>5</v>
      </c>
      <c r="E87" s="4" t="n">
        <v>1</v>
      </c>
      <c r="F87" s="4" t="inlineStr">
        <is>
          <t>xám</t>
        </is>
      </c>
      <c r="G87" s="4" t="inlineStr">
        <is>
          <t>CE81 · FOCAL 12FO → AGG-NBE22 (SG mới)</t>
        </is>
      </c>
      <c r="H87" s="4" t="n">
        <v>5</v>
      </c>
      <c r="I87" s="4" t="n">
        <v>1</v>
      </c>
      <c r="J87" s="4" t="inlineStr">
        <is>
          <t>xám</t>
        </is>
      </c>
      <c r="K87" s="4" t="inlineStr">
        <is>
          <t>HNB094</t>
        </is>
      </c>
      <c r="L87" s="22" t="inlineStr"/>
    </row>
    <row r="88">
      <c r="A88" s="4" t="inlineStr">
        <is>
          <t>MX_HTP-02</t>
        </is>
      </c>
      <c r="B88" s="4" t="inlineStr">
        <is>
          <t>A</t>
        </is>
      </c>
      <c r="C88" s="4" t="inlineStr">
        <is>
          <t>CE68 · FOCAL 12FO → cầu Phú Xuân 2</t>
        </is>
      </c>
      <c r="D88" s="4" t="n">
        <v>6</v>
      </c>
      <c r="E88" s="4" t="n">
        <v>1</v>
      </c>
      <c r="F88" s="4" t="inlineStr">
        <is>
          <t>trắng</t>
        </is>
      </c>
      <c r="G88" s="4" t="inlineStr">
        <is>
          <t>CE81 · FOCAL 12FO → AGG-NBE22 (SG mới)</t>
        </is>
      </c>
      <c r="H88" s="4" t="n">
        <v>6</v>
      </c>
      <c r="I88" s="4" t="n">
        <v>1</v>
      </c>
      <c r="J88" s="4" t="inlineStr">
        <is>
          <t>trắng</t>
        </is>
      </c>
      <c r="K88" s="4" t="inlineStr">
        <is>
          <t>HNB094</t>
        </is>
      </c>
      <c r="L88" s="22" t="inlineStr"/>
    </row>
    <row r="89">
      <c r="A89" s="4" t="inlineStr">
        <is>
          <t>MX_HTP-02</t>
        </is>
      </c>
      <c r="B89" s="4" t="inlineStr">
        <is>
          <t>A</t>
        </is>
      </c>
      <c r="C89" s="4" t="inlineStr">
        <is>
          <t>CE68 · FOCAL 12FO → cầu Phú Xuân 2</t>
        </is>
      </c>
      <c r="D89" s="4" t="n">
        <v>7</v>
      </c>
      <c r="E89" s="4" t="n">
        <v>2</v>
      </c>
      <c r="F89" s="4" t="inlineStr">
        <is>
          <t>xanh dương</t>
        </is>
      </c>
      <c r="G89" s="4" t="inlineStr">
        <is>
          <t>CE81 · FOCAL 12FO → AGG-NBE22 (SG mới)</t>
        </is>
      </c>
      <c r="H89" s="4" t="n">
        <v>7</v>
      </c>
      <c r="I89" s="4" t="n">
        <v>2</v>
      </c>
      <c r="J89" s="4" t="inlineStr">
        <is>
          <t>xanh dương</t>
        </is>
      </c>
      <c r="K89" s="4" t="inlineStr"/>
      <c r="L89" s="22" t="inlineStr"/>
    </row>
    <row r="90">
      <c r="A90" s="4" t="inlineStr">
        <is>
          <t>MX_HTP-02</t>
        </is>
      </c>
      <c r="B90" s="4" t="inlineStr">
        <is>
          <t>A</t>
        </is>
      </c>
      <c r="C90" s="4" t="inlineStr">
        <is>
          <t>CE68 · FOCAL 12FO → cầu Phú Xuân 2</t>
        </is>
      </c>
      <c r="D90" s="4" t="n">
        <v>8</v>
      </c>
      <c r="E90" s="4" t="n">
        <v>2</v>
      </c>
      <c r="F90" s="4" t="inlineStr">
        <is>
          <t>cam</t>
        </is>
      </c>
      <c r="G90" s="4" t="inlineStr">
        <is>
          <t>CE81 · FOCAL 12FO → AGG-NBE22 (SG mới)</t>
        </is>
      </c>
      <c r="H90" s="4" t="n">
        <v>8</v>
      </c>
      <c r="I90" s="4" t="n">
        <v>2</v>
      </c>
      <c r="J90" s="4" t="inlineStr">
        <is>
          <t>cam</t>
        </is>
      </c>
      <c r="K90" s="4" t="inlineStr"/>
      <c r="L90" s="22" t="inlineStr"/>
    </row>
    <row r="91">
      <c r="A91" s="4" t="inlineStr">
        <is>
          <t>MX_HTP-02</t>
        </is>
      </c>
      <c r="B91" s="4" t="inlineStr">
        <is>
          <t>B</t>
        </is>
      </c>
      <c r="C91" s="4" t="inlineStr">
        <is>
          <t>CE68 · FOCAL 12FO → cầu Phú Xuân 2</t>
        </is>
      </c>
      <c r="D91" s="4" t="n">
        <v>11</v>
      </c>
      <c r="E91" s="4" t="n">
        <v>2</v>
      </c>
      <c r="F91" s="4" t="inlineStr">
        <is>
          <t>xám</t>
        </is>
      </c>
      <c r="G91" s="4" t="inlineStr">
        <is>
          <t>CR81 · Vina-OFC AESS2016 8FO → HNB005</t>
        </is>
      </c>
      <c r="H91" s="4" t="n">
        <v>1</v>
      </c>
      <c r="I91" s="4" t="n">
        <v>1</v>
      </c>
      <c r="J91" s="4" t="inlineStr">
        <is>
          <t>xanh dương</t>
        </is>
      </c>
      <c r="K91" s="4" t="inlineStr">
        <is>
          <t>HNB005</t>
        </is>
      </c>
      <c r="L91" s="22" t="inlineStr"/>
    </row>
    <row r="92">
      <c r="A92" s="4" t="inlineStr">
        <is>
          <t>MX_HTP-02</t>
        </is>
      </c>
      <c r="B92" s="4" t="inlineStr">
        <is>
          <t>B</t>
        </is>
      </c>
      <c r="C92" s="4" t="inlineStr">
        <is>
          <t>CE68 · FOCAL 12FO → cầu Phú Xuân 2</t>
        </is>
      </c>
      <c r="D92" s="4" t="n">
        <v>12</v>
      </c>
      <c r="E92" s="4" t="n">
        <v>2</v>
      </c>
      <c r="F92" s="4" t="inlineStr">
        <is>
          <t>trắng</t>
        </is>
      </c>
      <c r="G92" s="4" t="inlineStr">
        <is>
          <t>CR81 · Vina-OFC AESS2016 8FO → HNB005</t>
        </is>
      </c>
      <c r="H92" s="4" t="n">
        <v>2</v>
      </c>
      <c r="I92" s="4" t="n">
        <v>1</v>
      </c>
      <c r="J92" s="4" t="inlineStr">
        <is>
          <t>cam</t>
        </is>
      </c>
      <c r="K92" s="4" t="inlineStr">
        <is>
          <t>HNB005</t>
        </is>
      </c>
      <c r="L92" s="22" t="inlineStr"/>
    </row>
    <row r="93">
      <c r="A93" s="4" t="inlineStr">
        <is>
          <t>MX_HTP-02</t>
        </is>
      </c>
      <c r="B93" s="4" t="inlineStr">
        <is>
          <t>C</t>
        </is>
      </c>
      <c r="C93" s="4" t="inlineStr">
        <is>
          <t>CB71 · POSTEF 1/2019 8FO → HNB038</t>
        </is>
      </c>
      <c r="D93" s="4" t="n">
        <v>1</v>
      </c>
      <c r="E93" s="4" t="n">
        <v>1</v>
      </c>
      <c r="F93" s="4" t="inlineStr">
        <is>
          <t>xanh dương</t>
        </is>
      </c>
      <c r="G93" s="4" t="inlineStr">
        <is>
          <t>CE81 · FOCAL 12FO → AGG-NBE22 (SG mới)</t>
        </is>
      </c>
      <c r="H93" s="4" t="n">
        <v>9</v>
      </c>
      <c r="I93" s="4" t="n">
        <v>2</v>
      </c>
      <c r="J93" s="4" t="inlineStr">
        <is>
          <t>xanh lá</t>
        </is>
      </c>
      <c r="K93" s="4" t="inlineStr">
        <is>
          <t>HNB038</t>
        </is>
      </c>
      <c r="L93" s="22" t="inlineStr"/>
    </row>
    <row r="94">
      <c r="A94" s="4" t="inlineStr">
        <is>
          <t>MX_HTP-02</t>
        </is>
      </c>
      <c r="B94" s="4" t="inlineStr">
        <is>
          <t>C</t>
        </is>
      </c>
      <c r="C94" s="4" t="inlineStr">
        <is>
          <t>CB71 · POSTEF 1/2019 8FO → HNB038</t>
        </is>
      </c>
      <c r="D94" s="4" t="n">
        <v>2</v>
      </c>
      <c r="E94" s="4" t="n">
        <v>1</v>
      </c>
      <c r="F94" s="4" t="inlineStr">
        <is>
          <t>cam</t>
        </is>
      </c>
      <c r="G94" s="4" t="inlineStr">
        <is>
          <t>CE81 · FOCAL 12FO → AGG-NBE22 (SG mới)</t>
        </is>
      </c>
      <c r="H94" s="4" t="n">
        <v>10</v>
      </c>
      <c r="I94" s="4" t="n">
        <v>2</v>
      </c>
      <c r="J94" s="4" t="inlineStr">
        <is>
          <t>nâu</t>
        </is>
      </c>
      <c r="K94" s="4" t="inlineStr">
        <is>
          <t>HNB038</t>
        </is>
      </c>
      <c r="L94" s="22" t="inlineStr"/>
    </row>
    <row r="95">
      <c r="A95" s="4" t="inlineStr">
        <is>
          <t>MX_LVL-05</t>
        </is>
      </c>
      <c r="B95" s="4" t="inlineStr">
        <is>
          <t>A</t>
        </is>
      </c>
      <c r="C95" s="4" t="inlineStr">
        <is>
          <t>AA89 · 12FO → Đào Sư Tích</t>
        </is>
      </c>
      <c r="D95" s="4" t="n">
        <v>1</v>
      </c>
      <c r="E95" s="4" t="n">
        <v>1</v>
      </c>
      <c r="F95" s="4" t="inlineStr">
        <is>
          <t>xanh dương</t>
        </is>
      </c>
      <c r="G95" s="4" t="inlineStr">
        <is>
          <t>AD103 · HƯỚNG VỀ VNPT LONG THỚI 24FO → CÁP TREO 24FO HƯỚNG VỀ VNPT LONG THỚI</t>
        </is>
      </c>
      <c r="H95" s="4" t="n">
        <v>1</v>
      </c>
      <c r="I95" s="4" t="n">
        <v>1</v>
      </c>
      <c r="J95" s="4" t="inlineStr">
        <is>
          <t>xanh dương</t>
        </is>
      </c>
      <c r="K95" s="4" t="inlineStr">
        <is>
          <t>HNB012</t>
        </is>
      </c>
      <c r="L95" s="22" t="inlineStr"/>
    </row>
    <row r="96">
      <c r="A96" s="4" t="inlineStr">
        <is>
          <t>MX_LVL-05</t>
        </is>
      </c>
      <c r="B96" s="4" t="inlineStr">
        <is>
          <t>A</t>
        </is>
      </c>
      <c r="C96" s="4" t="inlineStr">
        <is>
          <t>AA89 · 12FO → Đào Sư Tích</t>
        </is>
      </c>
      <c r="D96" s="4" t="n">
        <v>2</v>
      </c>
      <c r="E96" s="4" t="n">
        <v>1</v>
      </c>
      <c r="F96" s="4" t="inlineStr">
        <is>
          <t>cam</t>
        </is>
      </c>
      <c r="G96" s="4" t="inlineStr">
        <is>
          <t>AD103 · HƯỚNG VỀ VNPT LONG THỚI 24FO → CÁP TREO 24FO HƯỚNG VỀ VNPT LONG THỚI</t>
        </is>
      </c>
      <c r="H96" s="4" t="n">
        <v>2</v>
      </c>
      <c r="I96" s="4" t="n">
        <v>1</v>
      </c>
      <c r="J96" s="4" t="inlineStr">
        <is>
          <t>cam</t>
        </is>
      </c>
      <c r="K96" s="4" t="inlineStr">
        <is>
          <t>HNB012</t>
        </is>
      </c>
      <c r="L96" s="22" t="inlineStr"/>
    </row>
    <row r="97">
      <c r="A97" s="4" t="inlineStr">
        <is>
          <t>MX_LVL-05</t>
        </is>
      </c>
      <c r="B97" s="4" t="inlineStr">
        <is>
          <t>A</t>
        </is>
      </c>
      <c r="C97" s="4" t="inlineStr">
        <is>
          <t>AA89 · 12FO → Đào Sư Tích</t>
        </is>
      </c>
      <c r="D97" s="4" t="n">
        <v>3</v>
      </c>
      <c r="E97" s="4" t="n">
        <v>1</v>
      </c>
      <c r="F97" s="4" t="inlineStr">
        <is>
          <t>xanh lá</t>
        </is>
      </c>
      <c r="G97" s="4" t="inlineStr">
        <is>
          <t>AD103 · HƯỚNG VỀ VNPT LONG THỚI 24FO → CÁP TREO 24FO HƯỚNG VỀ VNPT LONG THỚI</t>
        </is>
      </c>
      <c r="H97" s="4" t="n">
        <v>3</v>
      </c>
      <c r="I97" s="4" t="n">
        <v>1</v>
      </c>
      <c r="J97" s="4" t="inlineStr">
        <is>
          <t>xanh lá</t>
        </is>
      </c>
      <c r="K97" s="4" t="inlineStr">
        <is>
          <t>HNB011</t>
        </is>
      </c>
      <c r="L97" s="22" t="inlineStr"/>
    </row>
    <row r="98">
      <c r="A98" s="4" t="inlineStr">
        <is>
          <t>MX_LVL-05</t>
        </is>
      </c>
      <c r="B98" s="4" t="inlineStr">
        <is>
          <t>A</t>
        </is>
      </c>
      <c r="C98" s="4" t="inlineStr">
        <is>
          <t>AA89 · 12FO → Đào Sư Tích</t>
        </is>
      </c>
      <c r="D98" s="4" t="n">
        <v>4</v>
      </c>
      <c r="E98" s="4" t="n">
        <v>1</v>
      </c>
      <c r="F98" s="4" t="inlineStr">
        <is>
          <t>nâu</t>
        </is>
      </c>
      <c r="G98" s="4" t="inlineStr">
        <is>
          <t>AD103 · HƯỚNG VỀ VNPT LONG THỚI 24FO → CÁP TREO 24FO HƯỚNG VỀ VNPT LONG THỚI</t>
        </is>
      </c>
      <c r="H98" s="4" t="n">
        <v>4</v>
      </c>
      <c r="I98" s="4" t="n">
        <v>1</v>
      </c>
      <c r="J98" s="4" t="inlineStr">
        <is>
          <t>nâu</t>
        </is>
      </c>
      <c r="K98" s="4" t="inlineStr">
        <is>
          <t>HNB011</t>
        </is>
      </c>
      <c r="L98" s="22" t="inlineStr"/>
    </row>
    <row r="99">
      <c r="A99" s="4" t="inlineStr">
        <is>
          <t>MX_LVL-05</t>
        </is>
      </c>
      <c r="B99" s="4" t="inlineStr">
        <is>
          <t>A</t>
        </is>
      </c>
      <c r="C99" s="4" t="inlineStr">
        <is>
          <t>AA89 · 12FO → Đào Sư Tích</t>
        </is>
      </c>
      <c r="D99" s="4" t="n">
        <v>5</v>
      </c>
      <c r="E99" s="4" t="n">
        <v>1</v>
      </c>
      <c r="F99" s="4" t="inlineStr">
        <is>
          <t>xám</t>
        </is>
      </c>
      <c r="G99" s="4" t="inlineStr">
        <is>
          <t>AD103 · HƯỚNG VỀ VNPT LONG THỚI 24FO → CÁP TREO 24FO HƯỚNG VỀ VNPT LONG THỚI</t>
        </is>
      </c>
      <c r="H99" s="4" t="n">
        <v>5</v>
      </c>
      <c r="I99" s="4" t="n">
        <v>1</v>
      </c>
      <c r="J99" s="4" t="inlineStr">
        <is>
          <t>xám</t>
        </is>
      </c>
      <c r="K99" s="4" t="inlineStr">
        <is>
          <t>HNB055</t>
        </is>
      </c>
      <c r="L99" s="22" t="inlineStr"/>
    </row>
    <row r="100">
      <c r="A100" s="4" t="inlineStr">
        <is>
          <t>MX_LVL-05</t>
        </is>
      </c>
      <c r="B100" s="4" t="inlineStr">
        <is>
          <t>A</t>
        </is>
      </c>
      <c r="C100" s="4" t="inlineStr">
        <is>
          <t>AA89 · 12FO → Đào Sư Tích</t>
        </is>
      </c>
      <c r="D100" s="4" t="n">
        <v>6</v>
      </c>
      <c r="E100" s="4" t="n">
        <v>1</v>
      </c>
      <c r="F100" s="4" t="inlineStr">
        <is>
          <t>trắng</t>
        </is>
      </c>
      <c r="G100" s="4" t="inlineStr">
        <is>
          <t>AD103 · HƯỚNG VỀ VNPT LONG THỚI 24FO → CÁP TREO 24FO HƯỚNG VỀ VNPT LONG THỚI</t>
        </is>
      </c>
      <c r="H100" s="4" t="n">
        <v>6</v>
      </c>
      <c r="I100" s="4" t="n">
        <v>1</v>
      </c>
      <c r="J100" s="4" t="inlineStr">
        <is>
          <t>trắng</t>
        </is>
      </c>
      <c r="K100" s="4" t="inlineStr">
        <is>
          <t>HNB055</t>
        </is>
      </c>
      <c r="L100" s="22" t="inlineStr"/>
    </row>
    <row r="101">
      <c r="A101" s="4" t="inlineStr">
        <is>
          <t>MX_LVL-05</t>
        </is>
      </c>
      <c r="B101" s="4" t="inlineStr">
        <is>
          <t>B</t>
        </is>
      </c>
      <c r="C101" s="4" t="inlineStr">
        <is>
          <t>AD86 · 12FO → Phạm Hữu Lầu</t>
        </is>
      </c>
      <c r="D101" s="4" t="n">
        <v>7</v>
      </c>
      <c r="E101" s="4" t="n">
        <v>2</v>
      </c>
      <c r="F101" s="4" t="inlineStr">
        <is>
          <t>xanh dương</t>
        </is>
      </c>
      <c r="G101" s="4" t="inlineStr">
        <is>
          <t>AD103 · HƯỚNG VỀ VNPT LONG THỚI 24FO → CÁP TREO 24FO HƯỚNG VỀ VNPT LONG THỚI</t>
        </is>
      </c>
      <c r="H101" s="4" t="n">
        <v>7</v>
      </c>
      <c r="I101" s="4" t="n">
        <v>2</v>
      </c>
      <c r="J101" s="4" t="inlineStr">
        <is>
          <t>xanh dương</t>
        </is>
      </c>
      <c r="K101" s="4" t="inlineStr">
        <is>
          <t>LACG43</t>
        </is>
      </c>
      <c r="L101" s="22" t="inlineStr"/>
    </row>
    <row r="102">
      <c r="A102" s="4" t="inlineStr">
        <is>
          <t>MX_LVL-05</t>
        </is>
      </c>
      <c r="B102" s="4" t="inlineStr">
        <is>
          <t>B</t>
        </is>
      </c>
      <c r="C102" s="4" t="inlineStr">
        <is>
          <t>AD86 · 12FO → Phạm Hữu Lầu</t>
        </is>
      </c>
      <c r="D102" s="4" t="n">
        <v>8</v>
      </c>
      <c r="E102" s="4" t="n">
        <v>2</v>
      </c>
      <c r="F102" s="4" t="inlineStr">
        <is>
          <t>cam</t>
        </is>
      </c>
      <c r="G102" s="4" t="inlineStr">
        <is>
          <t>AD103 · HƯỚNG VỀ VNPT LONG THỚI 24FO → CÁP TREO 24FO HƯỚNG VỀ VNPT LONG THỚI</t>
        </is>
      </c>
      <c r="H102" s="4" t="n">
        <v>8</v>
      </c>
      <c r="I102" s="4" t="n">
        <v>2</v>
      </c>
      <c r="J102" s="4" t="inlineStr">
        <is>
          <t>cam</t>
        </is>
      </c>
      <c r="K102" s="4" t="inlineStr">
        <is>
          <t>LACG43</t>
        </is>
      </c>
      <c r="L102" s="22" t="inlineStr"/>
    </row>
    <row r="103">
      <c r="A103" s="4" t="inlineStr">
        <is>
          <t>MX_LVL-05</t>
        </is>
      </c>
      <c r="B103" s="4" t="inlineStr">
        <is>
          <t>B</t>
        </is>
      </c>
      <c r="C103" s="4" t="inlineStr">
        <is>
          <t>AD86 · 12FO → Phạm Hữu Lầu</t>
        </is>
      </c>
      <c r="D103" s="4" t="n">
        <v>9</v>
      </c>
      <c r="E103" s="4" t="n">
        <v>2</v>
      </c>
      <c r="F103" s="4" t="inlineStr">
        <is>
          <t>xanh lá</t>
        </is>
      </c>
      <c r="G103" s="4" t="inlineStr">
        <is>
          <t>AD103 · HƯỚNG VỀ VNPT LONG THỚI 24FO → CÁP TREO 24FO HƯỚNG VỀ VNPT LONG THỚI</t>
        </is>
      </c>
      <c r="H103" s="4" t="n">
        <v>9</v>
      </c>
      <c r="I103" s="4" t="n">
        <v>2</v>
      </c>
      <c r="J103" s="4" t="inlineStr">
        <is>
          <t>xanh lá</t>
        </is>
      </c>
      <c r="K103" s="4" t="inlineStr"/>
      <c r="L103" s="22" t="inlineStr"/>
    </row>
    <row r="104">
      <c r="A104" s="4" t="inlineStr">
        <is>
          <t>MX_LVL-05</t>
        </is>
      </c>
      <c r="B104" s="4" t="inlineStr">
        <is>
          <t>B</t>
        </is>
      </c>
      <c r="C104" s="4" t="inlineStr">
        <is>
          <t>AD86 · 12FO → Phạm Hữu Lầu</t>
        </is>
      </c>
      <c r="D104" s="4" t="n">
        <v>10</v>
      </c>
      <c r="E104" s="4" t="n">
        <v>2</v>
      </c>
      <c r="F104" s="4" t="inlineStr">
        <is>
          <t>nâu</t>
        </is>
      </c>
      <c r="G104" s="4" t="inlineStr">
        <is>
          <t>AD103 · HƯỚNG VỀ VNPT LONG THỚI 24FO → CÁP TREO 24FO HƯỚNG VỀ VNPT LONG THỚI</t>
        </is>
      </c>
      <c r="H104" s="4" t="n">
        <v>10</v>
      </c>
      <c r="I104" s="4" t="n">
        <v>2</v>
      </c>
      <c r="J104" s="4" t="inlineStr">
        <is>
          <t>nâu</t>
        </is>
      </c>
      <c r="K104" s="4" t="inlineStr"/>
      <c r="L104" s="22" t="inlineStr"/>
    </row>
    <row r="105">
      <c r="A105" s="4" t="inlineStr">
        <is>
          <t>MX_LVL-05</t>
        </is>
      </c>
      <c r="B105" s="4" t="inlineStr">
        <is>
          <t>C</t>
        </is>
      </c>
      <c r="C105" s="4" t="inlineStr">
        <is>
          <t>AD86 · 12FO → Phạm Hữu Lầu</t>
        </is>
      </c>
      <c r="D105" s="4" t="n">
        <v>1</v>
      </c>
      <c r="E105" s="4" t="n">
        <v>1</v>
      </c>
      <c r="F105" s="4" t="inlineStr">
        <is>
          <t>xanh dương</t>
        </is>
      </c>
      <c r="G105" s="4" t="inlineStr">
        <is>
          <t>AP86 · 12FO → Ngô Quang Thắm</t>
        </is>
      </c>
      <c r="H105" s="4" t="n">
        <v>7</v>
      </c>
      <c r="I105" s="4" t="n">
        <v>2</v>
      </c>
      <c r="J105" s="4" t="inlineStr">
        <is>
          <t>xanh dương</t>
        </is>
      </c>
      <c r="K105" s="4" t="inlineStr"/>
      <c r="L105" s="22" t="inlineStr"/>
    </row>
    <row r="106">
      <c r="A106" s="4" t="inlineStr">
        <is>
          <t>MX_LVL-05</t>
        </is>
      </c>
      <c r="B106" s="4" t="inlineStr">
        <is>
          <t>C</t>
        </is>
      </c>
      <c r="C106" s="4" t="inlineStr">
        <is>
          <t>AD86 · 12FO → Phạm Hữu Lầu</t>
        </is>
      </c>
      <c r="D106" s="4" t="n">
        <v>2</v>
      </c>
      <c r="E106" s="4" t="n">
        <v>1</v>
      </c>
      <c r="F106" s="4" t="inlineStr">
        <is>
          <t>cam</t>
        </is>
      </c>
      <c r="G106" s="4" t="inlineStr">
        <is>
          <t>AP86 · 12FO → Ngô Quang Thắm</t>
        </is>
      </c>
      <c r="H106" s="4" t="n">
        <v>8</v>
      </c>
      <c r="I106" s="4" t="n">
        <v>2</v>
      </c>
      <c r="J106" s="4" t="inlineStr">
        <is>
          <t>cam</t>
        </is>
      </c>
      <c r="K106" s="4" t="inlineStr"/>
      <c r="L106" s="22" t="inlineStr"/>
    </row>
    <row r="107">
      <c r="A107" s="4" t="inlineStr">
        <is>
          <t>MX_LVL-05</t>
        </is>
      </c>
      <c r="B107" s="4" t="inlineStr">
        <is>
          <t>C</t>
        </is>
      </c>
      <c r="C107" s="4" t="inlineStr">
        <is>
          <t>AD86 · 12FO → Phạm Hữu Lầu</t>
        </is>
      </c>
      <c r="D107" s="4" t="n">
        <v>3</v>
      </c>
      <c r="E107" s="4" t="n">
        <v>1</v>
      </c>
      <c r="F107" s="4" t="inlineStr">
        <is>
          <t>xanh lá</t>
        </is>
      </c>
      <c r="G107" s="4" t="inlineStr">
        <is>
          <t>AP86 · 12FO → Ngô Quang Thắm</t>
        </is>
      </c>
      <c r="H107" s="4" t="n">
        <v>9</v>
      </c>
      <c r="I107" s="4" t="n">
        <v>2</v>
      </c>
      <c r="J107" s="4" t="inlineStr">
        <is>
          <t>xanh lá</t>
        </is>
      </c>
      <c r="K107" s="4" t="inlineStr">
        <is>
          <t>HNB066</t>
        </is>
      </c>
      <c r="L107" s="22" t="inlineStr"/>
    </row>
    <row r="108">
      <c r="A108" s="4" t="inlineStr">
        <is>
          <t>MX_LVL-05</t>
        </is>
      </c>
      <c r="B108" s="4" t="inlineStr">
        <is>
          <t>C</t>
        </is>
      </c>
      <c r="C108" s="4" t="inlineStr">
        <is>
          <t>AD86 · 12FO → Phạm Hữu Lầu</t>
        </is>
      </c>
      <c r="D108" s="4" t="n">
        <v>4</v>
      </c>
      <c r="E108" s="4" t="n">
        <v>1</v>
      </c>
      <c r="F108" s="4" t="inlineStr">
        <is>
          <t>nâu</t>
        </is>
      </c>
      <c r="G108" s="4" t="inlineStr">
        <is>
          <t>AP86 · 12FO → Ngô Quang Thắm</t>
        </is>
      </c>
      <c r="H108" s="4" t="n">
        <v>10</v>
      </c>
      <c r="I108" s="4" t="n">
        <v>2</v>
      </c>
      <c r="J108" s="4" t="inlineStr">
        <is>
          <t>nâu</t>
        </is>
      </c>
      <c r="K108" s="4" t="inlineStr">
        <is>
          <t>HNB066</t>
        </is>
      </c>
      <c r="L108" s="22" t="inlineStr"/>
    </row>
    <row r="109">
      <c r="A109" s="4" t="inlineStr">
        <is>
          <t>MX_LVL-05</t>
        </is>
      </c>
      <c r="B109" s="4" t="inlineStr">
        <is>
          <t>C</t>
        </is>
      </c>
      <c r="C109" s="4" t="inlineStr">
        <is>
          <t>AD86 · 12FO → Phạm Hữu Lầu</t>
        </is>
      </c>
      <c r="D109" s="4" t="n">
        <v>5</v>
      </c>
      <c r="E109" s="4" t="n">
        <v>1</v>
      </c>
      <c r="F109" s="4" t="inlineStr">
        <is>
          <t>xám</t>
        </is>
      </c>
      <c r="G109" s="4" t="inlineStr">
        <is>
          <t>AP86 · 12FO → Ngô Quang Thắm</t>
        </is>
      </c>
      <c r="H109" s="4" t="n">
        <v>11</v>
      </c>
      <c r="I109" s="4" t="n">
        <v>2</v>
      </c>
      <c r="J109" s="4" t="inlineStr">
        <is>
          <t>xám</t>
        </is>
      </c>
      <c r="K109" s="4" t="inlineStr">
        <is>
          <t>HNB005</t>
        </is>
      </c>
      <c r="L109" s="22" t="inlineStr"/>
    </row>
    <row r="110">
      <c r="A110" s="4" t="inlineStr">
        <is>
          <t>MX_LVL-05</t>
        </is>
      </c>
      <c r="B110" s="4" t="inlineStr">
        <is>
          <t>C</t>
        </is>
      </c>
      <c r="C110" s="4" t="inlineStr">
        <is>
          <t>AD86 · 12FO → Phạm Hữu Lầu</t>
        </is>
      </c>
      <c r="D110" s="4" t="n">
        <v>6</v>
      </c>
      <c r="E110" s="4" t="n">
        <v>1</v>
      </c>
      <c r="F110" s="4" t="inlineStr">
        <is>
          <t>trắng</t>
        </is>
      </c>
      <c r="G110" s="4" t="inlineStr">
        <is>
          <t>AP86 · 12FO → Ngô Quang Thắm</t>
        </is>
      </c>
      <c r="H110" s="4" t="n">
        <v>12</v>
      </c>
      <c r="I110" s="4" t="n">
        <v>2</v>
      </c>
      <c r="J110" s="4" t="inlineStr">
        <is>
          <t>trắng</t>
        </is>
      </c>
      <c r="K110" s="4" t="inlineStr">
        <is>
          <t>HNB005</t>
        </is>
      </c>
      <c r="L110" s="22" t="inlineStr"/>
    </row>
    <row r="111">
      <c r="A111" s="4" t="inlineStr">
        <is>
          <t>MX_LVL-05</t>
        </is>
      </c>
      <c r="B111" s="4" t="inlineStr">
        <is>
          <t>D</t>
        </is>
      </c>
      <c r="C111" s="4" t="inlineStr">
        <is>
          <t>AP86 · 12FO → Ngô Quang Thắm</t>
        </is>
      </c>
      <c r="D111" s="4" t="n">
        <v>1</v>
      </c>
      <c r="E111" s="4" t="n">
        <v>1</v>
      </c>
      <c r="F111" s="4" t="inlineStr">
        <is>
          <t>xanh dương</t>
        </is>
      </c>
      <c r="G111" s="4" t="inlineStr">
        <is>
          <t>AD103 · HƯỚNG VỀ VNPT LONG THỚI 24FO → CÁP TREO 24FO HƯỚNG VỀ VNPT LONG THỚI</t>
        </is>
      </c>
      <c r="H111" s="4" t="n">
        <v>19</v>
      </c>
      <c r="I111" s="4" t="n">
        <v>4</v>
      </c>
      <c r="J111" s="4" t="inlineStr">
        <is>
          <t>xanh dương</t>
        </is>
      </c>
      <c r="K111" s="4" t="inlineStr">
        <is>
          <t>HNB091</t>
        </is>
      </c>
      <c r="L111" s="22" t="inlineStr"/>
    </row>
    <row r="112">
      <c r="A112" s="4" t="inlineStr">
        <is>
          <t>MX_LVL-05</t>
        </is>
      </c>
      <c r="B112" s="4" t="inlineStr">
        <is>
          <t>D</t>
        </is>
      </c>
      <c r="C112" s="4" t="inlineStr">
        <is>
          <t>AP86 · 12FO → Ngô Quang Thắm</t>
        </is>
      </c>
      <c r="D112" s="4" t="n">
        <v>2</v>
      </c>
      <c r="E112" s="4" t="n">
        <v>1</v>
      </c>
      <c r="F112" s="4" t="inlineStr">
        <is>
          <t>cam</t>
        </is>
      </c>
      <c r="G112" s="4" t="inlineStr">
        <is>
          <t>AD103 · HƯỚNG VỀ VNPT LONG THỚI 24FO → CÁP TREO 24FO HƯỚNG VỀ VNPT LONG THỚI</t>
        </is>
      </c>
      <c r="H112" s="4" t="n">
        <v>20</v>
      </c>
      <c r="I112" s="4" t="n">
        <v>4</v>
      </c>
      <c r="J112" s="4" t="inlineStr">
        <is>
          <t>cam</t>
        </is>
      </c>
      <c r="K112" s="4" t="inlineStr">
        <is>
          <t>HNB091</t>
        </is>
      </c>
      <c r="L112" s="22" t="inlineStr"/>
    </row>
    <row r="113">
      <c r="A113" s="4" t="inlineStr">
        <is>
          <t>MX_LVL-05</t>
        </is>
      </c>
      <c r="B113" s="4" t="inlineStr">
        <is>
          <t>D</t>
        </is>
      </c>
      <c r="C113" s="4" t="inlineStr">
        <is>
          <t>AP86 · 12FO → Ngô Quang Thắm</t>
        </is>
      </c>
      <c r="D113" s="4" t="n">
        <v>3</v>
      </c>
      <c r="E113" s="4" t="n">
        <v>1</v>
      </c>
      <c r="F113" s="4" t="inlineStr">
        <is>
          <t>xanh lá</t>
        </is>
      </c>
      <c r="G113" s="4" t="inlineStr">
        <is>
          <t>AD103 · HƯỚNG VỀ VNPT LONG THỚI 24FO → CÁP TREO 24FO HƯỚNG VỀ VNPT LONG THỚI</t>
        </is>
      </c>
      <c r="H113" s="4" t="n">
        <v>21</v>
      </c>
      <c r="I113" s="4" t="n">
        <v>4</v>
      </c>
      <c r="J113" s="4" t="inlineStr">
        <is>
          <t>xanh lá</t>
        </is>
      </c>
      <c r="K113" s="4" t="inlineStr">
        <is>
          <t>HNB048</t>
        </is>
      </c>
      <c r="L113" s="22" t="inlineStr"/>
    </row>
    <row r="114">
      <c r="A114" s="4" t="inlineStr">
        <is>
          <t>MX_LVL-05</t>
        </is>
      </c>
      <c r="B114" s="4" t="inlineStr">
        <is>
          <t>D</t>
        </is>
      </c>
      <c r="C114" s="4" t="inlineStr">
        <is>
          <t>AP86 · 12FO → Ngô Quang Thắm</t>
        </is>
      </c>
      <c r="D114" s="4" t="n">
        <v>4</v>
      </c>
      <c r="E114" s="4" t="n">
        <v>1</v>
      </c>
      <c r="F114" s="4" t="inlineStr">
        <is>
          <t>nâu</t>
        </is>
      </c>
      <c r="G114" s="4" t="inlineStr">
        <is>
          <t>AD103 · HƯỚNG VỀ VNPT LONG THỚI 24FO → CÁP TREO 24FO HƯỚNG VỀ VNPT LONG THỚI</t>
        </is>
      </c>
      <c r="H114" s="4" t="n">
        <v>22</v>
      </c>
      <c r="I114" s="4" t="n">
        <v>4</v>
      </c>
      <c r="J114" s="4" t="inlineStr">
        <is>
          <t>nâu</t>
        </is>
      </c>
      <c r="K114" s="4" t="inlineStr">
        <is>
          <t>HNB048</t>
        </is>
      </c>
      <c r="L114" s="22" t="inlineStr"/>
    </row>
    <row r="115">
      <c r="A115" s="4" t="inlineStr">
        <is>
          <t>MX_LVL-05</t>
        </is>
      </c>
      <c r="B115" s="4" t="inlineStr">
        <is>
          <t>D</t>
        </is>
      </c>
      <c r="C115" s="4" t="inlineStr">
        <is>
          <t>AP86 · 12FO → Ngô Quang Thắm</t>
        </is>
      </c>
      <c r="D115" s="4" t="n">
        <v>5</v>
      </c>
      <c r="E115" s="4" t="n">
        <v>1</v>
      </c>
      <c r="F115" s="4" t="inlineStr">
        <is>
          <t>xám</t>
        </is>
      </c>
      <c r="G115" s="4" t="inlineStr">
        <is>
          <t>AD103 · HƯỚNG VỀ VNPT LONG THỚI 24FO → CÁP TREO 24FO HƯỚNG VỀ VNPT LONG THỚI</t>
        </is>
      </c>
      <c r="H115" s="4" t="n">
        <v>23</v>
      </c>
      <c r="I115" s="4" t="n">
        <v>4</v>
      </c>
      <c r="J115" s="4" t="inlineStr">
        <is>
          <t>xám</t>
        </is>
      </c>
      <c r="K115" s="4" t="inlineStr"/>
      <c r="L115" s="22" t="inlineStr"/>
    </row>
    <row r="116">
      <c r="A116" s="4" t="inlineStr">
        <is>
          <t>MX_LVL-05</t>
        </is>
      </c>
      <c r="B116" s="4" t="inlineStr">
        <is>
          <t>D</t>
        </is>
      </c>
      <c r="C116" s="4" t="inlineStr">
        <is>
          <t>AP86 · 12FO → Ngô Quang Thắm</t>
        </is>
      </c>
      <c r="D116" s="4" t="n">
        <v>6</v>
      </c>
      <c r="E116" s="4" t="n">
        <v>1</v>
      </c>
      <c r="F116" s="4" t="inlineStr">
        <is>
          <t>trắng</t>
        </is>
      </c>
      <c r="G116" s="4" t="inlineStr">
        <is>
          <t>AD103 · HƯỚNG VỀ VNPT LONG THỚI 24FO → CÁP TREO 24FO HƯỚNG VỀ VNPT LONG THỚI</t>
        </is>
      </c>
      <c r="H116" s="4" t="n">
        <v>24</v>
      </c>
      <c r="I116" s="4" t="n">
        <v>4</v>
      </c>
      <c r="J116" s="4" t="inlineStr">
        <is>
          <t>trắng</t>
        </is>
      </c>
      <c r="K116" s="4" t="inlineStr"/>
      <c r="L116" s="22" t="inlineStr"/>
    </row>
    <row r="117">
      <c r="A117" s="4" t="inlineStr">
        <is>
          <t>MX_LVL-05</t>
        </is>
      </c>
      <c r="B117" s="4" t="inlineStr">
        <is>
          <t>E</t>
        </is>
      </c>
      <c r="C117" s="4" t="inlineStr">
        <is>
          <t>AA89 · 12FO → Đào Sư Tích</t>
        </is>
      </c>
      <c r="D117" s="4" t="n">
        <v>7</v>
      </c>
      <c r="E117" s="4" t="n">
        <v>2</v>
      </c>
      <c r="F117" s="4" t="inlineStr">
        <is>
          <t>xanh dương</t>
        </is>
      </c>
      <c r="G117" s="4" t="inlineStr">
        <is>
          <t>AD103 · HƯỚNG VỀ VNPT LONG THỚI 24FO → CÁP TREO 24FO HƯỚNG VỀ VNPT LONG THỚI</t>
        </is>
      </c>
      <c r="H117" s="4" t="n">
        <v>13</v>
      </c>
      <c r="I117" s="4" t="n">
        <v>3</v>
      </c>
      <c r="J117" s="4" t="inlineStr">
        <is>
          <t>xanh dương</t>
        </is>
      </c>
      <c r="K117" s="4" t="inlineStr"/>
      <c r="L117" s="22" t="inlineStr"/>
    </row>
    <row r="118">
      <c r="A118" s="4" t="inlineStr">
        <is>
          <t>MX_LVL-05</t>
        </is>
      </c>
      <c r="B118" s="4" t="inlineStr">
        <is>
          <t>E</t>
        </is>
      </c>
      <c r="C118" s="4" t="inlineStr">
        <is>
          <t>AA89 · 12FO → Đào Sư Tích</t>
        </is>
      </c>
      <c r="D118" s="4" t="n">
        <v>8</v>
      </c>
      <c r="E118" s="4" t="n">
        <v>2</v>
      </c>
      <c r="F118" s="4" t="inlineStr">
        <is>
          <t>cam</t>
        </is>
      </c>
      <c r="G118" s="4" t="inlineStr">
        <is>
          <t>AD103 · HƯỚNG VỀ VNPT LONG THỚI 24FO → CÁP TREO 24FO HƯỚNG VỀ VNPT LONG THỚI</t>
        </is>
      </c>
      <c r="H118" s="4" t="n">
        <v>14</v>
      </c>
      <c r="I118" s="4" t="n">
        <v>3</v>
      </c>
      <c r="J118" s="4" t="inlineStr">
        <is>
          <t>cam</t>
        </is>
      </c>
      <c r="K118" s="4" t="inlineStr"/>
      <c r="L118" s="22" t="inlineStr"/>
    </row>
    <row r="119">
      <c r="A119" s="4" t="inlineStr">
        <is>
          <t>MX_LVL-05</t>
        </is>
      </c>
      <c r="B119" s="4" t="inlineStr">
        <is>
          <t>E</t>
        </is>
      </c>
      <c r="C119" s="4" t="inlineStr">
        <is>
          <t>AA89 · 12FO → Đào Sư Tích</t>
        </is>
      </c>
      <c r="D119" s="4" t="n">
        <v>9</v>
      </c>
      <c r="E119" s="4" t="n">
        <v>2</v>
      </c>
      <c r="F119" s="4" t="inlineStr">
        <is>
          <t>xanh lá</t>
        </is>
      </c>
      <c r="G119" s="4" t="inlineStr">
        <is>
          <t>AD103 · HƯỚNG VỀ VNPT LONG THỚI 24FO → CÁP TREO 24FO HƯỚNG VỀ VNPT LONG THỚI</t>
        </is>
      </c>
      <c r="H119" s="4" t="n">
        <v>15</v>
      </c>
      <c r="I119" s="4" t="n">
        <v>3</v>
      </c>
      <c r="J119" s="4" t="inlineStr">
        <is>
          <t>xanh lá</t>
        </is>
      </c>
      <c r="K119" s="4" t="inlineStr"/>
      <c r="L119" s="22" t="inlineStr"/>
    </row>
    <row r="120">
      <c r="A120" s="4" t="inlineStr">
        <is>
          <t>MX_LVL-05</t>
        </is>
      </c>
      <c r="B120" s="4" t="inlineStr">
        <is>
          <t>E</t>
        </is>
      </c>
      <c r="C120" s="4" t="inlineStr">
        <is>
          <t>AA89 · 12FO → Đào Sư Tích</t>
        </is>
      </c>
      <c r="D120" s="4" t="n">
        <v>10</v>
      </c>
      <c r="E120" s="4" t="n">
        <v>2</v>
      </c>
      <c r="F120" s="4" t="inlineStr">
        <is>
          <t>nâu</t>
        </is>
      </c>
      <c r="G120" s="4" t="inlineStr">
        <is>
          <t>AD103 · HƯỚNG VỀ VNPT LONG THỚI 24FO → CÁP TREO 24FO HƯỚNG VỀ VNPT LONG THỚI</t>
        </is>
      </c>
      <c r="H120" s="4" t="n">
        <v>16</v>
      </c>
      <c r="I120" s="4" t="n">
        <v>3</v>
      </c>
      <c r="J120" s="4" t="inlineStr">
        <is>
          <t>nâu</t>
        </is>
      </c>
      <c r="K120" s="4" t="inlineStr"/>
      <c r="L120" s="22" t="inlineStr"/>
    </row>
    <row r="121">
      <c r="A121" s="4" t="inlineStr">
        <is>
          <t>MX_LVL-05</t>
        </is>
      </c>
      <c r="B121" s="4" t="inlineStr">
        <is>
          <t>E</t>
        </is>
      </c>
      <c r="C121" s="4" t="inlineStr">
        <is>
          <t>AA89 · 12FO → Đào Sư Tích</t>
        </is>
      </c>
      <c r="D121" s="4" t="n">
        <v>11</v>
      </c>
      <c r="E121" s="4" t="n">
        <v>2</v>
      </c>
      <c r="F121" s="4" t="inlineStr">
        <is>
          <t>xám</t>
        </is>
      </c>
      <c r="G121" s="4" t="inlineStr">
        <is>
          <t>AD103 · HƯỚNG VỀ VNPT LONG THỚI 24FO → CÁP TREO 24FO HƯỚNG VỀ VNPT LONG THỚI</t>
        </is>
      </c>
      <c r="H121" s="4" t="n">
        <v>17</v>
      </c>
      <c r="I121" s="4" t="n">
        <v>3</v>
      </c>
      <c r="J121" s="4" t="inlineStr">
        <is>
          <t>xám</t>
        </is>
      </c>
      <c r="K121" s="4" t="inlineStr"/>
      <c r="L121" s="22" t="inlineStr"/>
    </row>
    <row r="122">
      <c r="A122" s="4" t="inlineStr">
        <is>
          <t>MX_LVL-05</t>
        </is>
      </c>
      <c r="B122" s="4" t="inlineStr">
        <is>
          <t>E</t>
        </is>
      </c>
      <c r="C122" s="4" t="inlineStr">
        <is>
          <t>AA89 · 12FO → Đào Sư Tích</t>
        </is>
      </c>
      <c r="D122" s="4" t="n">
        <v>12</v>
      </c>
      <c r="E122" s="4" t="n">
        <v>2</v>
      </c>
      <c r="F122" s="4" t="inlineStr">
        <is>
          <t>trắng</t>
        </is>
      </c>
      <c r="G122" s="4" t="inlineStr">
        <is>
          <t>AD103 · HƯỚNG VỀ VNPT LONG THỚI 24FO → CÁP TREO 24FO HƯỚNG VỀ VNPT LONG THỚI</t>
        </is>
      </c>
      <c r="H122" s="4" t="n">
        <v>18</v>
      </c>
      <c r="I122" s="4" t="n">
        <v>3</v>
      </c>
      <c r="J122" s="4" t="inlineStr">
        <is>
          <t>trắng</t>
        </is>
      </c>
      <c r="K122" s="4" t="inlineStr"/>
      <c r="L122" s="22" t="inlineStr"/>
    </row>
    <row r="123">
      <c r="A123" s="4" t="inlineStr">
        <is>
          <t>MX_HTP-03A</t>
        </is>
      </c>
      <c r="B123" s="4" t="inlineStr">
        <is>
          <t>A</t>
        </is>
      </c>
      <c r="C123" s="4" t="inlineStr">
        <is>
          <t>CE88 · FOCAL 12FO → cầu Phú Xuân 2</t>
        </is>
      </c>
      <c r="D123" s="4" t="n">
        <v>1</v>
      </c>
      <c r="E123" s="4" t="n">
        <v>1</v>
      </c>
      <c r="F123" s="4" t="inlineStr">
        <is>
          <t>xanh dương</t>
        </is>
      </c>
      <c r="G123" s="4" t="inlineStr">
        <is>
          <t>CE101 · POSTEF HƯỚNG VỀ TÒA NHÀ 24FO → CÁP TREO 24FO POSTEF HƯỚNG VỀ TÒA NHÀ (ODF-01) (cs 1570)</t>
        </is>
      </c>
      <c r="H123" s="4" t="n">
        <v>1</v>
      </c>
      <c r="I123" s="4" t="n">
        <v>1</v>
      </c>
      <c r="J123" s="4" t="inlineStr">
        <is>
          <t>xanh dương</t>
        </is>
      </c>
      <c r="K123" s="4" t="inlineStr">
        <is>
          <t>HNB075</t>
        </is>
      </c>
      <c r="L123" s="22" t="inlineStr"/>
    </row>
    <row r="124">
      <c r="A124" s="4" t="inlineStr">
        <is>
          <t>MX_HTP-03A</t>
        </is>
      </c>
      <c r="B124" s="4" t="inlineStr">
        <is>
          <t>A</t>
        </is>
      </c>
      <c r="C124" s="4" t="inlineStr">
        <is>
          <t>CE88 · FOCAL 12FO → cầu Phú Xuân 2</t>
        </is>
      </c>
      <c r="D124" s="4" t="n">
        <v>2</v>
      </c>
      <c r="E124" s="4" t="n">
        <v>1</v>
      </c>
      <c r="F124" s="4" t="inlineStr">
        <is>
          <t>cam</t>
        </is>
      </c>
      <c r="G124" s="4" t="inlineStr">
        <is>
          <t>CE101 · POSTEF HƯỚNG VỀ TÒA NHÀ 24FO → CÁP TREO 24FO POSTEF HƯỚNG VỀ TÒA NHÀ (ODF-01) (cs 1570)</t>
        </is>
      </c>
      <c r="H124" s="4" t="n">
        <v>2</v>
      </c>
      <c r="I124" s="4" t="n">
        <v>1</v>
      </c>
      <c r="J124" s="4" t="inlineStr">
        <is>
          <t>cam</t>
        </is>
      </c>
      <c r="K124" s="4" t="inlineStr">
        <is>
          <t>HNB075</t>
        </is>
      </c>
      <c r="L124" s="22" t="inlineStr"/>
    </row>
    <row r="125">
      <c r="A125" s="4" t="inlineStr">
        <is>
          <t>MX_HTP-03A</t>
        </is>
      </c>
      <c r="B125" s="4" t="inlineStr">
        <is>
          <t>A</t>
        </is>
      </c>
      <c r="C125" s="4" t="inlineStr">
        <is>
          <t>CE88 · FOCAL 12FO → cầu Phú Xuân 2</t>
        </is>
      </c>
      <c r="D125" s="4" t="n">
        <v>3</v>
      </c>
      <c r="E125" s="4" t="n">
        <v>1</v>
      </c>
      <c r="F125" s="4" t="inlineStr">
        <is>
          <t>xanh lá</t>
        </is>
      </c>
      <c r="G125" s="4" t="inlineStr">
        <is>
          <t>CE101 · POSTEF HƯỚNG VỀ TÒA NHÀ 24FO → CÁP TREO 24FO POSTEF HƯỚNG VỀ TÒA NHÀ (ODF-01) (cs 1570)</t>
        </is>
      </c>
      <c r="H125" s="4" t="n">
        <v>3</v>
      </c>
      <c r="I125" s="4" t="n">
        <v>1</v>
      </c>
      <c r="J125" s="4" t="inlineStr">
        <is>
          <t>xanh lá</t>
        </is>
      </c>
      <c r="K125" s="4" t="inlineStr">
        <is>
          <t>HNB073</t>
        </is>
      </c>
      <c r="L125" s="22" t="inlineStr"/>
    </row>
    <row r="126">
      <c r="A126" s="4" t="inlineStr">
        <is>
          <t>MX_HTP-03A</t>
        </is>
      </c>
      <c r="B126" s="4" t="inlineStr">
        <is>
          <t>A</t>
        </is>
      </c>
      <c r="C126" s="4" t="inlineStr">
        <is>
          <t>CE88 · FOCAL 12FO → cầu Phú Xuân 2</t>
        </is>
      </c>
      <c r="D126" s="4" t="n">
        <v>4</v>
      </c>
      <c r="E126" s="4" t="n">
        <v>1</v>
      </c>
      <c r="F126" s="4" t="inlineStr">
        <is>
          <t>nâu</t>
        </is>
      </c>
      <c r="G126" s="4" t="inlineStr">
        <is>
          <t>CE101 · POSTEF HƯỚNG VỀ TÒA NHÀ 24FO → CÁP TREO 24FO POSTEF HƯỚNG VỀ TÒA NHÀ (ODF-01) (cs 1570)</t>
        </is>
      </c>
      <c r="H126" s="4" t="n">
        <v>4</v>
      </c>
      <c r="I126" s="4" t="n">
        <v>1</v>
      </c>
      <c r="J126" s="4" t="inlineStr">
        <is>
          <t>nâu</t>
        </is>
      </c>
      <c r="K126" s="4" t="inlineStr">
        <is>
          <t>HNB073</t>
        </is>
      </c>
      <c r="L126" s="22" t="inlineStr"/>
    </row>
    <row r="127">
      <c r="A127" s="4" t="inlineStr">
        <is>
          <t>MX_HTP-03A</t>
        </is>
      </c>
      <c r="B127" s="4" t="inlineStr">
        <is>
          <t>A</t>
        </is>
      </c>
      <c r="C127" s="4" t="inlineStr">
        <is>
          <t>CE88 · FOCAL 12FO → cầu Phú Xuân 2</t>
        </is>
      </c>
      <c r="D127" s="4" t="n">
        <v>5</v>
      </c>
      <c r="E127" s="4" t="n">
        <v>1</v>
      </c>
      <c r="F127" s="4" t="inlineStr">
        <is>
          <t>xám</t>
        </is>
      </c>
      <c r="G127" s="4" t="inlineStr">
        <is>
          <t>CE101 · POSTEF HƯỚNG VỀ TÒA NHÀ 24FO → CÁP TREO 24FO POSTEF HƯỚNG VỀ TÒA NHÀ (ODF-01) (cs 1570)</t>
        </is>
      </c>
      <c r="H127" s="4" t="n">
        <v>5</v>
      </c>
      <c r="I127" s="4" t="n">
        <v>1</v>
      </c>
      <c r="J127" s="4" t="inlineStr">
        <is>
          <t>xám</t>
        </is>
      </c>
      <c r="K127" s="4" t="inlineStr">
        <is>
          <t>HNB094</t>
        </is>
      </c>
      <c r="L127" s="22" t="inlineStr"/>
    </row>
    <row r="128">
      <c r="A128" s="4" t="inlineStr">
        <is>
          <t>MX_HTP-03A</t>
        </is>
      </c>
      <c r="B128" s="4" t="inlineStr">
        <is>
          <t>A</t>
        </is>
      </c>
      <c r="C128" s="4" t="inlineStr">
        <is>
          <t>CE88 · FOCAL 12FO → cầu Phú Xuân 2</t>
        </is>
      </c>
      <c r="D128" s="4" t="n">
        <v>6</v>
      </c>
      <c r="E128" s="4" t="n">
        <v>1</v>
      </c>
      <c r="F128" s="4" t="inlineStr">
        <is>
          <t>trắng</t>
        </is>
      </c>
      <c r="G128" s="4" t="inlineStr">
        <is>
          <t>CE101 · POSTEF HƯỚNG VỀ TÒA NHÀ 24FO → CÁP TREO 24FO POSTEF HƯỚNG VỀ TÒA NHÀ (ODF-01) (cs 1570)</t>
        </is>
      </c>
      <c r="H128" s="4" t="n">
        <v>6</v>
      </c>
      <c r="I128" s="4" t="n">
        <v>1</v>
      </c>
      <c r="J128" s="4" t="inlineStr">
        <is>
          <t>trắng</t>
        </is>
      </c>
      <c r="K128" s="4" t="inlineStr">
        <is>
          <t>HNB094</t>
        </is>
      </c>
      <c r="L128" s="22" t="inlineStr"/>
    </row>
    <row r="129">
      <c r="A129" s="4" t="inlineStr">
        <is>
          <t>MX_HTP-03A</t>
        </is>
      </c>
      <c r="B129" s="4" t="inlineStr">
        <is>
          <t>A</t>
        </is>
      </c>
      <c r="C129" s="4" t="inlineStr">
        <is>
          <t>CE88 · FOCAL 12FO → cầu Phú Xuân 2</t>
        </is>
      </c>
      <c r="D129" s="4" t="n">
        <v>7</v>
      </c>
      <c r="E129" s="4" t="n">
        <v>2</v>
      </c>
      <c r="F129" s="4" t="inlineStr">
        <is>
          <t>xanh dương</t>
        </is>
      </c>
      <c r="G129" s="4" t="inlineStr">
        <is>
          <t>CE101 · POSTEF HƯỚNG VỀ TÒA NHÀ 24FO → CÁP TREO 24FO POSTEF HƯỚNG VỀ TÒA NHÀ (ODF-01) (cs 1570)</t>
        </is>
      </c>
      <c r="H129" s="4" t="n">
        <v>7</v>
      </c>
      <c r="I129" s="4" t="n">
        <v>2</v>
      </c>
      <c r="J129" s="4" t="inlineStr">
        <is>
          <t>xanh dương</t>
        </is>
      </c>
      <c r="K129" s="4" t="inlineStr"/>
      <c r="L129" s="22" t="inlineStr"/>
    </row>
    <row r="130">
      <c r="A130" s="4" t="inlineStr">
        <is>
          <t>MX_HTP-03A</t>
        </is>
      </c>
      <c r="B130" s="4" t="inlineStr">
        <is>
          <t>A</t>
        </is>
      </c>
      <c r="C130" s="4" t="inlineStr">
        <is>
          <t>CE88 · FOCAL 12FO → cầu Phú Xuân 2</t>
        </is>
      </c>
      <c r="D130" s="4" t="n">
        <v>8</v>
      </c>
      <c r="E130" s="4" t="n">
        <v>2</v>
      </c>
      <c r="F130" s="4" t="inlineStr">
        <is>
          <t>cam</t>
        </is>
      </c>
      <c r="G130" s="4" t="inlineStr">
        <is>
          <t>CE101 · POSTEF HƯỚNG VỀ TÒA NHÀ 24FO → CÁP TREO 24FO POSTEF HƯỚNG VỀ TÒA NHÀ (ODF-01) (cs 1570)</t>
        </is>
      </c>
      <c r="H130" s="4" t="n">
        <v>8</v>
      </c>
      <c r="I130" s="4" t="n">
        <v>2</v>
      </c>
      <c r="J130" s="4" t="inlineStr">
        <is>
          <t>cam</t>
        </is>
      </c>
      <c r="K130" s="4" t="inlineStr"/>
      <c r="L130" s="22" t="inlineStr"/>
    </row>
    <row r="131">
      <c r="A131" s="4" t="inlineStr">
        <is>
          <t>MX_HTP-03A</t>
        </is>
      </c>
      <c r="B131" s="4" t="inlineStr">
        <is>
          <t>A</t>
        </is>
      </c>
      <c r="C131" s="4" t="inlineStr">
        <is>
          <t>CE88 · FOCAL 12FO → cầu Phú Xuân 2</t>
        </is>
      </c>
      <c r="D131" s="4" t="n">
        <v>9</v>
      </c>
      <c r="E131" s="4" t="n">
        <v>2</v>
      </c>
      <c r="F131" s="4" t="inlineStr">
        <is>
          <t>xanh lá</t>
        </is>
      </c>
      <c r="G131" s="4" t="inlineStr">
        <is>
          <t>CE101 · POSTEF HƯỚNG VỀ TÒA NHÀ 24FO → CÁP TREO 24FO POSTEF HƯỚNG VỀ TÒA NHÀ (ODF-01) (cs 1570)</t>
        </is>
      </c>
      <c r="H131" s="4" t="n">
        <v>9</v>
      </c>
      <c r="I131" s="4" t="n">
        <v>2</v>
      </c>
      <c r="J131" s="4" t="inlineStr">
        <is>
          <t>xanh lá</t>
        </is>
      </c>
      <c r="K131" s="4" t="inlineStr">
        <is>
          <t>HNB038</t>
        </is>
      </c>
      <c r="L131" s="22" t="inlineStr"/>
    </row>
    <row r="132">
      <c r="A132" s="4" t="inlineStr">
        <is>
          <t>MX_HTP-03A</t>
        </is>
      </c>
      <c r="B132" s="4" t="inlineStr">
        <is>
          <t>A</t>
        </is>
      </c>
      <c r="C132" s="4" t="inlineStr">
        <is>
          <t>CE88 · FOCAL 12FO → cầu Phú Xuân 2</t>
        </is>
      </c>
      <c r="D132" s="4" t="n">
        <v>10</v>
      </c>
      <c r="E132" s="4" t="n">
        <v>2</v>
      </c>
      <c r="F132" s="4" t="inlineStr">
        <is>
          <t>nâu</t>
        </is>
      </c>
      <c r="G132" s="4" t="inlineStr">
        <is>
          <t>CE101 · POSTEF HƯỚNG VỀ TÒA NHÀ 24FO → CÁP TREO 24FO POSTEF HƯỚNG VỀ TÒA NHÀ (ODF-01) (cs 1570)</t>
        </is>
      </c>
      <c r="H132" s="4" t="n">
        <v>10</v>
      </c>
      <c r="I132" s="4" t="n">
        <v>2</v>
      </c>
      <c r="J132" s="4" t="inlineStr">
        <is>
          <t>nâu</t>
        </is>
      </c>
      <c r="K132" s="4" t="inlineStr">
        <is>
          <t>HNB038</t>
        </is>
      </c>
      <c r="L132" s="22" t="inlineStr"/>
    </row>
    <row r="133">
      <c r="A133" s="4" t="inlineStr">
        <is>
          <t>MX_HTP-03A</t>
        </is>
      </c>
      <c r="B133" s="4" t="inlineStr">
        <is>
          <t>A</t>
        </is>
      </c>
      <c r="C133" s="4" t="inlineStr">
        <is>
          <t>CE88 · FOCAL 12FO → cầu Phú Xuân 2</t>
        </is>
      </c>
      <c r="D133" s="4" t="n">
        <v>11</v>
      </c>
      <c r="E133" s="4" t="n">
        <v>2</v>
      </c>
      <c r="F133" s="4" t="inlineStr">
        <is>
          <t>xám</t>
        </is>
      </c>
      <c r="G133" s="4" t="inlineStr">
        <is>
          <t>CE101 · POSTEF HƯỚNG VỀ TÒA NHÀ 24FO → CÁP TREO 24FO POSTEF HƯỚNG VỀ TÒA NHÀ (ODF-01) (cs 1570)</t>
        </is>
      </c>
      <c r="H133" s="4" t="n">
        <v>11</v>
      </c>
      <c r="I133" s="4" t="n">
        <v>2</v>
      </c>
      <c r="J133" s="4" t="inlineStr">
        <is>
          <t>xám</t>
        </is>
      </c>
      <c r="K133" s="4" t="inlineStr"/>
      <c r="L133" s="22" t="inlineStr"/>
    </row>
    <row r="134">
      <c r="A134" s="4" t="inlineStr">
        <is>
          <t>MX_HTP-03A</t>
        </is>
      </c>
      <c r="B134" s="4" t="inlineStr">
        <is>
          <t>A</t>
        </is>
      </c>
      <c r="C134" s="4" t="inlineStr">
        <is>
          <t>CE88 · FOCAL 12FO → cầu Phú Xuân 2</t>
        </is>
      </c>
      <c r="D134" s="4" t="n">
        <v>12</v>
      </c>
      <c r="E134" s="4" t="n">
        <v>2</v>
      </c>
      <c r="F134" s="4" t="inlineStr">
        <is>
          <t>trắng</t>
        </is>
      </c>
      <c r="G134" s="4" t="inlineStr">
        <is>
          <t>CE101 · POSTEF HƯỚNG VỀ TÒA NHÀ 24FO → CÁP TREO 24FO POSTEF HƯỚNG VỀ TÒA NHÀ (ODF-01) (cs 1570)</t>
        </is>
      </c>
      <c r="H134" s="4" t="n">
        <v>12</v>
      </c>
      <c r="I134" s="4" t="n">
        <v>2</v>
      </c>
      <c r="J134" s="4" t="inlineStr">
        <is>
          <t>trắng</t>
        </is>
      </c>
      <c r="K134" s="4" t="inlineStr"/>
      <c r="L134" s="22" t="inlineStr"/>
    </row>
    <row r="135">
      <c r="A135" s="4" t="inlineStr">
        <is>
          <t>MX_HTP-03A</t>
        </is>
      </c>
      <c r="B135" s="4" t="inlineStr">
        <is>
          <t>B</t>
        </is>
      </c>
      <c r="C135" s="4" t="inlineStr">
        <is>
          <t>CU88 · POSTEF 2017 8FO → HNB013</t>
        </is>
      </c>
      <c r="D135" s="4" t="n">
        <v>1</v>
      </c>
      <c r="E135" s="4" t="n">
        <v>1</v>
      </c>
      <c r="F135" s="4" t="inlineStr">
        <is>
          <t>xanh dương</t>
        </is>
      </c>
      <c r="G135" s="4" t="inlineStr">
        <is>
          <t>CE101 · POSTEF HƯỚNG VỀ TÒA NHÀ 24FO → CÁP TREO 24FO POSTEF HƯỚNG VỀ TÒA NHÀ (ODF-01) (cs 1570)</t>
        </is>
      </c>
      <c r="H135" s="4" t="n">
        <v>19</v>
      </c>
      <c r="I135" s="4" t="n">
        <v>4</v>
      </c>
      <c r="J135" s="4" t="inlineStr">
        <is>
          <t>xanh dương</t>
        </is>
      </c>
      <c r="K135" s="4" t="inlineStr"/>
      <c r="L135" s="22" t="inlineStr"/>
    </row>
    <row r="136">
      <c r="A136" s="4" t="inlineStr">
        <is>
          <t>MX_HTP-03A</t>
        </is>
      </c>
      <c r="B136" s="4" t="inlineStr">
        <is>
          <t>B</t>
        </is>
      </c>
      <c r="C136" s="4" t="inlineStr">
        <is>
          <t>CU88 · POSTEF 2017 8FO → HNB013</t>
        </is>
      </c>
      <c r="D136" s="4" t="n">
        <v>2</v>
      </c>
      <c r="E136" s="4" t="n">
        <v>1</v>
      </c>
      <c r="F136" s="4" t="inlineStr">
        <is>
          <t>cam</t>
        </is>
      </c>
      <c r="G136" s="4" t="inlineStr">
        <is>
          <t>CE101 · POSTEF HƯỚNG VỀ TÒA NHÀ 24FO → CÁP TREO 24FO POSTEF HƯỚNG VỀ TÒA NHÀ (ODF-01) (cs 1570)</t>
        </is>
      </c>
      <c r="H136" s="4" t="n">
        <v>20</v>
      </c>
      <c r="I136" s="4" t="n">
        <v>4</v>
      </c>
      <c r="J136" s="4" t="inlineStr">
        <is>
          <t>cam</t>
        </is>
      </c>
      <c r="K136" s="4" t="inlineStr"/>
      <c r="L136" s="22" t="inlineStr"/>
    </row>
    <row r="137">
      <c r="A137" s="4" t="inlineStr">
        <is>
          <t>MX_HTP-03A</t>
        </is>
      </c>
      <c r="B137" s="4" t="inlineStr">
        <is>
          <t>B</t>
        </is>
      </c>
      <c r="C137" s="4" t="inlineStr">
        <is>
          <t>CU88 · POSTEF 2017 8FO → HNB013</t>
        </is>
      </c>
      <c r="D137" s="4" t="n">
        <v>3</v>
      </c>
      <c r="E137" s="4" t="n">
        <v>1</v>
      </c>
      <c r="F137" s="4" t="inlineStr">
        <is>
          <t>xanh lá</t>
        </is>
      </c>
      <c r="G137" s="4" t="inlineStr">
        <is>
          <t>CE101 · POSTEF HƯỚNG VỀ TÒA NHÀ 24FO → CÁP TREO 24FO POSTEF HƯỚNG VỀ TÒA NHÀ (ODF-01) (cs 1570)</t>
        </is>
      </c>
      <c r="H137" s="4" t="n">
        <v>21</v>
      </c>
      <c r="I137" s="4" t="n">
        <v>4</v>
      </c>
      <c r="J137" s="4" t="inlineStr">
        <is>
          <t>xanh lá</t>
        </is>
      </c>
      <c r="K137" s="4" t="inlineStr"/>
      <c r="L137" s="22" t="inlineStr"/>
    </row>
    <row r="138">
      <c r="A138" s="4" t="inlineStr">
        <is>
          <t>MX_HTP-03A</t>
        </is>
      </c>
      <c r="B138" s="4" t="inlineStr">
        <is>
          <t>B</t>
        </is>
      </c>
      <c r="C138" s="4" t="inlineStr">
        <is>
          <t>CU88 · POSTEF 2017 8FO → HNB013</t>
        </is>
      </c>
      <c r="D138" s="4" t="n">
        <v>4</v>
      </c>
      <c r="E138" s="4" t="n">
        <v>1</v>
      </c>
      <c r="F138" s="4" t="inlineStr">
        <is>
          <t>nâu</t>
        </is>
      </c>
      <c r="G138" s="4" t="inlineStr">
        <is>
          <t>CE101 · POSTEF HƯỚNG VỀ TÒA NHÀ 24FO → CÁP TREO 24FO POSTEF HƯỚNG VỀ TÒA NHÀ (ODF-01) (cs 1570)</t>
        </is>
      </c>
      <c r="H138" s="4" t="n">
        <v>22</v>
      </c>
      <c r="I138" s="4" t="n">
        <v>4</v>
      </c>
      <c r="J138" s="4" t="inlineStr">
        <is>
          <t>nâu</t>
        </is>
      </c>
      <c r="K138" s="4" t="inlineStr"/>
      <c r="L138" s="22" t="inlineStr"/>
    </row>
    <row r="139">
      <c r="A139" s="4" t="inlineStr">
        <is>
          <t>MX_HTP-03A</t>
        </is>
      </c>
      <c r="B139" s="4" t="inlineStr">
        <is>
          <t>B</t>
        </is>
      </c>
      <c r="C139" s="4" t="inlineStr">
        <is>
          <t>CU88 · POSTEF 2017 8FO → HNB013</t>
        </is>
      </c>
      <c r="D139" s="4" t="n">
        <v>5</v>
      </c>
      <c r="E139" s="4" t="n">
        <v>1</v>
      </c>
      <c r="F139" s="4" t="inlineStr">
        <is>
          <t>xám</t>
        </is>
      </c>
      <c r="G139" s="4" t="inlineStr">
        <is>
          <t>CE101 · POSTEF HƯỚNG VỀ TÒA NHÀ 24FO → CÁP TREO 24FO POSTEF HƯỚNG VỀ TÒA NHÀ (ODF-01) (cs 1570)</t>
        </is>
      </c>
      <c r="H139" s="4" t="n">
        <v>23</v>
      </c>
      <c r="I139" s="4" t="n">
        <v>4</v>
      </c>
      <c r="J139" s="4" t="inlineStr">
        <is>
          <t>xám</t>
        </is>
      </c>
      <c r="K139" s="4" t="inlineStr"/>
      <c r="L139" s="22" t="inlineStr"/>
    </row>
    <row r="140">
      <c r="A140" s="4" t="inlineStr">
        <is>
          <t>MX_HTP-03A</t>
        </is>
      </c>
      <c r="B140" s="4" t="inlineStr">
        <is>
          <t>B</t>
        </is>
      </c>
      <c r="C140" s="4" t="inlineStr">
        <is>
          <t>CU88 · POSTEF 2017 8FO → HNB013</t>
        </is>
      </c>
      <c r="D140" s="4" t="n">
        <v>6</v>
      </c>
      <c r="E140" s="4" t="n">
        <v>1</v>
      </c>
      <c r="F140" s="4" t="inlineStr">
        <is>
          <t>trắng</t>
        </is>
      </c>
      <c r="G140" s="4" t="inlineStr">
        <is>
          <t>CE101 · POSTEF HƯỚNG VỀ TÒA NHÀ 24FO → CÁP TREO 24FO POSTEF HƯỚNG VỀ TÒA NHÀ (ODF-01) (cs 1570)</t>
        </is>
      </c>
      <c r="H140" s="4" t="n">
        <v>24</v>
      </c>
      <c r="I140" s="4" t="n">
        <v>4</v>
      </c>
      <c r="J140" s="4" t="inlineStr">
        <is>
          <t>trắng</t>
        </is>
      </c>
      <c r="K140" s="4" t="inlineStr"/>
      <c r="L140" s="22" t="inlineStr"/>
    </row>
    <row r="141">
      <c r="A141" s="4" t="inlineStr">
        <is>
          <t>MX_NB-01</t>
        </is>
      </c>
      <c r="B141" s="4" t="inlineStr">
        <is>
          <t>A</t>
        </is>
      </c>
      <c r="C141" s="4" t="inlineStr">
        <is>
          <t>AD109 · HƯỚNG VỀ LÊ VĂN LƯƠNG 24FO → CÁP TREO 24FO HƯỚNG VỀ LÊ VĂN LƯƠNG (MX_LVL-05)</t>
        </is>
      </c>
      <c r="D141" s="4" t="n">
        <v>1</v>
      </c>
      <c r="E141" s="4" t="n">
        <v>1</v>
      </c>
      <c r="F141" s="4" t="inlineStr">
        <is>
          <t>xanh dương</t>
        </is>
      </c>
      <c r="G141" s="4" t="inlineStr">
        <is>
          <t>AJ126 · HƯỚNG VỀ VNPT LONG THỚI VÀO ODF-01 24FO → CÁP TREO 24FO HƯỚNG VỀ VNPT LONG THỚI VÀO ODF-01</t>
        </is>
      </c>
      <c r="H141" s="4" t="n">
        <v>1</v>
      </c>
      <c r="I141" s="4" t="n">
        <v>1</v>
      </c>
      <c r="J141" s="4" t="inlineStr">
        <is>
          <t>xanh dương</t>
        </is>
      </c>
      <c r="K141" s="4" t="inlineStr">
        <is>
          <t>HNB012</t>
        </is>
      </c>
      <c r="L141" s="22" t="inlineStr"/>
    </row>
    <row r="142">
      <c r="A142" s="4" t="inlineStr">
        <is>
          <t>MX_NB-01</t>
        </is>
      </c>
      <c r="B142" s="4" t="inlineStr">
        <is>
          <t>A</t>
        </is>
      </c>
      <c r="C142" s="4" t="inlineStr">
        <is>
          <t>AD109 · HƯỚNG VỀ LÊ VĂN LƯƠNG 24FO → CÁP TREO 24FO HƯỚNG VỀ LÊ VĂN LƯƠNG (MX_LVL-05)</t>
        </is>
      </c>
      <c r="D142" s="4" t="n">
        <v>2</v>
      </c>
      <c r="E142" s="4" t="n">
        <v>1</v>
      </c>
      <c r="F142" s="4" t="inlineStr">
        <is>
          <t>cam</t>
        </is>
      </c>
      <c r="G142" s="4" t="inlineStr">
        <is>
          <t>AJ126 · HƯỚNG VỀ VNPT LONG THỚI VÀO ODF-01 24FO → CÁP TREO 24FO HƯỚNG VỀ VNPT LONG THỚI VÀO ODF-01</t>
        </is>
      </c>
      <c r="H142" s="4" t="n">
        <v>2</v>
      </c>
      <c r="I142" s="4" t="n">
        <v>1</v>
      </c>
      <c r="J142" s="4" t="inlineStr">
        <is>
          <t>cam</t>
        </is>
      </c>
      <c r="K142" s="4" t="inlineStr">
        <is>
          <t>HNB012</t>
        </is>
      </c>
      <c r="L142" s="22" t="inlineStr"/>
    </row>
    <row r="143">
      <c r="A143" s="4" t="inlineStr">
        <is>
          <t>MX_NB-01</t>
        </is>
      </c>
      <c r="B143" s="4" t="inlineStr">
        <is>
          <t>A</t>
        </is>
      </c>
      <c r="C143" s="4" t="inlineStr">
        <is>
          <t>AD109 · HƯỚNG VỀ LÊ VĂN LƯƠNG 24FO → CÁP TREO 24FO HƯỚNG VỀ LÊ VĂN LƯƠNG (MX_LVL-05)</t>
        </is>
      </c>
      <c r="D143" s="4" t="n">
        <v>5</v>
      </c>
      <c r="E143" s="4" t="n">
        <v>1</v>
      </c>
      <c r="F143" s="4" t="inlineStr">
        <is>
          <t>xám</t>
        </is>
      </c>
      <c r="G143" s="4" t="inlineStr">
        <is>
          <t>AJ126 · HƯỚNG VỀ VNPT LONG THỚI VÀO ODF-01 24FO → CÁP TREO 24FO HƯỚNG VỀ VNPT LONG THỚI VÀO ODF-01</t>
        </is>
      </c>
      <c r="H143" s="4" t="n">
        <v>5</v>
      </c>
      <c r="I143" s="4" t="n">
        <v>1</v>
      </c>
      <c r="J143" s="4" t="inlineStr">
        <is>
          <t>xám</t>
        </is>
      </c>
      <c r="K143" s="4" t="inlineStr">
        <is>
          <t>HNB055</t>
        </is>
      </c>
      <c r="L143" s="22" t="inlineStr"/>
    </row>
    <row r="144">
      <c r="A144" s="4" t="inlineStr">
        <is>
          <t>MX_NB-01</t>
        </is>
      </c>
      <c r="B144" s="4" t="inlineStr">
        <is>
          <t>A</t>
        </is>
      </c>
      <c r="C144" s="4" t="inlineStr">
        <is>
          <t>AD109 · HƯỚNG VỀ LÊ VĂN LƯƠNG 24FO → CÁP TREO 24FO HƯỚNG VỀ LÊ VĂN LƯƠNG (MX_LVL-05)</t>
        </is>
      </c>
      <c r="D144" s="4" t="n">
        <v>6</v>
      </c>
      <c r="E144" s="4" t="n">
        <v>1</v>
      </c>
      <c r="F144" s="4" t="inlineStr">
        <is>
          <t>trắng</t>
        </is>
      </c>
      <c r="G144" s="4" t="inlineStr">
        <is>
          <t>AJ126 · HƯỚNG VỀ VNPT LONG THỚI VÀO ODF-01 24FO → CÁP TREO 24FO HƯỚNG VỀ VNPT LONG THỚI VÀO ODF-01</t>
        </is>
      </c>
      <c r="H144" s="4" t="n">
        <v>6</v>
      </c>
      <c r="I144" s="4" t="n">
        <v>1</v>
      </c>
      <c r="J144" s="4" t="inlineStr">
        <is>
          <t>trắng</t>
        </is>
      </c>
      <c r="K144" s="4" t="inlineStr">
        <is>
          <t>HNB055</t>
        </is>
      </c>
      <c r="L144" s="22" t="inlineStr"/>
    </row>
    <row r="145">
      <c r="A145" s="4" t="inlineStr">
        <is>
          <t>MX_NB-01</t>
        </is>
      </c>
      <c r="B145" s="4" t="inlineStr">
        <is>
          <t>B</t>
        </is>
      </c>
      <c r="C145" s="4" t="inlineStr">
        <is>
          <t>AD109 · HƯỚNG VỀ LÊ VĂN LƯƠNG 24FO → CÁP TREO 24FO HƯỚNG VỀ LÊ VĂN LƯƠNG (MX_LVL-05)</t>
        </is>
      </c>
      <c r="D145" s="4" t="n">
        <v>19</v>
      </c>
      <c r="E145" s="4" t="n">
        <v>4</v>
      </c>
      <c r="F145" s="4" t="inlineStr">
        <is>
          <t>xanh dương</t>
        </is>
      </c>
      <c r="G145" s="4" t="inlineStr">
        <is>
          <t>BD112 · HƯỚNG VỀ HUỲNH TẤN PHÁT 12FO → CÁP TREO 12FO HƯỚNG VỀ HUỲNH TẤN PHÁT (MX_NB-02)</t>
        </is>
      </c>
      <c r="H145" s="4" t="n">
        <v>1</v>
      </c>
      <c r="I145" s="4" t="n">
        <v>1</v>
      </c>
      <c r="J145" s="4" t="inlineStr">
        <is>
          <t>xanh dương</t>
        </is>
      </c>
      <c r="K145" s="4" t="inlineStr">
        <is>
          <t>HNB091</t>
        </is>
      </c>
      <c r="L145" s="22" t="inlineStr"/>
    </row>
    <row r="146">
      <c r="A146" s="4" t="inlineStr">
        <is>
          <t>MX_NB-01</t>
        </is>
      </c>
      <c r="B146" s="4" t="inlineStr">
        <is>
          <t>B</t>
        </is>
      </c>
      <c r="C146" s="4" t="inlineStr">
        <is>
          <t>AD109 · HƯỚNG VỀ LÊ VĂN LƯƠNG 24FO → CÁP TREO 24FO HƯỚNG VỀ LÊ VĂN LƯƠNG (MX_LVL-05)</t>
        </is>
      </c>
      <c r="D146" s="4" t="n">
        <v>20</v>
      </c>
      <c r="E146" s="4" t="n">
        <v>4</v>
      </c>
      <c r="F146" s="4" t="inlineStr">
        <is>
          <t>cam</t>
        </is>
      </c>
      <c r="G146" s="4" t="inlineStr">
        <is>
          <t>BD112 · HƯỚNG VỀ HUỲNH TẤN PHÁT 12FO → CÁP TREO 12FO HƯỚNG VỀ HUỲNH TẤN PHÁT (MX_NB-02)</t>
        </is>
      </c>
      <c r="H146" s="4" t="n">
        <v>2</v>
      </c>
      <c r="I146" s="4" t="n">
        <v>1</v>
      </c>
      <c r="J146" s="4" t="inlineStr">
        <is>
          <t>cam</t>
        </is>
      </c>
      <c r="K146" s="4" t="inlineStr">
        <is>
          <t>HNB091</t>
        </is>
      </c>
      <c r="L146" s="22" t="inlineStr"/>
    </row>
    <row r="147">
      <c r="A147" s="4" t="inlineStr">
        <is>
          <t>MX_NB-01</t>
        </is>
      </c>
      <c r="B147" s="4" t="inlineStr">
        <is>
          <t>B</t>
        </is>
      </c>
      <c r="C147" s="4" t="inlineStr">
        <is>
          <t>AD109 · HƯỚNG VỀ LÊ VĂN LƯƠNG 24FO → CÁP TREO 24FO HƯỚNG VỀ LÊ VĂN LƯƠNG (MX_LVL-05)</t>
        </is>
      </c>
      <c r="D147" s="4" t="n">
        <v>21</v>
      </c>
      <c r="E147" s="4" t="n">
        <v>4</v>
      </c>
      <c r="F147" s="4" t="inlineStr">
        <is>
          <t>xanh lá</t>
        </is>
      </c>
      <c r="G147" s="4" t="inlineStr">
        <is>
          <t>BD112 · HƯỚNG VỀ HUỲNH TẤN PHÁT 12FO → CÁP TREO 12FO HƯỚNG VỀ HUỲNH TẤN PHÁT (MX_NB-02)</t>
        </is>
      </c>
      <c r="H147" s="4" t="n">
        <v>3</v>
      </c>
      <c r="I147" s="4" t="n">
        <v>1</v>
      </c>
      <c r="J147" s="4" t="inlineStr">
        <is>
          <t>xanh lá</t>
        </is>
      </c>
      <c r="K147" s="4" t="inlineStr">
        <is>
          <t>HNB048</t>
        </is>
      </c>
      <c r="L147" s="22" t="inlineStr"/>
    </row>
    <row r="148">
      <c r="A148" s="4" t="inlineStr">
        <is>
          <t>MX_NB-01</t>
        </is>
      </c>
      <c r="B148" s="4" t="inlineStr">
        <is>
          <t>B</t>
        </is>
      </c>
      <c r="C148" s="4" t="inlineStr">
        <is>
          <t>AD109 · HƯỚNG VỀ LÊ VĂN LƯƠNG 24FO → CÁP TREO 24FO HƯỚNG VỀ LÊ VĂN LƯƠNG (MX_LVL-05)</t>
        </is>
      </c>
      <c r="D148" s="4" t="n">
        <v>22</v>
      </c>
      <c r="E148" s="4" t="n">
        <v>4</v>
      </c>
      <c r="F148" s="4" t="inlineStr">
        <is>
          <t>nâu</t>
        </is>
      </c>
      <c r="G148" s="4" t="inlineStr">
        <is>
          <t>BD112 · HƯỚNG VỀ HUỲNH TẤN PHÁT 12FO → CÁP TREO 12FO HƯỚNG VỀ HUỲNH TẤN PHÁT (MX_NB-02)</t>
        </is>
      </c>
      <c r="H148" s="4" t="n">
        <v>4</v>
      </c>
      <c r="I148" s="4" t="n">
        <v>1</v>
      </c>
      <c r="J148" s="4" t="inlineStr">
        <is>
          <t>nâu</t>
        </is>
      </c>
      <c r="K148" s="4" t="inlineStr">
        <is>
          <t>HNB048</t>
        </is>
      </c>
      <c r="L148" s="22" t="inlineStr"/>
    </row>
    <row r="149">
      <c r="A149" s="4" t="inlineStr">
        <is>
          <t>MX_NB-01</t>
        </is>
      </c>
      <c r="B149" s="4" t="inlineStr">
        <is>
          <t>B</t>
        </is>
      </c>
      <c r="C149" s="4" t="inlineStr">
        <is>
          <t>AD109 · HƯỚNG VỀ LÊ VĂN LƯƠNG 24FO → CÁP TREO 24FO HƯỚNG VỀ LÊ VĂN LƯƠNG (MX_LVL-05)</t>
        </is>
      </c>
      <c r="D149" s="4" t="n">
        <v>23</v>
      </c>
      <c r="E149" s="4" t="n">
        <v>4</v>
      </c>
      <c r="F149" s="4" t="inlineStr">
        <is>
          <t>xám</t>
        </is>
      </c>
      <c r="G149" s="4" t="inlineStr">
        <is>
          <t>BD112 · HƯỚNG VỀ HUỲNH TẤN PHÁT 12FO → CÁP TREO 12FO HƯỚNG VỀ HUỲNH TẤN PHÁT (MX_NB-02)</t>
        </is>
      </c>
      <c r="H149" s="4" t="n">
        <v>5</v>
      </c>
      <c r="I149" s="4" t="n">
        <v>1</v>
      </c>
      <c r="J149" s="4" t="inlineStr">
        <is>
          <t>xám</t>
        </is>
      </c>
      <c r="K149" s="4" t="inlineStr"/>
      <c r="L149" s="22" t="inlineStr"/>
    </row>
    <row r="150">
      <c r="A150" s="4" t="inlineStr">
        <is>
          <t>MX_NB-01</t>
        </is>
      </c>
      <c r="B150" s="4" t="inlineStr">
        <is>
          <t>B</t>
        </is>
      </c>
      <c r="C150" s="4" t="inlineStr">
        <is>
          <t>AD109 · HƯỚNG VỀ LÊ VĂN LƯƠNG 24FO → CÁP TREO 24FO HƯỚNG VỀ LÊ VĂN LƯƠNG (MX_LVL-05)</t>
        </is>
      </c>
      <c r="D150" s="4" t="n">
        <v>24</v>
      </c>
      <c r="E150" s="4" t="n">
        <v>4</v>
      </c>
      <c r="F150" s="4" t="inlineStr">
        <is>
          <t>trắng</t>
        </is>
      </c>
      <c r="G150" s="4" t="inlineStr">
        <is>
          <t>BD112 · HƯỚNG VỀ HUỲNH TẤN PHÁT 12FO → CÁP TREO 12FO HƯỚNG VỀ HUỲNH TẤN PHÁT (MX_NB-02)</t>
        </is>
      </c>
      <c r="H150" s="4" t="n">
        <v>6</v>
      </c>
      <c r="I150" s="4" t="n">
        <v>1</v>
      </c>
      <c r="J150" s="4" t="inlineStr">
        <is>
          <t>trắng</t>
        </is>
      </c>
      <c r="K150" s="4" t="inlineStr"/>
      <c r="L150" s="22" t="inlineStr"/>
    </row>
    <row r="151">
      <c r="A151" s="4" t="inlineStr">
        <is>
          <t>MX_NVT_02B</t>
        </is>
      </c>
      <c r="B151" s="4" t="inlineStr">
        <is>
          <t>A</t>
        </is>
      </c>
      <c r="C151" s="4" t="inlineStr">
        <is>
          <t>H174 · 12FO → Ngô Quang Thắm</t>
        </is>
      </c>
      <c r="D151" s="4" t="n">
        <v>1</v>
      </c>
      <c r="E151" s="4" t="n">
        <v>1</v>
      </c>
      <c r="F151" s="4" t="inlineStr">
        <is>
          <t>xanh dương</t>
        </is>
      </c>
      <c r="G151" s="4" t="inlineStr">
        <is>
          <t>H187 · 12FO → Nguyễn Văn Tạo</t>
        </is>
      </c>
      <c r="H151" s="4" t="n">
        <v>1</v>
      </c>
      <c r="I151" s="4" t="n">
        <v>1</v>
      </c>
      <c r="J151" s="4" t="inlineStr">
        <is>
          <t>xanh dương</t>
        </is>
      </c>
      <c r="K151" s="4" t="inlineStr"/>
      <c r="L151" s="22" t="inlineStr"/>
    </row>
    <row r="152">
      <c r="A152" s="4" t="inlineStr">
        <is>
          <t>MX_NVT_02B</t>
        </is>
      </c>
      <c r="B152" s="4" t="inlineStr">
        <is>
          <t>A</t>
        </is>
      </c>
      <c r="C152" s="4" t="inlineStr">
        <is>
          <t>H174 · 12FO → Ngô Quang Thắm</t>
        </is>
      </c>
      <c r="D152" s="4" t="n">
        <v>2</v>
      </c>
      <c r="E152" s="4" t="n">
        <v>1</v>
      </c>
      <c r="F152" s="4" t="inlineStr">
        <is>
          <t>cam</t>
        </is>
      </c>
      <c r="G152" s="4" t="inlineStr">
        <is>
          <t>H187 · 12FO → Nguyễn Văn Tạo</t>
        </is>
      </c>
      <c r="H152" s="4" t="n">
        <v>2</v>
      </c>
      <c r="I152" s="4" t="n">
        <v>1</v>
      </c>
      <c r="J152" s="4" t="inlineStr">
        <is>
          <t>cam</t>
        </is>
      </c>
      <c r="K152" s="4" t="inlineStr"/>
      <c r="L152" s="22" t="inlineStr"/>
    </row>
    <row r="153">
      <c r="A153" s="4" t="inlineStr">
        <is>
          <t>MX_NVT_02B</t>
        </is>
      </c>
      <c r="B153" s="4" t="inlineStr">
        <is>
          <t>B</t>
        </is>
      </c>
      <c r="C153" s="4" t="inlineStr">
        <is>
          <t>H174 · 12FO → Ngô Quang Thắm</t>
        </is>
      </c>
      <c r="D153" s="4" t="n">
        <v>3</v>
      </c>
      <c r="E153" s="4" t="n">
        <v>1</v>
      </c>
      <c r="F153" s="4" t="inlineStr">
        <is>
          <t>xanh lá</t>
        </is>
      </c>
      <c r="G153" s="4" t="inlineStr">
        <is>
          <t>H187 · 12FO → Nguyễn Văn Tạo</t>
        </is>
      </c>
      <c r="H153" s="4" t="n">
        <v>3</v>
      </c>
      <c r="I153" s="4" t="n">
        <v>1</v>
      </c>
      <c r="J153" s="4" t="inlineStr">
        <is>
          <t>xanh lá</t>
        </is>
      </c>
      <c r="K153" s="4" t="inlineStr"/>
      <c r="L153" s="22" t="inlineStr"/>
    </row>
    <row r="154">
      <c r="A154" s="4" t="inlineStr">
        <is>
          <t>MX_NVT_02B</t>
        </is>
      </c>
      <c r="B154" s="4" t="inlineStr">
        <is>
          <t>B</t>
        </is>
      </c>
      <c r="C154" s="4" t="inlineStr">
        <is>
          <t>H174 · 12FO → Ngô Quang Thắm</t>
        </is>
      </c>
      <c r="D154" s="4" t="n">
        <v>4</v>
      </c>
      <c r="E154" s="4" t="n">
        <v>1</v>
      </c>
      <c r="F154" s="4" t="inlineStr">
        <is>
          <t>nâu</t>
        </is>
      </c>
      <c r="G154" s="4" t="inlineStr">
        <is>
          <t>H187 · 12FO → Nguyễn Văn Tạo</t>
        </is>
      </c>
      <c r="H154" s="4" t="n">
        <v>4</v>
      </c>
      <c r="I154" s="4" t="n">
        <v>1</v>
      </c>
      <c r="J154" s="4" t="inlineStr">
        <is>
          <t>nâu</t>
        </is>
      </c>
      <c r="K154" s="4" t="inlineStr"/>
      <c r="L154" s="22" t="inlineStr"/>
    </row>
    <row r="155">
      <c r="A155" s="4" t="inlineStr">
        <is>
          <t>MX_NVT_02B</t>
        </is>
      </c>
      <c r="B155" s="4" t="inlineStr">
        <is>
          <t>C</t>
        </is>
      </c>
      <c r="C155" s="4" t="inlineStr">
        <is>
          <t>H174 · 12FO → Ngô Quang Thắm</t>
        </is>
      </c>
      <c r="D155" s="4" t="n">
        <v>7</v>
      </c>
      <c r="E155" s="4" t="n">
        <v>2</v>
      </c>
      <c r="F155" s="4" t="inlineStr">
        <is>
          <t>xanh dương</t>
        </is>
      </c>
      <c r="G155" s="4" t="inlineStr">
        <is>
          <t>U174 · 8FO → MX_NVT_02A đối diện</t>
        </is>
      </c>
      <c r="H155" s="4" t="n">
        <v>1</v>
      </c>
      <c r="I155" s="4" t="n">
        <v>1</v>
      </c>
      <c r="J155" s="4" t="inlineStr">
        <is>
          <t>xanh dương</t>
        </is>
      </c>
      <c r="K155" s="4" t="inlineStr"/>
      <c r="L155" s="22" t="inlineStr"/>
    </row>
    <row r="156">
      <c r="A156" s="4" t="inlineStr">
        <is>
          <t>MX_NVT_02B</t>
        </is>
      </c>
      <c r="B156" s="4" t="inlineStr">
        <is>
          <t>C</t>
        </is>
      </c>
      <c r="C156" s="4" t="inlineStr">
        <is>
          <t>H174 · 12FO → Ngô Quang Thắm</t>
        </is>
      </c>
      <c r="D156" s="4" t="n">
        <v>8</v>
      </c>
      <c r="E156" s="4" t="n">
        <v>2</v>
      </c>
      <c r="F156" s="4" t="inlineStr">
        <is>
          <t>cam</t>
        </is>
      </c>
      <c r="G156" s="4" t="inlineStr">
        <is>
          <t>U174 · 8FO → MX_NVT_02A đối diện</t>
        </is>
      </c>
      <c r="H156" s="4" t="n">
        <v>2</v>
      </c>
      <c r="I156" s="4" t="n">
        <v>1</v>
      </c>
      <c r="J156" s="4" t="inlineStr">
        <is>
          <t>cam</t>
        </is>
      </c>
      <c r="K156" s="4" t="inlineStr"/>
      <c r="L156" s="22" t="inlineStr"/>
    </row>
    <row r="157">
      <c r="A157" s="4" t="inlineStr">
        <is>
          <t>MX_NVT_02B</t>
        </is>
      </c>
      <c r="B157" s="4" t="inlineStr">
        <is>
          <t>C</t>
        </is>
      </c>
      <c r="C157" s="4" t="inlineStr">
        <is>
          <t>H174 · 12FO → Ngô Quang Thắm</t>
        </is>
      </c>
      <c r="D157" s="4" t="n">
        <v>9</v>
      </c>
      <c r="E157" s="4" t="n">
        <v>2</v>
      </c>
      <c r="F157" s="4" t="inlineStr">
        <is>
          <t>xanh lá</t>
        </is>
      </c>
      <c r="G157" s="4" t="inlineStr">
        <is>
          <t>U174 · 8FO → MX_NVT_02A đối diện</t>
        </is>
      </c>
      <c r="H157" s="4" t="n">
        <v>3</v>
      </c>
      <c r="I157" s="4" t="n">
        <v>1</v>
      </c>
      <c r="J157" s="4" t="inlineStr">
        <is>
          <t>xanh lá</t>
        </is>
      </c>
      <c r="K157" s="4" t="inlineStr">
        <is>
          <t>HNB066</t>
        </is>
      </c>
      <c r="L157" s="22" t="inlineStr"/>
    </row>
    <row r="158">
      <c r="A158" s="4" t="inlineStr">
        <is>
          <t>MX_NVT_02B</t>
        </is>
      </c>
      <c r="B158" s="4" t="inlineStr">
        <is>
          <t>C</t>
        </is>
      </c>
      <c r="C158" s="4" t="inlineStr">
        <is>
          <t>H174 · 12FO → Ngô Quang Thắm</t>
        </is>
      </c>
      <c r="D158" s="4" t="n">
        <v>10</v>
      </c>
      <c r="E158" s="4" t="n">
        <v>2</v>
      </c>
      <c r="F158" s="4" t="inlineStr">
        <is>
          <t>nâu</t>
        </is>
      </c>
      <c r="G158" s="4" t="inlineStr">
        <is>
          <t>U174 · 8FO → MX_NVT_02A đối diện</t>
        </is>
      </c>
      <c r="H158" s="4" t="n">
        <v>4</v>
      </c>
      <c r="I158" s="4" t="n">
        <v>1</v>
      </c>
      <c r="J158" s="4" t="inlineStr">
        <is>
          <t>nâu</t>
        </is>
      </c>
      <c r="K158" s="4" t="inlineStr">
        <is>
          <t>HNB066</t>
        </is>
      </c>
      <c r="L158" s="22" t="inlineStr"/>
    </row>
    <row r="159">
      <c r="A159" s="4" t="inlineStr">
        <is>
          <t>MX_NVT_02B</t>
        </is>
      </c>
      <c r="B159" s="4" t="inlineStr">
        <is>
          <t>C</t>
        </is>
      </c>
      <c r="C159" s="4" t="inlineStr">
        <is>
          <t>H174 · 12FO → Ngô Quang Thắm</t>
        </is>
      </c>
      <c r="D159" s="4" t="n">
        <v>11</v>
      </c>
      <c r="E159" s="4" t="n">
        <v>2</v>
      </c>
      <c r="F159" s="4" t="inlineStr">
        <is>
          <t>xám</t>
        </is>
      </c>
      <c r="G159" s="4" t="inlineStr">
        <is>
          <t>U174 · 8FO → MX_NVT_02A đối diện</t>
        </is>
      </c>
      <c r="H159" s="4" t="n">
        <v>5</v>
      </c>
      <c r="I159" s="4" t="n">
        <v>1</v>
      </c>
      <c r="J159" s="4" t="inlineStr">
        <is>
          <t>xám</t>
        </is>
      </c>
      <c r="K159" s="4" t="inlineStr">
        <is>
          <t>HNB005</t>
        </is>
      </c>
      <c r="L159" s="22" t="inlineStr"/>
    </row>
    <row r="160">
      <c r="A160" s="4" t="inlineStr">
        <is>
          <t>MX_NVT_02B</t>
        </is>
      </c>
      <c r="B160" s="4" t="inlineStr">
        <is>
          <t>C</t>
        </is>
      </c>
      <c r="C160" s="4" t="inlineStr">
        <is>
          <t>H174 · 12FO → Ngô Quang Thắm</t>
        </is>
      </c>
      <c r="D160" s="4" t="n">
        <v>12</v>
      </c>
      <c r="E160" s="4" t="n">
        <v>2</v>
      </c>
      <c r="F160" s="4" t="inlineStr">
        <is>
          <t>trắng</t>
        </is>
      </c>
      <c r="G160" s="4" t="inlineStr">
        <is>
          <t>U174 · 8FO → MX_NVT_02A đối diện</t>
        </is>
      </c>
      <c r="H160" s="4" t="n">
        <v>6</v>
      </c>
      <c r="I160" s="4" t="n">
        <v>1</v>
      </c>
      <c r="J160" s="4" t="inlineStr">
        <is>
          <t>trắng</t>
        </is>
      </c>
      <c r="K160" s="4" t="inlineStr">
        <is>
          <t>HNB005</t>
        </is>
      </c>
      <c r="L160" s="22" t="inlineStr"/>
    </row>
    <row r="161">
      <c r="A161" s="4" t="inlineStr">
        <is>
          <t>MX_NVT_02A</t>
        </is>
      </c>
      <c r="B161" s="4" t="inlineStr">
        <is>
          <t>A</t>
        </is>
      </c>
      <c r="C161" s="4" t="inlineStr">
        <is>
          <t>AD174 · 12FO → VNPT Long Thới</t>
        </is>
      </c>
      <c r="D161" s="4" t="n">
        <v>1</v>
      </c>
      <c r="E161" s="4" t="n">
        <v>1</v>
      </c>
      <c r="F161" s="4" t="inlineStr">
        <is>
          <t>xanh dương</t>
        </is>
      </c>
      <c r="G161" s="4" t="inlineStr">
        <is>
          <t>AQ187 · 12FO → HNB006</t>
        </is>
      </c>
      <c r="H161" s="4" t="n">
        <v>1</v>
      </c>
      <c r="I161" s="4" t="n">
        <v>1</v>
      </c>
      <c r="J161" s="4" t="inlineStr">
        <is>
          <t>xanh dương</t>
        </is>
      </c>
      <c r="K161" s="4" t="inlineStr"/>
      <c r="L161" s="22" t="inlineStr"/>
    </row>
    <row r="162">
      <c r="A162" s="4" t="inlineStr">
        <is>
          <t>MX_NVT_02A</t>
        </is>
      </c>
      <c r="B162" s="4" t="inlineStr">
        <is>
          <t>A</t>
        </is>
      </c>
      <c r="C162" s="4" t="inlineStr">
        <is>
          <t>AD174 · 12FO → VNPT Long Thới</t>
        </is>
      </c>
      <c r="D162" s="4" t="n">
        <v>2</v>
      </c>
      <c r="E162" s="4" t="n">
        <v>1</v>
      </c>
      <c r="F162" s="4" t="inlineStr">
        <is>
          <t>cam</t>
        </is>
      </c>
      <c r="G162" s="4" t="inlineStr">
        <is>
          <t>AQ187 · 12FO → HNB006</t>
        </is>
      </c>
      <c r="H162" s="4" t="n">
        <v>2</v>
      </c>
      <c r="I162" s="4" t="n">
        <v>1</v>
      </c>
      <c r="J162" s="4" t="inlineStr">
        <is>
          <t>cam</t>
        </is>
      </c>
      <c r="K162" s="4" t="inlineStr"/>
      <c r="L162" s="22" t="inlineStr"/>
    </row>
    <row r="163">
      <c r="A163" s="4" t="inlineStr">
        <is>
          <t>MX_NVT_02A</t>
        </is>
      </c>
      <c r="B163" s="4" t="inlineStr">
        <is>
          <t>B</t>
        </is>
      </c>
      <c r="C163" s="4" t="inlineStr">
        <is>
          <t>AD174 · 12FO → VNPT Long Thới</t>
        </is>
      </c>
      <c r="D163" s="4" t="n">
        <v>3</v>
      </c>
      <c r="E163" s="4" t="n">
        <v>1</v>
      </c>
      <c r="F163" s="4" t="inlineStr">
        <is>
          <t>xanh lá</t>
        </is>
      </c>
      <c r="G163" s="4" t="inlineStr">
        <is>
          <t>AD187 · 12FO → trạm Cần Giờ</t>
        </is>
      </c>
      <c r="H163" s="4" t="n">
        <v>3</v>
      </c>
      <c r="I163" s="4" t="n">
        <v>1</v>
      </c>
      <c r="J163" s="4" t="inlineStr">
        <is>
          <t>xanh lá</t>
        </is>
      </c>
      <c r="K163" s="4" t="inlineStr"/>
      <c r="L163" s="22" t="inlineStr"/>
    </row>
    <row r="164">
      <c r="A164" s="4" t="inlineStr">
        <is>
          <t>MX_NVT_02A</t>
        </is>
      </c>
      <c r="B164" s="4" t="inlineStr">
        <is>
          <t>B</t>
        </is>
      </c>
      <c r="C164" s="4" t="inlineStr">
        <is>
          <t>AD174 · 12FO → VNPT Long Thới</t>
        </is>
      </c>
      <c r="D164" s="4" t="n">
        <v>4</v>
      </c>
      <c r="E164" s="4" t="n">
        <v>1</v>
      </c>
      <c r="F164" s="4" t="inlineStr">
        <is>
          <t>nâu</t>
        </is>
      </c>
      <c r="G164" s="4" t="inlineStr">
        <is>
          <t>AD187 · 12FO → trạm Cần Giờ</t>
        </is>
      </c>
      <c r="H164" s="4" t="n">
        <v>4</v>
      </c>
      <c r="I164" s="4" t="n">
        <v>1</v>
      </c>
      <c r="J164" s="4" t="inlineStr">
        <is>
          <t>nâu</t>
        </is>
      </c>
      <c r="K164" s="4" t="inlineStr"/>
      <c r="L164" s="22" t="inlineStr"/>
    </row>
    <row r="165">
      <c r="A165" s="4" t="inlineStr">
        <is>
          <t>MX_NVT_02A</t>
        </is>
      </c>
      <c r="B165" s="4" t="inlineStr">
        <is>
          <t>C</t>
        </is>
      </c>
      <c r="C165" s="4" t="inlineStr">
        <is>
          <t>AD174 · 12FO → VNPT Long Thới</t>
        </is>
      </c>
      <c r="D165" s="4" t="n">
        <v>7</v>
      </c>
      <c r="E165" s="4" t="n">
        <v>2</v>
      </c>
      <c r="F165" s="4" t="inlineStr">
        <is>
          <t>xanh dương</t>
        </is>
      </c>
      <c r="G165" s="4" t="inlineStr">
        <is>
          <t>AQ174 · 8FO → MX_NVT_02B đối diện</t>
        </is>
      </c>
      <c r="H165" s="4" t="n">
        <v>1</v>
      </c>
      <c r="I165" s="4" t="n">
        <v>1</v>
      </c>
      <c r="J165" s="4" t="inlineStr">
        <is>
          <t>xanh dương</t>
        </is>
      </c>
      <c r="K165" s="4" t="inlineStr"/>
      <c r="L165" s="22" t="inlineStr"/>
    </row>
    <row r="166">
      <c r="A166" s="4" t="inlineStr">
        <is>
          <t>MX_NVT_02A</t>
        </is>
      </c>
      <c r="B166" s="4" t="inlineStr">
        <is>
          <t>C</t>
        </is>
      </c>
      <c r="C166" s="4" t="inlineStr">
        <is>
          <t>AD174 · 12FO → VNPT Long Thới</t>
        </is>
      </c>
      <c r="D166" s="4" t="n">
        <v>8</v>
      </c>
      <c r="E166" s="4" t="n">
        <v>2</v>
      </c>
      <c r="F166" s="4" t="inlineStr">
        <is>
          <t>cam</t>
        </is>
      </c>
      <c r="G166" s="4" t="inlineStr">
        <is>
          <t>AQ174 · 8FO → MX_NVT_02B đối diện</t>
        </is>
      </c>
      <c r="H166" s="4" t="n">
        <v>2</v>
      </c>
      <c r="I166" s="4" t="n">
        <v>1</v>
      </c>
      <c r="J166" s="4" t="inlineStr">
        <is>
          <t>cam</t>
        </is>
      </c>
      <c r="K166" s="4" t="inlineStr"/>
      <c r="L166" s="22" t="inlineStr"/>
    </row>
    <row r="167">
      <c r="A167" s="4" t="inlineStr">
        <is>
          <t>MX_NVT_02A</t>
        </is>
      </c>
      <c r="B167" s="4" t="inlineStr">
        <is>
          <t>C</t>
        </is>
      </c>
      <c r="C167" s="4" t="inlineStr">
        <is>
          <t>AD174 · 12FO → VNPT Long Thới</t>
        </is>
      </c>
      <c r="D167" s="4" t="n">
        <v>9</v>
      </c>
      <c r="E167" s="4" t="n">
        <v>2</v>
      </c>
      <c r="F167" s="4" t="inlineStr">
        <is>
          <t>xanh lá</t>
        </is>
      </c>
      <c r="G167" s="4" t="inlineStr">
        <is>
          <t>AQ174 · 8FO → MX_NVT_02B đối diện</t>
        </is>
      </c>
      <c r="H167" s="4" t="n">
        <v>3</v>
      </c>
      <c r="I167" s="4" t="n">
        <v>1</v>
      </c>
      <c r="J167" s="4" t="inlineStr">
        <is>
          <t>xanh lá</t>
        </is>
      </c>
      <c r="K167" s="4" t="inlineStr">
        <is>
          <t>HNB066</t>
        </is>
      </c>
      <c r="L167" s="22" t="inlineStr"/>
    </row>
    <row r="168">
      <c r="A168" s="4" t="inlineStr">
        <is>
          <t>MX_NVT_02A</t>
        </is>
      </c>
      <c r="B168" s="4" t="inlineStr">
        <is>
          <t>C</t>
        </is>
      </c>
      <c r="C168" s="4" t="inlineStr">
        <is>
          <t>AD174 · 12FO → VNPT Long Thới</t>
        </is>
      </c>
      <c r="D168" s="4" t="n">
        <v>10</v>
      </c>
      <c r="E168" s="4" t="n">
        <v>2</v>
      </c>
      <c r="F168" s="4" t="inlineStr">
        <is>
          <t>nâu</t>
        </is>
      </c>
      <c r="G168" s="4" t="inlineStr">
        <is>
          <t>AQ174 · 8FO → MX_NVT_02B đối diện</t>
        </is>
      </c>
      <c r="H168" s="4" t="n">
        <v>4</v>
      </c>
      <c r="I168" s="4" t="n">
        <v>1</v>
      </c>
      <c r="J168" s="4" t="inlineStr">
        <is>
          <t>nâu</t>
        </is>
      </c>
      <c r="K168" s="4" t="inlineStr">
        <is>
          <t>HNB066</t>
        </is>
      </c>
      <c r="L168" s="22" t="inlineStr"/>
    </row>
    <row r="169">
      <c r="A169" s="4" t="inlineStr">
        <is>
          <t>MX_NVT_02A</t>
        </is>
      </c>
      <c r="B169" s="4" t="inlineStr">
        <is>
          <t>C</t>
        </is>
      </c>
      <c r="C169" s="4" t="inlineStr">
        <is>
          <t>AD174 · 12FO → VNPT Long Thới</t>
        </is>
      </c>
      <c r="D169" s="4" t="n">
        <v>11</v>
      </c>
      <c r="E169" s="4" t="n">
        <v>2</v>
      </c>
      <c r="F169" s="4" t="inlineStr">
        <is>
          <t>xám</t>
        </is>
      </c>
      <c r="G169" s="4" t="inlineStr">
        <is>
          <t>AQ174 · 8FO → MX_NVT_02B đối diện</t>
        </is>
      </c>
      <c r="H169" s="4" t="n">
        <v>5</v>
      </c>
      <c r="I169" s="4" t="n">
        <v>1</v>
      </c>
      <c r="J169" s="4" t="inlineStr">
        <is>
          <t>xám</t>
        </is>
      </c>
      <c r="K169" s="4" t="inlineStr">
        <is>
          <t>HNB005</t>
        </is>
      </c>
      <c r="L169" s="22" t="inlineStr"/>
    </row>
    <row r="170">
      <c r="A170" s="4" t="inlineStr">
        <is>
          <t>MX_NVT_02A</t>
        </is>
      </c>
      <c r="B170" s="4" t="inlineStr">
        <is>
          <t>C</t>
        </is>
      </c>
      <c r="C170" s="4" t="inlineStr">
        <is>
          <t>AD174 · 12FO → VNPT Long Thới</t>
        </is>
      </c>
      <c r="D170" s="4" t="n">
        <v>12</v>
      </c>
      <c r="E170" s="4" t="n">
        <v>2</v>
      </c>
      <c r="F170" s="4" t="inlineStr">
        <is>
          <t>trắng</t>
        </is>
      </c>
      <c r="G170" s="4" t="inlineStr">
        <is>
          <t>AQ174 · 8FO → MX_NVT_02B đối diện</t>
        </is>
      </c>
      <c r="H170" s="4" t="n">
        <v>6</v>
      </c>
      <c r="I170" s="4" t="n">
        <v>1</v>
      </c>
      <c r="J170" s="4" t="inlineStr">
        <is>
          <t>trắng</t>
        </is>
      </c>
      <c r="K170" s="4" t="inlineStr">
        <is>
          <t>HNB005</t>
        </is>
      </c>
      <c r="L170" s="22" t="inlineStr"/>
    </row>
    <row r="171">
      <c r="A171" s="4" t="inlineStr">
        <is>
          <t>MX_NVT_02A</t>
        </is>
      </c>
      <c r="B171" s="4" t="inlineStr">
        <is>
          <t>D</t>
        </is>
      </c>
      <c r="C171" s="4" t="inlineStr">
        <is>
          <t>AD187 · 12FO → trạm Cần Giờ</t>
        </is>
      </c>
      <c r="D171" s="4" t="n">
        <v>2</v>
      </c>
      <c r="E171" s="4" t="n">
        <v>1</v>
      </c>
      <c r="F171" s="4" t="inlineStr">
        <is>
          <t>cam</t>
        </is>
      </c>
      <c r="G171" s="4" t="inlineStr">
        <is>
          <t>AQ187 · 12FO → HNB006</t>
        </is>
      </c>
      <c r="H171" s="4" t="n">
        <v>3</v>
      </c>
      <c r="I171" s="4" t="n">
        <v>1</v>
      </c>
      <c r="J171" s="4" t="inlineStr">
        <is>
          <t>xanh lá</t>
        </is>
      </c>
      <c r="K171" s="4" t="inlineStr"/>
      <c r="L171" s="22" t="inlineStr"/>
    </row>
    <row r="172">
      <c r="A172" s="4" t="inlineStr">
        <is>
          <t>MX_NVT_02A</t>
        </is>
      </c>
      <c r="B172" s="4" t="inlineStr">
        <is>
          <t>D</t>
        </is>
      </c>
      <c r="C172" s="4" t="inlineStr">
        <is>
          <t>AD187 · 12FO → trạm Cần Giờ</t>
        </is>
      </c>
      <c r="D172" s="4" t="n">
        <v>5</v>
      </c>
      <c r="E172" s="4" t="n">
        <v>1</v>
      </c>
      <c r="F172" s="4" t="inlineStr">
        <is>
          <t>xám</t>
        </is>
      </c>
      <c r="G172" s="4" t="inlineStr">
        <is>
          <t>AQ187 · 12FO → HNB006</t>
        </is>
      </c>
      <c r="H172" s="4" t="n">
        <v>4</v>
      </c>
      <c r="I172" s="4" t="n">
        <v>1</v>
      </c>
      <c r="J172" s="4" t="inlineStr">
        <is>
          <t>nâu</t>
        </is>
      </c>
      <c r="K172" s="4" t="inlineStr"/>
      <c r="L172" s="22" t="inlineStr"/>
    </row>
    <row r="173">
      <c r="A173" s="4" t="inlineStr">
        <is>
          <t>MX_NVT_03B</t>
        </is>
      </c>
      <c r="B173" s="4" t="inlineStr">
        <is>
          <t>A</t>
        </is>
      </c>
      <c r="C173" s="4" t="inlineStr">
        <is>
          <t>H206 · 12FO → HNB006</t>
        </is>
      </c>
      <c r="D173" s="4" t="n">
        <v>1</v>
      </c>
      <c r="E173" s="4" t="n">
        <v>1</v>
      </c>
      <c r="F173" s="4" t="inlineStr">
        <is>
          <t>xanh dương</t>
        </is>
      </c>
      <c r="G173" s="4" t="inlineStr">
        <is>
          <t>Q206 · 12FO → HNB006</t>
        </is>
      </c>
      <c r="H173" s="4" t="n">
        <v>1</v>
      </c>
      <c r="I173" s="4" t="n">
        <v>1</v>
      </c>
      <c r="J173" s="4" t="inlineStr">
        <is>
          <t>xanh dương</t>
        </is>
      </c>
      <c r="K173" s="4" t="inlineStr"/>
      <c r="L173" s="22" t="inlineStr"/>
    </row>
    <row r="174">
      <c r="A174" s="4" t="inlineStr">
        <is>
          <t>MX_NVT_03B</t>
        </is>
      </c>
      <c r="B174" s="4" t="inlineStr">
        <is>
          <t>A</t>
        </is>
      </c>
      <c r="C174" s="4" t="inlineStr">
        <is>
          <t>H206 · 12FO → HNB006</t>
        </is>
      </c>
      <c r="D174" s="4" t="n">
        <v>2</v>
      </c>
      <c r="E174" s="4" t="n">
        <v>1</v>
      </c>
      <c r="F174" s="4" t="inlineStr">
        <is>
          <t>cam</t>
        </is>
      </c>
      <c r="G174" s="4" t="inlineStr">
        <is>
          <t>Q206 · 12FO → HNB006</t>
        </is>
      </c>
      <c r="H174" s="4" t="n">
        <v>2</v>
      </c>
      <c r="I174" s="4" t="n">
        <v>1</v>
      </c>
      <c r="J174" s="4" t="inlineStr">
        <is>
          <t>cam</t>
        </is>
      </c>
      <c r="K174" s="4" t="inlineStr"/>
      <c r="L174" s="22" t="inlineStr"/>
    </row>
    <row r="175">
      <c r="A175" s="4" t="inlineStr">
        <is>
          <t>MX_NVT_03B</t>
        </is>
      </c>
      <c r="B175" s="4" t="inlineStr">
        <is>
          <t>A</t>
        </is>
      </c>
      <c r="C175" s="4" t="inlineStr">
        <is>
          <t>H206 · 12FO → HNB006</t>
        </is>
      </c>
      <c r="D175" s="4" t="n">
        <v>3</v>
      </c>
      <c r="E175" s="4" t="n">
        <v>1</v>
      </c>
      <c r="F175" s="4" t="inlineStr">
        <is>
          <t>xanh lá</t>
        </is>
      </c>
      <c r="G175" s="4" t="inlineStr">
        <is>
          <t>Q206 · 12FO → HNB006</t>
        </is>
      </c>
      <c r="H175" s="4" t="n">
        <v>3</v>
      </c>
      <c r="I175" s="4" t="n">
        <v>1</v>
      </c>
      <c r="J175" s="4" t="inlineStr">
        <is>
          <t>xanh lá</t>
        </is>
      </c>
      <c r="K175" s="4" t="inlineStr"/>
      <c r="L175" s="22" t="inlineStr"/>
    </row>
    <row r="176">
      <c r="A176" s="4" t="inlineStr">
        <is>
          <t>MX_NVT_03B</t>
        </is>
      </c>
      <c r="B176" s="4" t="inlineStr">
        <is>
          <t>A</t>
        </is>
      </c>
      <c r="C176" s="4" t="inlineStr">
        <is>
          <t>H206 · 12FO → HNB006</t>
        </is>
      </c>
      <c r="D176" s="4" t="n">
        <v>4</v>
      </c>
      <c r="E176" s="4" t="n">
        <v>1</v>
      </c>
      <c r="F176" s="4" t="inlineStr">
        <is>
          <t>nâu</t>
        </is>
      </c>
      <c r="G176" s="4" t="inlineStr">
        <is>
          <t>Q206 · 12FO → HNB006</t>
        </is>
      </c>
      <c r="H176" s="4" t="n">
        <v>4</v>
      </c>
      <c r="I176" s="4" t="n">
        <v>1</v>
      </c>
      <c r="J176" s="4" t="inlineStr">
        <is>
          <t>nâu</t>
        </is>
      </c>
      <c r="K176" s="4" t="inlineStr"/>
      <c r="L176" s="22" t="inlineStr"/>
    </row>
    <row r="177">
      <c r="A177" s="4" t="inlineStr">
        <is>
          <t>MX_NVT_03A</t>
        </is>
      </c>
      <c r="B177" s="4" t="inlineStr">
        <is>
          <t>A</t>
        </is>
      </c>
      <c r="C177" s="4" t="inlineStr">
        <is>
          <t>AD206 · 12FO → HNB006</t>
        </is>
      </c>
      <c r="D177" s="4" t="n">
        <v>1</v>
      </c>
      <c r="E177" s="4" t="n">
        <v>1</v>
      </c>
      <c r="F177" s="4" t="inlineStr">
        <is>
          <t>xanh dương</t>
        </is>
      </c>
      <c r="G177" s="4" t="inlineStr">
        <is>
          <t>AM206 · 12FO → HNB006</t>
        </is>
      </c>
      <c r="H177" s="4" t="n">
        <v>1</v>
      </c>
      <c r="I177" s="4" t="n">
        <v>1</v>
      </c>
      <c r="J177" s="4" t="inlineStr">
        <is>
          <t>xanh dương</t>
        </is>
      </c>
      <c r="K177" s="4" t="inlineStr"/>
      <c r="L177" s="22" t="inlineStr"/>
    </row>
    <row r="178">
      <c r="A178" s="4" t="inlineStr">
        <is>
          <t>MX_NVT_03A</t>
        </is>
      </c>
      <c r="B178" s="4" t="inlineStr">
        <is>
          <t>A</t>
        </is>
      </c>
      <c r="C178" s="4" t="inlineStr">
        <is>
          <t>AD206 · 12FO → HNB006</t>
        </is>
      </c>
      <c r="D178" s="4" t="n">
        <v>2</v>
      </c>
      <c r="E178" s="4" t="n">
        <v>1</v>
      </c>
      <c r="F178" s="4" t="inlineStr">
        <is>
          <t>cam</t>
        </is>
      </c>
      <c r="G178" s="4" t="inlineStr">
        <is>
          <t>AM206 · 12FO → HNB006</t>
        </is>
      </c>
      <c r="H178" s="4" t="n">
        <v>2</v>
      </c>
      <c r="I178" s="4" t="n">
        <v>1</v>
      </c>
      <c r="J178" s="4" t="inlineStr">
        <is>
          <t>cam</t>
        </is>
      </c>
      <c r="K178" s="4" t="inlineStr"/>
      <c r="L178" s="22" t="inlineStr"/>
    </row>
    <row r="179">
      <c r="A179" s="4" t="inlineStr">
        <is>
          <t>MX_NVT_03A</t>
        </is>
      </c>
      <c r="B179" s="4" t="inlineStr">
        <is>
          <t>A</t>
        </is>
      </c>
      <c r="C179" s="4" t="inlineStr">
        <is>
          <t>AD206 · 12FO → HNB006</t>
        </is>
      </c>
      <c r="D179" s="4" t="n">
        <v>3</v>
      </c>
      <c r="E179" s="4" t="n">
        <v>1</v>
      </c>
      <c r="F179" s="4" t="inlineStr">
        <is>
          <t>xanh lá</t>
        </is>
      </c>
      <c r="G179" s="4" t="inlineStr">
        <is>
          <t>AM206 · 12FO → HNB006</t>
        </is>
      </c>
      <c r="H179" s="4" t="n">
        <v>3</v>
      </c>
      <c r="I179" s="4" t="n">
        <v>1</v>
      </c>
      <c r="J179" s="4" t="inlineStr">
        <is>
          <t>xanh lá</t>
        </is>
      </c>
      <c r="K179" s="4" t="inlineStr"/>
      <c r="L179" s="22" t="inlineStr"/>
    </row>
    <row r="180">
      <c r="A180" s="4" t="inlineStr">
        <is>
          <t>MX_NVT_03A</t>
        </is>
      </c>
      <c r="B180" s="4" t="inlineStr">
        <is>
          <t>A</t>
        </is>
      </c>
      <c r="C180" s="4" t="inlineStr">
        <is>
          <t>AD206 · 12FO → HNB006</t>
        </is>
      </c>
      <c r="D180" s="4" t="n">
        <v>4</v>
      </c>
      <c r="E180" s="4" t="n">
        <v>1</v>
      </c>
      <c r="F180" s="4" t="inlineStr">
        <is>
          <t>nâu</t>
        </is>
      </c>
      <c r="G180" s="4" t="inlineStr">
        <is>
          <t>AM206 · 12FO → HNB006</t>
        </is>
      </c>
      <c r="H180" s="4" t="n">
        <v>4</v>
      </c>
      <c r="I180" s="4" t="n">
        <v>1</v>
      </c>
      <c r="J180" s="4" t="inlineStr">
        <is>
          <t>nâu</t>
        </is>
      </c>
      <c r="K180" s="4" t="inlineStr"/>
      <c r="L180" s="22" t="inlineStr"/>
    </row>
  </sheetData>
  <autoFilter ref="A4:L180"/>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F98"/>
  <sheetViews>
    <sheetView showGridLines="0" workbookViewId="0">
      <pane ySplit="4" topLeftCell="A5" activePane="bottomLeft" state="frozen"/>
      <selection pane="bottomLeft" activeCell="A1" sqref="A1"/>
    </sheetView>
  </sheetViews>
  <sheetFormatPr baseColWidth="8" defaultRowHeight="15"/>
  <cols>
    <col width="14" customWidth="1" min="1" max="1"/>
    <col width="16" customWidth="1" min="2" max="2"/>
    <col width="7" customWidth="1" min="3" max="3"/>
    <col width="56" customWidth="1" min="4" max="4"/>
    <col width="24" customWidth="1" min="5" max="5"/>
    <col width="8" customWidth="1" min="6" max="6"/>
  </cols>
  <sheetData>
    <row r="1">
      <c r="A1" s="1" t="inlineStr">
        <is>
          <t>Core đi vào từng trạm theo sơ đồ MX</t>
        </is>
      </c>
    </row>
    <row r="2">
      <c r="A2" s="2" t="inlineStr">
        <is>
          <t>Gom theo tên trạm ghi trong sơ đồ: măng xông, cáp, nhóm core và nhãn.</t>
        </is>
      </c>
    </row>
    <row r="4" ht="32" customHeight="1">
      <c r="A4" s="3" t="inlineStr">
        <is>
          <t>Trạm</t>
        </is>
      </c>
      <c r="B4" s="3" t="inlineStr">
        <is>
          <t>Măng xông</t>
        </is>
      </c>
      <c r="C4" s="3" t="inlineStr">
        <is>
          <t>Nhãn</t>
        </is>
      </c>
      <c r="D4" s="3" t="inlineStr">
        <is>
          <t>Cáp</t>
        </is>
      </c>
      <c r="E4" s="3" t="inlineStr">
        <is>
          <t>Các core</t>
        </is>
      </c>
      <c r="F4" s="3" t="inlineStr">
        <is>
          <t>Số core</t>
        </is>
      </c>
    </row>
    <row r="5">
      <c r="A5" s="4" t="inlineStr">
        <is>
          <t>HNB005</t>
        </is>
      </c>
      <c r="B5" s="4" t="inlineStr">
        <is>
          <t>MX_HTP-01</t>
        </is>
      </c>
      <c r="C5" s="4" t="inlineStr">
        <is>
          <t>A</t>
        </is>
      </c>
      <c r="D5" s="4" t="inlineStr">
        <is>
          <t>CE48 · FOCAL 12FO → Phạm Hũu Lầu</t>
        </is>
      </c>
      <c r="E5" s="4" t="inlineStr">
        <is>
          <t>11, 12</t>
        </is>
      </c>
      <c r="F5" s="4" t="n">
        <v>2</v>
      </c>
    </row>
    <row r="6">
      <c r="A6" s="4" t="inlineStr">
        <is>
          <t>HNB005</t>
        </is>
      </c>
      <c r="B6" s="4" t="inlineStr">
        <is>
          <t>MX_HTP-01</t>
        </is>
      </c>
      <c r="C6" s="4" t="inlineStr">
        <is>
          <t>A</t>
        </is>
      </c>
      <c r="D6" s="4" t="inlineStr">
        <is>
          <t>CE61 · FOCAL 12FO → AGG-NBE22 (SG mới)</t>
        </is>
      </c>
      <c r="E6" s="4" t="inlineStr">
        <is>
          <t>11, 12</t>
        </is>
      </c>
      <c r="F6" s="4" t="n">
        <v>2</v>
      </c>
    </row>
    <row r="7">
      <c r="A7" s="4" t="inlineStr">
        <is>
          <t>HNB005</t>
        </is>
      </c>
      <c r="B7" s="4" t="inlineStr">
        <is>
          <t>MX_HTP-02</t>
        </is>
      </c>
      <c r="C7" s="4" t="inlineStr">
        <is>
          <t>B</t>
        </is>
      </c>
      <c r="D7" s="4" t="inlineStr">
        <is>
          <t>CE68 · FOCAL 12FO → cầu Phú Xuân 2</t>
        </is>
      </c>
      <c r="E7" s="4" t="inlineStr">
        <is>
          <t>11, 12</t>
        </is>
      </c>
      <c r="F7" s="4" t="n">
        <v>2</v>
      </c>
    </row>
    <row r="8">
      <c r="A8" s="4" t="inlineStr">
        <is>
          <t>HNB005</t>
        </is>
      </c>
      <c r="B8" s="4" t="inlineStr">
        <is>
          <t>MX_HTP-02</t>
        </is>
      </c>
      <c r="C8" s="4" t="inlineStr">
        <is>
          <t>B</t>
        </is>
      </c>
      <c r="D8" s="4" t="inlineStr">
        <is>
          <t>CR81 · Vina-OFC AESS2016 8FO → HNB005</t>
        </is>
      </c>
      <c r="E8" s="4" t="inlineStr">
        <is>
          <t>1, 2</t>
        </is>
      </c>
      <c r="F8" s="4" t="n">
        <v>2</v>
      </c>
    </row>
    <row r="9">
      <c r="A9" s="4" t="inlineStr">
        <is>
          <t>HNB005</t>
        </is>
      </c>
      <c r="B9" s="4" t="inlineStr">
        <is>
          <t>MX_LVL-03</t>
        </is>
      </c>
      <c r="C9" s="4" t="inlineStr">
        <is>
          <t>A</t>
        </is>
      </c>
      <c r="D9" s="4" t="inlineStr">
        <is>
          <t>AD61 · 12FO → LVL-Ngô Quang Thắm</t>
        </is>
      </c>
      <c r="E9" s="4" t="inlineStr">
        <is>
          <t>5, 6</t>
        </is>
      </c>
      <c r="F9" s="4" t="n">
        <v>2</v>
      </c>
    </row>
    <row r="10">
      <c r="A10" s="4" t="inlineStr">
        <is>
          <t>HNB005</t>
        </is>
      </c>
      <c r="B10" s="4" t="inlineStr">
        <is>
          <t>MX_LVL-03</t>
        </is>
      </c>
      <c r="C10" s="4" t="inlineStr">
        <is>
          <t>A</t>
        </is>
      </c>
      <c r="D10" s="4" t="inlineStr">
        <is>
          <t>AQ61 · POSTEF 9/2019 12FO → Phạm Hữu Lầu</t>
        </is>
      </c>
      <c r="E10" s="4" t="inlineStr">
        <is>
          <t>11, 12</t>
        </is>
      </c>
      <c r="F10" s="4" t="n">
        <v>2</v>
      </c>
    </row>
    <row r="11">
      <c r="A11" s="4" t="inlineStr">
        <is>
          <t>HNB005</t>
        </is>
      </c>
      <c r="B11" s="4" t="inlineStr">
        <is>
          <t>MX_LVL-04</t>
        </is>
      </c>
      <c r="C11" s="4" t="inlineStr">
        <is>
          <t>A</t>
        </is>
      </c>
      <c r="D11" s="4" t="inlineStr">
        <is>
          <t>AD67 · SAMTEL 3/2015 12FO → Đào Sư Tích</t>
        </is>
      </c>
      <c r="E11" s="4" t="inlineStr">
        <is>
          <t>5, 6</t>
        </is>
      </c>
      <c r="F11" s="4" t="n">
        <v>2</v>
      </c>
    </row>
    <row r="12">
      <c r="A12" s="4" t="inlineStr">
        <is>
          <t>HNB005</t>
        </is>
      </c>
      <c r="B12" s="4" t="inlineStr">
        <is>
          <t>MX_LVL-04</t>
        </is>
      </c>
      <c r="C12" s="4" t="inlineStr">
        <is>
          <t>A</t>
        </is>
      </c>
      <c r="D12" s="4" t="inlineStr">
        <is>
          <t>AD80 · 12FO → LVL-Ngô Quang Thắm</t>
        </is>
      </c>
      <c r="E12" s="4" t="inlineStr">
        <is>
          <t>5, 6</t>
        </is>
      </c>
      <c r="F12" s="4" t="n">
        <v>2</v>
      </c>
    </row>
    <row r="13">
      <c r="A13" s="4" t="inlineStr">
        <is>
          <t>HNB005</t>
        </is>
      </c>
      <c r="B13" s="4" t="inlineStr">
        <is>
          <t>MX_LVL-05</t>
        </is>
      </c>
      <c r="C13" s="4" t="inlineStr">
        <is>
          <t>C</t>
        </is>
      </c>
      <c r="D13" s="4" t="inlineStr">
        <is>
          <t>AD86 · 12FO → Phạm Hữu Lầu</t>
        </is>
      </c>
      <c r="E13" s="4" t="inlineStr">
        <is>
          <t>5, 6</t>
        </is>
      </c>
      <c r="F13" s="4" t="n">
        <v>2</v>
      </c>
    </row>
    <row r="14">
      <c r="A14" s="4" t="inlineStr">
        <is>
          <t>HNB005</t>
        </is>
      </c>
      <c r="B14" s="4" t="inlineStr">
        <is>
          <t>MX_LVL-05</t>
        </is>
      </c>
      <c r="C14" s="4" t="inlineStr">
        <is>
          <t>C</t>
        </is>
      </c>
      <c r="D14" s="4" t="inlineStr">
        <is>
          <t>AP86 · 12FO → Ngô Quang Thắm</t>
        </is>
      </c>
      <c r="E14" s="4" t="inlineStr">
        <is>
          <t>11, 12</t>
        </is>
      </c>
      <c r="F14" s="4" t="n">
        <v>2</v>
      </c>
    </row>
    <row r="15">
      <c r="A15" s="4" t="inlineStr">
        <is>
          <t>HNB005</t>
        </is>
      </c>
      <c r="B15" s="4" t="inlineStr">
        <is>
          <t>MX_NVT_02A</t>
        </is>
      </c>
      <c r="C15" s="4" t="inlineStr">
        <is>
          <t>C</t>
        </is>
      </c>
      <c r="D15" s="4" t="inlineStr">
        <is>
          <t>AD174 · 12FO → VNPT Long Thới</t>
        </is>
      </c>
      <c r="E15" s="4" t="inlineStr">
        <is>
          <t>11, 12</t>
        </is>
      </c>
      <c r="F15" s="4" t="n">
        <v>2</v>
      </c>
    </row>
    <row r="16">
      <c r="A16" s="4" t="inlineStr">
        <is>
          <t>HNB005</t>
        </is>
      </c>
      <c r="B16" s="4" t="inlineStr">
        <is>
          <t>MX_NVT_02A</t>
        </is>
      </c>
      <c r="C16" s="4" t="inlineStr">
        <is>
          <t>C</t>
        </is>
      </c>
      <c r="D16" s="4" t="inlineStr">
        <is>
          <t>AQ174 · 8FO → MX_NVT_02B đối diện</t>
        </is>
      </c>
      <c r="E16" s="4" t="inlineStr">
        <is>
          <t>5, 6</t>
        </is>
      </c>
      <c r="F16" s="4" t="n">
        <v>2</v>
      </c>
    </row>
    <row r="17">
      <c r="A17" s="4" t="inlineStr">
        <is>
          <t>HNB005</t>
        </is>
      </c>
      <c r="B17" s="4" t="inlineStr">
        <is>
          <t>MX_NVT_02B</t>
        </is>
      </c>
      <c r="C17" s="4" t="inlineStr">
        <is>
          <t>C</t>
        </is>
      </c>
      <c r="D17" s="4" t="inlineStr">
        <is>
          <t>H174 · 12FO → Ngô Quang Thắm</t>
        </is>
      </c>
      <c r="E17" s="4" t="inlineStr">
        <is>
          <t>11, 12</t>
        </is>
      </c>
      <c r="F17" s="4" t="n">
        <v>2</v>
      </c>
    </row>
    <row r="18">
      <c r="A18" s="4" t="inlineStr">
        <is>
          <t>HNB005</t>
        </is>
      </c>
      <c r="B18" s="4" t="inlineStr">
        <is>
          <t>MX_NVT_02B</t>
        </is>
      </c>
      <c r="C18" s="4" t="inlineStr">
        <is>
          <t>C</t>
        </is>
      </c>
      <c r="D18" s="4" t="inlineStr">
        <is>
          <t>U174 · 8FO → MX_NVT_02A đối diện</t>
        </is>
      </c>
      <c r="E18" s="4" t="inlineStr">
        <is>
          <t>5, 6</t>
        </is>
      </c>
      <c r="F18" s="4" t="n">
        <v>2</v>
      </c>
    </row>
    <row r="19">
      <c r="A19" s="4" t="inlineStr">
        <is>
          <t>HNB011</t>
        </is>
      </c>
      <c r="B19" s="4" t="inlineStr">
        <is>
          <t>MX_LVL-01</t>
        </is>
      </c>
      <c r="C19" s="4" t="inlineStr">
        <is>
          <t>A</t>
        </is>
      </c>
      <c r="D19" s="4" t="inlineStr">
        <is>
          <t>AA8 · FOCAL 2020 12FO → Đào Sư Tích</t>
        </is>
      </c>
      <c r="E19" s="4" t="inlineStr">
        <is>
          <t>3, 4</t>
        </is>
      </c>
      <c r="F19" s="4" t="n">
        <v>2</v>
      </c>
    </row>
    <row r="20">
      <c r="A20" s="4" t="inlineStr">
        <is>
          <t>HNB011</t>
        </is>
      </c>
      <c r="B20" s="4" t="inlineStr">
        <is>
          <t>MX_LVL-05</t>
        </is>
      </c>
      <c r="C20" s="4" t="inlineStr">
        <is>
          <t>A</t>
        </is>
      </c>
      <c r="D20" s="4" t="inlineStr">
        <is>
          <t>AA89 · 12FO → Đào Sư Tích</t>
        </is>
      </c>
      <c r="E20" s="4" t="inlineStr">
        <is>
          <t>3, 4</t>
        </is>
      </c>
      <c r="F20" s="4" t="n">
        <v>2</v>
      </c>
    </row>
    <row r="21">
      <c r="A21" s="4" t="inlineStr">
        <is>
          <t>HNB011</t>
        </is>
      </c>
      <c r="B21" s="4" t="inlineStr">
        <is>
          <t>MX_LVL-05</t>
        </is>
      </c>
      <c r="C21" s="4" t="inlineStr">
        <is>
          <t>A</t>
        </is>
      </c>
      <c r="D21" s="4" t="inlineStr">
        <is>
          <t>AD103 · HƯỚNG VỀ VNPT LONG THỚI 24FO → CÁP TREO 24FO HƯỚNG VỀ VNPT LONG THỚI</t>
        </is>
      </c>
      <c r="E21" s="4" t="inlineStr">
        <is>
          <t>3, 4</t>
        </is>
      </c>
      <c r="F21" s="4" t="n">
        <v>2</v>
      </c>
    </row>
    <row r="22">
      <c r="A22" s="4" t="inlineStr">
        <is>
          <t>HNB011</t>
        </is>
      </c>
      <c r="B22" s="4" t="inlineStr">
        <is>
          <t>MX_NB-01</t>
        </is>
      </c>
      <c r="C22" s="4" t="inlineStr"/>
      <c r="D22" s="4" t="inlineStr">
        <is>
          <t>AD109 · HƯỚNG VỀ LÊ VĂN LƯƠNG 24FO → CÁP TREO 24FO HƯỚNG VỀ LÊ VĂN LƯƠNG (MX_LVL-05)</t>
        </is>
      </c>
      <c r="E22" s="4" t="inlineStr">
        <is>
          <t>3, 4</t>
        </is>
      </c>
      <c r="F22" s="4" t="n">
        <v>2</v>
      </c>
    </row>
    <row r="23">
      <c r="A23" s="4" t="inlineStr">
        <is>
          <t>HNB012</t>
        </is>
      </c>
      <c r="B23" s="4" t="inlineStr">
        <is>
          <t>MX_LVL-05</t>
        </is>
      </c>
      <c r="C23" s="4" t="inlineStr">
        <is>
          <t>A</t>
        </is>
      </c>
      <c r="D23" s="4" t="inlineStr">
        <is>
          <t>AA89 · 12FO → Đào Sư Tích</t>
        </is>
      </c>
      <c r="E23" s="4" t="inlineStr">
        <is>
          <t>1, 2</t>
        </is>
      </c>
      <c r="F23" s="4" t="n">
        <v>2</v>
      </c>
    </row>
    <row r="24">
      <c r="A24" s="4" t="inlineStr">
        <is>
          <t>HNB012</t>
        </is>
      </c>
      <c r="B24" s="4" t="inlineStr">
        <is>
          <t>MX_LVL-05</t>
        </is>
      </c>
      <c r="C24" s="4" t="inlineStr">
        <is>
          <t>A</t>
        </is>
      </c>
      <c r="D24" s="4" t="inlineStr">
        <is>
          <t>AD103 · HƯỚNG VỀ VNPT LONG THỚI 24FO → CÁP TREO 24FO HƯỚNG VỀ VNPT LONG THỚI</t>
        </is>
      </c>
      <c r="E24" s="4" t="inlineStr">
        <is>
          <t>1, 2</t>
        </is>
      </c>
      <c r="F24" s="4" t="n">
        <v>2</v>
      </c>
    </row>
    <row r="25">
      <c r="A25" s="4" t="inlineStr">
        <is>
          <t>HNB012</t>
        </is>
      </c>
      <c r="B25" s="4" t="inlineStr">
        <is>
          <t>MX_NB-01</t>
        </is>
      </c>
      <c r="C25" s="4" t="inlineStr">
        <is>
          <t>A</t>
        </is>
      </c>
      <c r="D25" s="4" t="inlineStr">
        <is>
          <t>AD109 · HƯỚNG VỀ LÊ VĂN LƯƠNG 24FO → CÁP TREO 24FO HƯỚNG VỀ LÊ VĂN LƯƠNG (MX_LVL-05)</t>
        </is>
      </c>
      <c r="E25" s="4" t="inlineStr">
        <is>
          <t>1, 2</t>
        </is>
      </c>
      <c r="F25" s="4" t="n">
        <v>2</v>
      </c>
    </row>
    <row r="26">
      <c r="A26" s="4" t="inlineStr">
        <is>
          <t>HNB012</t>
        </is>
      </c>
      <c r="B26" s="4" t="inlineStr">
        <is>
          <t>MX_NB-01</t>
        </is>
      </c>
      <c r="C26" s="4" t="inlineStr">
        <is>
          <t>A</t>
        </is>
      </c>
      <c r="D26" s="4" t="inlineStr">
        <is>
          <t>AJ126 · HƯỚNG VỀ VNPT LONG THỚI VÀO ODF-01 24FO → CÁP TREO 24FO HƯỚNG VỀ VNPT LONG THỚI VÀO ODF-01</t>
        </is>
      </c>
      <c r="E26" s="4" t="inlineStr">
        <is>
          <t>1, 2</t>
        </is>
      </c>
      <c r="F26" s="4" t="n">
        <v>2</v>
      </c>
    </row>
    <row r="27">
      <c r="A27" s="4" t="inlineStr">
        <is>
          <t>HNB038</t>
        </is>
      </c>
      <c r="B27" s="4" t="inlineStr">
        <is>
          <t>MX_HTP-02</t>
        </is>
      </c>
      <c r="C27" s="4" t="inlineStr">
        <is>
          <t>C</t>
        </is>
      </c>
      <c r="D27" s="4" t="inlineStr">
        <is>
          <t>CE81 · FOCAL 12FO → AGG-NBE22 (SG mới)</t>
        </is>
      </c>
      <c r="E27" s="4" t="inlineStr">
        <is>
          <t>9, 10</t>
        </is>
      </c>
      <c r="F27" s="4" t="n">
        <v>2</v>
      </c>
    </row>
    <row r="28">
      <c r="A28" s="4" t="inlineStr">
        <is>
          <t>HNB038</t>
        </is>
      </c>
      <c r="B28" s="4" t="inlineStr">
        <is>
          <t>MX_HTP-03A</t>
        </is>
      </c>
      <c r="C28" s="4" t="inlineStr">
        <is>
          <t>A</t>
        </is>
      </c>
      <c r="D28" s="4" t="inlineStr">
        <is>
          <t>CE101 · POSTEF HƯỚNG VỀ TÒA NHÀ 24FO → CÁP TREO 24FO POSTEF HƯỚNG VỀ TÒA NHÀ (ODF-01) (cs 1570)</t>
        </is>
      </c>
      <c r="E28" s="4" t="inlineStr">
        <is>
          <t>9, 10</t>
        </is>
      </c>
      <c r="F28" s="4" t="n">
        <v>2</v>
      </c>
    </row>
    <row r="29">
      <c r="A29" s="4" t="inlineStr">
        <is>
          <t>HNB038</t>
        </is>
      </c>
      <c r="B29" s="4" t="inlineStr">
        <is>
          <t>MX_HTP-03A</t>
        </is>
      </c>
      <c r="C29" s="4" t="inlineStr">
        <is>
          <t>A</t>
        </is>
      </c>
      <c r="D29" s="4" t="inlineStr">
        <is>
          <t>CE88 · FOCAL 12FO → cầu Phú Xuân 2</t>
        </is>
      </c>
      <c r="E29" s="4" t="inlineStr">
        <is>
          <t>9, 10</t>
        </is>
      </c>
      <c r="F29" s="4" t="n">
        <v>2</v>
      </c>
    </row>
    <row r="30">
      <c r="A30" s="4" t="inlineStr">
        <is>
          <t>HNB048</t>
        </is>
      </c>
      <c r="B30" s="4" t="inlineStr">
        <is>
          <t>MX_LVL-05</t>
        </is>
      </c>
      <c r="C30" s="4" t="inlineStr">
        <is>
          <t>D</t>
        </is>
      </c>
      <c r="D30" s="4" t="inlineStr">
        <is>
          <t>AD103 · HƯỚNG VỀ VNPT LONG THỚI 24FO → CÁP TREO 24FO HƯỚNG VỀ VNPT LONG THỚI</t>
        </is>
      </c>
      <c r="E30" s="4" t="inlineStr">
        <is>
          <t>21, 22</t>
        </is>
      </c>
      <c r="F30" s="4" t="n">
        <v>2</v>
      </c>
    </row>
    <row r="31">
      <c r="A31" s="4" t="inlineStr">
        <is>
          <t>HNB048</t>
        </is>
      </c>
      <c r="B31" s="4" t="inlineStr">
        <is>
          <t>MX_LVL-05</t>
        </is>
      </c>
      <c r="C31" s="4" t="inlineStr">
        <is>
          <t>D</t>
        </is>
      </c>
      <c r="D31" s="4" t="inlineStr">
        <is>
          <t>AP86 · 12FO → Ngô Quang Thắm</t>
        </is>
      </c>
      <c r="E31" s="4" t="inlineStr">
        <is>
          <t>3, 4</t>
        </is>
      </c>
      <c r="F31" s="4" t="n">
        <v>2</v>
      </c>
    </row>
    <row r="32">
      <c r="A32" s="4" t="inlineStr">
        <is>
          <t>HNB048</t>
        </is>
      </c>
      <c r="B32" s="4" t="inlineStr">
        <is>
          <t>MX_NB-01</t>
        </is>
      </c>
      <c r="C32" s="4" t="inlineStr">
        <is>
          <t>B</t>
        </is>
      </c>
      <c r="D32" s="4" t="inlineStr">
        <is>
          <t>AD109 · HƯỚNG VỀ LÊ VĂN LƯƠNG 24FO → CÁP TREO 24FO HƯỚNG VỀ LÊ VĂN LƯƠNG (MX_LVL-05)</t>
        </is>
      </c>
      <c r="E32" s="4" t="inlineStr">
        <is>
          <t>21, 22</t>
        </is>
      </c>
      <c r="F32" s="4" t="n">
        <v>2</v>
      </c>
    </row>
    <row r="33">
      <c r="A33" s="4" t="inlineStr">
        <is>
          <t>HNB048</t>
        </is>
      </c>
      <c r="B33" s="4" t="inlineStr">
        <is>
          <t>MX_NB-01</t>
        </is>
      </c>
      <c r="C33" s="4" t="inlineStr">
        <is>
          <t>B</t>
        </is>
      </c>
      <c r="D33" s="4" t="inlineStr">
        <is>
          <t>BD112 · HƯỚNG VỀ HUỲNH TẤN PHÁT 12FO → CÁP TREO 12FO HƯỚNG VỀ HUỲNH TẤN PHÁT (MX_NB-02)</t>
        </is>
      </c>
      <c r="E33" s="4" t="inlineStr">
        <is>
          <t>3, 4</t>
        </is>
      </c>
      <c r="F33" s="4" t="n">
        <v>2</v>
      </c>
    </row>
    <row r="34">
      <c r="A34" s="4" t="inlineStr">
        <is>
          <t>HNB055</t>
        </is>
      </c>
      <c r="B34" s="4" t="inlineStr">
        <is>
          <t>MX_LVL-01</t>
        </is>
      </c>
      <c r="C34" s="4" t="inlineStr">
        <is>
          <t>B</t>
        </is>
      </c>
      <c r="D34" s="4" t="inlineStr">
        <is>
          <t>AA8 · FOCAL 2020 12FO → Đào Sư Tích</t>
        </is>
      </c>
      <c r="E34" s="4" t="inlineStr">
        <is>
          <t>5, 6</t>
        </is>
      </c>
      <c r="F34" s="4" t="n">
        <v>2</v>
      </c>
    </row>
    <row r="35">
      <c r="A35" s="4" t="inlineStr">
        <is>
          <t>HNB055</t>
        </is>
      </c>
      <c r="B35" s="4" t="inlineStr">
        <is>
          <t>MX_LVL-01</t>
        </is>
      </c>
      <c r="C35" s="4" t="inlineStr">
        <is>
          <t>B</t>
        </is>
      </c>
      <c r="D35" s="4" t="inlineStr">
        <is>
          <t>AD22 · FOCAL 2013 12FO → LVL-Ngô Quang Thắm</t>
        </is>
      </c>
      <c r="E35" s="4" t="inlineStr">
        <is>
          <t>5, 6</t>
        </is>
      </c>
      <c r="F35" s="4" t="n">
        <v>2</v>
      </c>
    </row>
    <row r="36">
      <c r="A36" s="4" t="inlineStr">
        <is>
          <t>HNB055</t>
        </is>
      </c>
      <c r="B36" s="4" t="inlineStr">
        <is>
          <t>MX_LVL-02</t>
        </is>
      </c>
      <c r="C36" s="4" t="inlineStr">
        <is>
          <t>B</t>
        </is>
      </c>
      <c r="D36" s="4" t="inlineStr">
        <is>
          <t>AD28 · FOCAL 2013 12FO → Đào Sư Tích</t>
        </is>
      </c>
      <c r="E36" s="4" t="inlineStr">
        <is>
          <t>5, 6</t>
        </is>
      </c>
      <c r="F36" s="4" t="n">
        <v>2</v>
      </c>
    </row>
    <row r="37">
      <c r="A37" s="4" t="inlineStr">
        <is>
          <t>HNB055</t>
        </is>
      </c>
      <c r="B37" s="4" t="inlineStr">
        <is>
          <t>MX_LVL-05</t>
        </is>
      </c>
      <c r="C37" s="4" t="inlineStr">
        <is>
          <t>A</t>
        </is>
      </c>
      <c r="D37" s="4" t="inlineStr">
        <is>
          <t>AA89 · 12FO → Đào Sư Tích</t>
        </is>
      </c>
      <c r="E37" s="4" t="inlineStr">
        <is>
          <t>5, 6</t>
        </is>
      </c>
      <c r="F37" s="4" t="n">
        <v>2</v>
      </c>
    </row>
    <row r="38">
      <c r="A38" s="4" t="inlineStr">
        <is>
          <t>HNB055</t>
        </is>
      </c>
      <c r="B38" s="4" t="inlineStr">
        <is>
          <t>MX_LVL-05</t>
        </is>
      </c>
      <c r="C38" s="4" t="inlineStr">
        <is>
          <t>A</t>
        </is>
      </c>
      <c r="D38" s="4" t="inlineStr">
        <is>
          <t>AD103 · HƯỚNG VỀ VNPT LONG THỚI 24FO → CÁP TREO 24FO HƯỚNG VỀ VNPT LONG THỚI</t>
        </is>
      </c>
      <c r="E38" s="4" t="inlineStr">
        <is>
          <t>5, 6</t>
        </is>
      </c>
      <c r="F38" s="4" t="n">
        <v>2</v>
      </c>
    </row>
    <row r="39">
      <c r="A39" s="4" t="inlineStr">
        <is>
          <t>HNB055</t>
        </is>
      </c>
      <c r="B39" s="4" t="inlineStr">
        <is>
          <t>MX_NB-01</t>
        </is>
      </c>
      <c r="C39" s="4" t="inlineStr">
        <is>
          <t>A</t>
        </is>
      </c>
      <c r="D39" s="4" t="inlineStr">
        <is>
          <t>AD109 · HƯỚNG VỀ LÊ VĂN LƯƠNG 24FO → CÁP TREO 24FO HƯỚNG VỀ LÊ VĂN LƯƠNG (MX_LVL-05)</t>
        </is>
      </c>
      <c r="E39" s="4" t="inlineStr">
        <is>
          <t>5, 6</t>
        </is>
      </c>
      <c r="F39" s="4" t="n">
        <v>2</v>
      </c>
    </row>
    <row r="40">
      <c r="A40" s="4" t="inlineStr">
        <is>
          <t>HNB055</t>
        </is>
      </c>
      <c r="B40" s="4" t="inlineStr">
        <is>
          <t>MX_NB-01</t>
        </is>
      </c>
      <c r="C40" s="4" t="inlineStr">
        <is>
          <t>A</t>
        </is>
      </c>
      <c r="D40" s="4" t="inlineStr">
        <is>
          <t>AJ126 · HƯỚNG VỀ VNPT LONG THỚI VÀO ODF-01 24FO → CÁP TREO 24FO HƯỚNG VỀ VNPT LONG THỚI VÀO ODF-01</t>
        </is>
      </c>
      <c r="E40" s="4" t="inlineStr">
        <is>
          <t>5, 6</t>
        </is>
      </c>
      <c r="F40" s="4" t="n">
        <v>2</v>
      </c>
    </row>
    <row r="41">
      <c r="A41" s="4" t="inlineStr">
        <is>
          <t>HNB065</t>
        </is>
      </c>
      <c r="B41" s="4" t="inlineStr">
        <is>
          <t>MX_LVL-02</t>
        </is>
      </c>
      <c r="C41" s="4" t="inlineStr">
        <is>
          <t>C</t>
        </is>
      </c>
      <c r="D41" s="4" t="inlineStr">
        <is>
          <t>AD41 · SACOM 1/2015 12FO → LVL-Ngô Quang Thắm</t>
        </is>
      </c>
      <c r="E41" s="4" t="inlineStr">
        <is>
          <t>5, 6</t>
        </is>
      </c>
      <c r="F41" s="4" t="n">
        <v>2</v>
      </c>
    </row>
    <row r="42">
      <c r="A42" s="4" t="inlineStr">
        <is>
          <t>HNB066</t>
        </is>
      </c>
      <c r="B42" s="4" t="inlineStr">
        <is>
          <t>MX_HTP-01</t>
        </is>
      </c>
      <c r="C42" s="4" t="inlineStr">
        <is>
          <t>B</t>
        </is>
      </c>
      <c r="D42" s="4" t="inlineStr">
        <is>
          <t>CE48 · FOCAL 12FO → Phạm Hũu Lầu</t>
        </is>
      </c>
      <c r="E42" s="4" t="inlineStr">
        <is>
          <t>9, 10</t>
        </is>
      </c>
      <c r="F42" s="4" t="n">
        <v>2</v>
      </c>
    </row>
    <row r="43">
      <c r="A43" s="4" t="inlineStr">
        <is>
          <t>HNB066</t>
        </is>
      </c>
      <c r="B43" s="4" t="inlineStr">
        <is>
          <t>MX_HTP-01</t>
        </is>
      </c>
      <c r="C43" s="4" t="inlineStr">
        <is>
          <t>B</t>
        </is>
      </c>
      <c r="D43" s="4" t="inlineStr">
        <is>
          <t>CR48 · POSTEF 2016 8FO → HNB066</t>
        </is>
      </c>
      <c r="E43" s="4" t="inlineStr">
        <is>
          <t>1, 2</t>
        </is>
      </c>
      <c r="F43" s="4" t="n">
        <v>2</v>
      </c>
    </row>
    <row r="44">
      <c r="A44" s="4" t="inlineStr">
        <is>
          <t>HNB066</t>
        </is>
      </c>
      <c r="B44" s="4" t="inlineStr">
        <is>
          <t>MX_LVL-03</t>
        </is>
      </c>
      <c r="C44" s="4" t="inlineStr">
        <is>
          <t>A</t>
        </is>
      </c>
      <c r="D44" s="4" t="inlineStr">
        <is>
          <t>AD61 · 12FO → LVL-Ngô Quang Thắm</t>
        </is>
      </c>
      <c r="E44" s="4" t="inlineStr">
        <is>
          <t>3, 4</t>
        </is>
      </c>
      <c r="F44" s="4" t="n">
        <v>2</v>
      </c>
    </row>
    <row r="45">
      <c r="A45" s="4" t="inlineStr">
        <is>
          <t>HNB066</t>
        </is>
      </c>
      <c r="B45" s="4" t="inlineStr">
        <is>
          <t>MX_LVL-03</t>
        </is>
      </c>
      <c r="C45" s="4" t="inlineStr">
        <is>
          <t>A</t>
        </is>
      </c>
      <c r="D45" s="4" t="inlineStr">
        <is>
          <t>AQ61 · POSTEF 9/2019 12FO → Phạm Hữu Lầu</t>
        </is>
      </c>
      <c r="E45" s="4" t="inlineStr">
        <is>
          <t>9, 10</t>
        </is>
      </c>
      <c r="F45" s="4" t="n">
        <v>2</v>
      </c>
    </row>
    <row r="46">
      <c r="A46" s="4" t="inlineStr">
        <is>
          <t>HNB066</t>
        </is>
      </c>
      <c r="B46" s="4" t="inlineStr">
        <is>
          <t>MX_LVL-04</t>
        </is>
      </c>
      <c r="C46" s="4" t="inlineStr">
        <is>
          <t>A</t>
        </is>
      </c>
      <c r="D46" s="4" t="inlineStr">
        <is>
          <t>AD67 · SAMTEL 3/2015 12FO → Đào Sư Tích</t>
        </is>
      </c>
      <c r="E46" s="4" t="inlineStr">
        <is>
          <t>3, 4</t>
        </is>
      </c>
      <c r="F46" s="4" t="n">
        <v>2</v>
      </c>
    </row>
    <row r="47">
      <c r="A47" s="4" t="inlineStr">
        <is>
          <t>HNB066</t>
        </is>
      </c>
      <c r="B47" s="4" t="inlineStr">
        <is>
          <t>MX_LVL-04</t>
        </is>
      </c>
      <c r="C47" s="4" t="inlineStr">
        <is>
          <t>A</t>
        </is>
      </c>
      <c r="D47" s="4" t="inlineStr">
        <is>
          <t>AD80 · 12FO → LVL-Ngô Quang Thắm</t>
        </is>
      </c>
      <c r="E47" s="4" t="inlineStr">
        <is>
          <t>3, 4</t>
        </is>
      </c>
      <c r="F47" s="4" t="n">
        <v>2</v>
      </c>
    </row>
    <row r="48">
      <c r="A48" s="4" t="inlineStr">
        <is>
          <t>HNB066</t>
        </is>
      </c>
      <c r="B48" s="4" t="inlineStr">
        <is>
          <t>MX_LVL-05</t>
        </is>
      </c>
      <c r="C48" s="4" t="inlineStr">
        <is>
          <t>C</t>
        </is>
      </c>
      <c r="D48" s="4" t="inlineStr">
        <is>
          <t>AD86 · 12FO → Phạm Hữu Lầu</t>
        </is>
      </c>
      <c r="E48" s="4" t="inlineStr">
        <is>
          <t>3, 4</t>
        </is>
      </c>
      <c r="F48" s="4" t="n">
        <v>2</v>
      </c>
    </row>
    <row r="49">
      <c r="A49" s="4" t="inlineStr">
        <is>
          <t>HNB066</t>
        </is>
      </c>
      <c r="B49" s="4" t="inlineStr">
        <is>
          <t>MX_LVL-05</t>
        </is>
      </c>
      <c r="C49" s="4" t="inlineStr">
        <is>
          <t>C</t>
        </is>
      </c>
      <c r="D49" s="4" t="inlineStr">
        <is>
          <t>AP86 · 12FO → Ngô Quang Thắm</t>
        </is>
      </c>
      <c r="E49" s="4" t="inlineStr">
        <is>
          <t>9, 10</t>
        </is>
      </c>
      <c r="F49" s="4" t="n">
        <v>2</v>
      </c>
    </row>
    <row r="50">
      <c r="A50" s="4" t="inlineStr">
        <is>
          <t>HNB066</t>
        </is>
      </c>
      <c r="B50" s="4" t="inlineStr">
        <is>
          <t>MX_NVT_02A</t>
        </is>
      </c>
      <c r="C50" s="4" t="inlineStr">
        <is>
          <t>C</t>
        </is>
      </c>
      <c r="D50" s="4" t="inlineStr">
        <is>
          <t>AD174 · 12FO → VNPT Long Thới</t>
        </is>
      </c>
      <c r="E50" s="4" t="inlineStr">
        <is>
          <t>9, 10</t>
        </is>
      </c>
      <c r="F50" s="4" t="n">
        <v>2</v>
      </c>
    </row>
    <row r="51">
      <c r="A51" s="4" t="inlineStr">
        <is>
          <t>HNB066</t>
        </is>
      </c>
      <c r="B51" s="4" t="inlineStr">
        <is>
          <t>MX_NVT_02A</t>
        </is>
      </c>
      <c r="C51" s="4" t="inlineStr">
        <is>
          <t>C</t>
        </is>
      </c>
      <c r="D51" s="4" t="inlineStr">
        <is>
          <t>AQ174 · 8FO → MX_NVT_02B đối diện</t>
        </is>
      </c>
      <c r="E51" s="4" t="inlineStr">
        <is>
          <t>3, 4</t>
        </is>
      </c>
      <c r="F51" s="4" t="n">
        <v>2</v>
      </c>
    </row>
    <row r="52">
      <c r="A52" s="4" t="inlineStr">
        <is>
          <t>HNB066</t>
        </is>
      </c>
      <c r="B52" s="4" t="inlineStr">
        <is>
          <t>MX_NVT_02B</t>
        </is>
      </c>
      <c r="C52" s="4" t="inlineStr">
        <is>
          <t>C</t>
        </is>
      </c>
      <c r="D52" s="4" t="inlineStr">
        <is>
          <t>H174 · 12FO → Ngô Quang Thắm</t>
        </is>
      </c>
      <c r="E52" s="4" t="inlineStr">
        <is>
          <t>9, 10</t>
        </is>
      </c>
      <c r="F52" s="4" t="n">
        <v>2</v>
      </c>
    </row>
    <row r="53">
      <c r="A53" s="4" t="inlineStr">
        <is>
          <t>HNB066</t>
        </is>
      </c>
      <c r="B53" s="4" t="inlineStr">
        <is>
          <t>MX_NVT_02B</t>
        </is>
      </c>
      <c r="C53" s="4" t="inlineStr">
        <is>
          <t>C</t>
        </is>
      </c>
      <c r="D53" s="4" t="inlineStr">
        <is>
          <t>U174 · 8FO → MX_NVT_02A đối diện</t>
        </is>
      </c>
      <c r="E53" s="4" t="inlineStr">
        <is>
          <t>3, 4</t>
        </is>
      </c>
      <c r="F53" s="4" t="n">
        <v>2</v>
      </c>
    </row>
    <row r="54">
      <c r="A54" s="4" t="inlineStr">
        <is>
          <t>HNB073</t>
        </is>
      </c>
      <c r="B54" s="4" t="inlineStr">
        <is>
          <t>MX_HTP-01</t>
        </is>
      </c>
      <c r="C54" s="4" t="inlineStr">
        <is>
          <t>A</t>
        </is>
      </c>
      <c r="D54" s="4" t="inlineStr">
        <is>
          <t>CE48 · FOCAL 12FO → Phạm Hũu Lầu</t>
        </is>
      </c>
      <c r="E54" s="4" t="inlineStr">
        <is>
          <t>3, 4</t>
        </is>
      </c>
      <c r="F54" s="4" t="n">
        <v>2</v>
      </c>
    </row>
    <row r="55">
      <c r="A55" s="4" t="inlineStr">
        <is>
          <t>HNB073</t>
        </is>
      </c>
      <c r="B55" s="4" t="inlineStr">
        <is>
          <t>MX_HTP-01</t>
        </is>
      </c>
      <c r="C55" s="4" t="inlineStr">
        <is>
          <t>A</t>
        </is>
      </c>
      <c r="D55" s="4" t="inlineStr">
        <is>
          <t>CE61 · FOCAL 12FO → AGG-NBE22 (SG mới)</t>
        </is>
      </c>
      <c r="E55" s="4" t="inlineStr">
        <is>
          <t>3, 4</t>
        </is>
      </c>
      <c r="F55" s="4" t="n">
        <v>2</v>
      </c>
    </row>
    <row r="56">
      <c r="A56" s="4" t="inlineStr">
        <is>
          <t>HNB073</t>
        </is>
      </c>
      <c r="B56" s="4" t="inlineStr">
        <is>
          <t>MX_HTP-02</t>
        </is>
      </c>
      <c r="C56" s="4" t="inlineStr">
        <is>
          <t>A</t>
        </is>
      </c>
      <c r="D56" s="4" t="inlineStr">
        <is>
          <t>CE68 · FOCAL 12FO → cầu Phú Xuân 2</t>
        </is>
      </c>
      <c r="E56" s="4" t="inlineStr">
        <is>
          <t>3, 4</t>
        </is>
      </c>
      <c r="F56" s="4" t="n">
        <v>2</v>
      </c>
    </row>
    <row r="57">
      <c r="A57" s="4" t="inlineStr">
        <is>
          <t>HNB073</t>
        </is>
      </c>
      <c r="B57" s="4" t="inlineStr">
        <is>
          <t>MX_HTP-02</t>
        </is>
      </c>
      <c r="C57" s="4" t="inlineStr">
        <is>
          <t>A</t>
        </is>
      </c>
      <c r="D57" s="4" t="inlineStr">
        <is>
          <t>CE81 · FOCAL 12FO → AGG-NBE22 (SG mới)</t>
        </is>
      </c>
      <c r="E57" s="4" t="inlineStr">
        <is>
          <t>3, 4</t>
        </is>
      </c>
      <c r="F57" s="4" t="n">
        <v>2</v>
      </c>
    </row>
    <row r="58">
      <c r="A58" s="4" t="inlineStr">
        <is>
          <t>HNB073</t>
        </is>
      </c>
      <c r="B58" s="4" t="inlineStr">
        <is>
          <t>MX_HTP-03A</t>
        </is>
      </c>
      <c r="C58" s="4" t="inlineStr">
        <is>
          <t>A</t>
        </is>
      </c>
      <c r="D58" s="4" t="inlineStr">
        <is>
          <t>CE101 · POSTEF HƯỚNG VỀ TÒA NHÀ 24FO → CÁP TREO 24FO POSTEF HƯỚNG VỀ TÒA NHÀ (ODF-01) (cs 1570)</t>
        </is>
      </c>
      <c r="E58" s="4" t="inlineStr">
        <is>
          <t>3, 4</t>
        </is>
      </c>
      <c r="F58" s="4" t="n">
        <v>2</v>
      </c>
    </row>
    <row r="59">
      <c r="A59" s="4" t="inlineStr">
        <is>
          <t>HNB073</t>
        </is>
      </c>
      <c r="B59" s="4" t="inlineStr">
        <is>
          <t>MX_HTP-03A</t>
        </is>
      </c>
      <c r="C59" s="4" t="inlineStr">
        <is>
          <t>A</t>
        </is>
      </c>
      <c r="D59" s="4" t="inlineStr">
        <is>
          <t>CE88 · FOCAL 12FO → cầu Phú Xuân 2</t>
        </is>
      </c>
      <c r="E59" s="4" t="inlineStr">
        <is>
          <t>3, 4</t>
        </is>
      </c>
      <c r="F59" s="4" t="n">
        <v>2</v>
      </c>
    </row>
    <row r="60">
      <c r="A60" s="4" t="inlineStr">
        <is>
          <t>HNB073</t>
        </is>
      </c>
      <c r="B60" s="4" t="inlineStr">
        <is>
          <t>MX_LVL-02</t>
        </is>
      </c>
      <c r="C60" s="4" t="inlineStr">
        <is>
          <t>D</t>
        </is>
      </c>
      <c r="D60" s="4" t="inlineStr">
        <is>
          <t>AD41 · SACOM 1/2015 12FO → LVL-Ngô Quang Thắm</t>
        </is>
      </c>
      <c r="E60" s="4" t="inlineStr">
        <is>
          <t>3, 4</t>
        </is>
      </c>
      <c r="F60" s="4" t="n">
        <v>2</v>
      </c>
    </row>
    <row r="61">
      <c r="A61" s="4" t="inlineStr">
        <is>
          <t>HNB073</t>
        </is>
      </c>
      <c r="B61" s="4" t="inlineStr">
        <is>
          <t>MX_LVL-03</t>
        </is>
      </c>
      <c r="C61" s="4" t="inlineStr">
        <is>
          <t>B</t>
        </is>
      </c>
      <c r="D61" s="4" t="inlineStr">
        <is>
          <t>AD48 · VINA-OFC 2016 12FO → Đào Sư Tích</t>
        </is>
      </c>
      <c r="E61" s="4" t="inlineStr">
        <is>
          <t>3, 4</t>
        </is>
      </c>
      <c r="F61" s="4" t="n">
        <v>2</v>
      </c>
    </row>
    <row r="62">
      <c r="A62" s="4" t="inlineStr">
        <is>
          <t>HNB073</t>
        </is>
      </c>
      <c r="B62" s="4" t="inlineStr">
        <is>
          <t>MX_LVL-03</t>
        </is>
      </c>
      <c r="C62" s="4" t="inlineStr">
        <is>
          <t>B</t>
        </is>
      </c>
      <c r="D62" s="4" t="inlineStr">
        <is>
          <t>AQ61 · POSTEF 9/2019 12FO → Phạm Hữu Lầu</t>
        </is>
      </c>
      <c r="E62" s="4" t="inlineStr">
        <is>
          <t>3, 4</t>
        </is>
      </c>
      <c r="F62" s="4" t="n">
        <v>2</v>
      </c>
    </row>
    <row r="63">
      <c r="A63" s="4" t="inlineStr">
        <is>
          <t>HNB075</t>
        </is>
      </c>
      <c r="B63" s="4" t="inlineStr">
        <is>
          <t>MX_HTP-01</t>
        </is>
      </c>
      <c r="C63" s="4" t="inlineStr">
        <is>
          <t>A</t>
        </is>
      </c>
      <c r="D63" s="4" t="inlineStr">
        <is>
          <t>CE48 · FOCAL 12FO → Phạm Hũu Lầu</t>
        </is>
      </c>
      <c r="E63" s="4" t="inlineStr">
        <is>
          <t>1, 2</t>
        </is>
      </c>
      <c r="F63" s="4" t="n">
        <v>2</v>
      </c>
    </row>
    <row r="64">
      <c r="A64" s="4" t="inlineStr">
        <is>
          <t>HNB075</t>
        </is>
      </c>
      <c r="B64" s="4" t="inlineStr">
        <is>
          <t>MX_HTP-01</t>
        </is>
      </c>
      <c r="C64" s="4" t="inlineStr">
        <is>
          <t>A</t>
        </is>
      </c>
      <c r="D64" s="4" t="inlineStr">
        <is>
          <t>CE61 · FOCAL 12FO → AGG-NBE22 (SG mới)</t>
        </is>
      </c>
      <c r="E64" s="4" t="inlineStr">
        <is>
          <t>1, 2</t>
        </is>
      </c>
      <c r="F64" s="4" t="n">
        <v>2</v>
      </c>
    </row>
    <row r="65">
      <c r="A65" s="4" t="inlineStr">
        <is>
          <t>HNB075</t>
        </is>
      </c>
      <c r="B65" s="4" t="inlineStr">
        <is>
          <t>MX_HTP-02</t>
        </is>
      </c>
      <c r="C65" s="4" t="inlineStr">
        <is>
          <t>A</t>
        </is>
      </c>
      <c r="D65" s="4" t="inlineStr">
        <is>
          <t>CE68 · FOCAL 12FO → cầu Phú Xuân 2</t>
        </is>
      </c>
      <c r="E65" s="4" t="inlineStr">
        <is>
          <t>1, 2</t>
        </is>
      </c>
      <c r="F65" s="4" t="n">
        <v>2</v>
      </c>
    </row>
    <row r="66">
      <c r="A66" s="4" t="inlineStr">
        <is>
          <t>HNB075</t>
        </is>
      </c>
      <c r="B66" s="4" t="inlineStr">
        <is>
          <t>MX_HTP-02</t>
        </is>
      </c>
      <c r="C66" s="4" t="inlineStr">
        <is>
          <t>A</t>
        </is>
      </c>
      <c r="D66" s="4" t="inlineStr">
        <is>
          <t>CE81 · FOCAL 12FO → AGG-NBE22 (SG mới)</t>
        </is>
      </c>
      <c r="E66" s="4" t="inlineStr">
        <is>
          <t>1, 2</t>
        </is>
      </c>
      <c r="F66" s="4" t="n">
        <v>2</v>
      </c>
    </row>
    <row r="67">
      <c r="A67" s="4" t="inlineStr">
        <is>
          <t>HNB075</t>
        </is>
      </c>
      <c r="B67" s="4" t="inlineStr">
        <is>
          <t>MX_HTP-03A</t>
        </is>
      </c>
      <c r="C67" s="4" t="inlineStr">
        <is>
          <t>A</t>
        </is>
      </c>
      <c r="D67" s="4" t="inlineStr">
        <is>
          <t>CE101 · POSTEF HƯỚNG VỀ TÒA NHÀ 24FO → CÁP TREO 24FO POSTEF HƯỚNG VỀ TÒA NHÀ (ODF-01) (cs 1570)</t>
        </is>
      </c>
      <c r="E67" s="4" t="inlineStr">
        <is>
          <t>1, 2</t>
        </is>
      </c>
      <c r="F67" s="4" t="n">
        <v>2</v>
      </c>
    </row>
    <row r="68">
      <c r="A68" s="4" t="inlineStr">
        <is>
          <t>HNB075</t>
        </is>
      </c>
      <c r="B68" s="4" t="inlineStr">
        <is>
          <t>MX_HTP-03A</t>
        </is>
      </c>
      <c r="C68" s="4" t="inlineStr">
        <is>
          <t>A</t>
        </is>
      </c>
      <c r="D68" s="4" t="inlineStr">
        <is>
          <t>CE88 · FOCAL 12FO → cầu Phú Xuân 2</t>
        </is>
      </c>
      <c r="E68" s="4" t="inlineStr">
        <is>
          <t>1, 2</t>
        </is>
      </c>
      <c r="F68" s="4" t="n">
        <v>2</v>
      </c>
    </row>
    <row r="69">
      <c r="A69" s="4" t="inlineStr">
        <is>
          <t>HNB075</t>
        </is>
      </c>
      <c r="B69" s="4" t="inlineStr">
        <is>
          <t>MX_LVL-01</t>
        </is>
      </c>
      <c r="C69" s="4" t="inlineStr">
        <is>
          <t>C</t>
        </is>
      </c>
      <c r="D69" s="4" t="inlineStr">
        <is>
          <t>AD22 · FOCAL 2013 12FO → LVL-Ngô Quang Thắm</t>
        </is>
      </c>
      <c r="E69" s="4" t="inlineStr">
        <is>
          <t>1, 2</t>
        </is>
      </c>
      <c r="F69" s="4" t="n">
        <v>2</v>
      </c>
    </row>
    <row r="70">
      <c r="A70" s="4" t="inlineStr">
        <is>
          <t>HNB075</t>
        </is>
      </c>
      <c r="B70" s="4" t="inlineStr">
        <is>
          <t>MX_LVL-01</t>
        </is>
      </c>
      <c r="C70" s="4" t="inlineStr">
        <is>
          <t>C</t>
        </is>
      </c>
      <c r="D70" s="4" t="inlineStr">
        <is>
          <t>AD5 · FOCAL 6/2007 12FO → HNB075</t>
        </is>
      </c>
      <c r="E70" s="4" t="inlineStr">
        <is>
          <t>1, 2</t>
        </is>
      </c>
      <c r="F70" s="4" t="n">
        <v>2</v>
      </c>
    </row>
    <row r="71">
      <c r="A71" s="4" t="inlineStr">
        <is>
          <t>HNB075</t>
        </is>
      </c>
      <c r="B71" s="4" t="inlineStr">
        <is>
          <t>MX_LVL-02</t>
        </is>
      </c>
      <c r="C71" s="4" t="inlineStr">
        <is>
          <t>A</t>
        </is>
      </c>
      <c r="D71" s="4" t="inlineStr">
        <is>
          <t>AD28 · FOCAL 2013 12FO → Đào Sư Tích</t>
        </is>
      </c>
      <c r="E71" s="4" t="inlineStr">
        <is>
          <t>1, 2</t>
        </is>
      </c>
      <c r="F71" s="4" t="n">
        <v>2</v>
      </c>
    </row>
    <row r="72">
      <c r="A72" s="4" t="inlineStr">
        <is>
          <t>HNB075</t>
        </is>
      </c>
      <c r="B72" s="4" t="inlineStr">
        <is>
          <t>MX_LVL-02</t>
        </is>
      </c>
      <c r="C72" s="4" t="inlineStr">
        <is>
          <t>A</t>
        </is>
      </c>
      <c r="D72" s="4" t="inlineStr">
        <is>
          <t>AD41 · SACOM 1/2015 12FO → LVL-Ngô Quang Thắm</t>
        </is>
      </c>
      <c r="E72" s="4" t="inlineStr">
        <is>
          <t>1, 2</t>
        </is>
      </c>
      <c r="F72" s="4" t="n">
        <v>2</v>
      </c>
    </row>
    <row r="73">
      <c r="A73" s="4" t="inlineStr">
        <is>
          <t>HNB075</t>
        </is>
      </c>
      <c r="B73" s="4" t="inlineStr">
        <is>
          <t>MX_LVL-03</t>
        </is>
      </c>
      <c r="C73" s="4" t="inlineStr">
        <is>
          <t>B</t>
        </is>
      </c>
      <c r="D73" s="4" t="inlineStr">
        <is>
          <t>AD48 · VINA-OFC 2016 12FO → Đào Sư Tích</t>
        </is>
      </c>
      <c r="E73" s="4" t="inlineStr">
        <is>
          <t>1, 2</t>
        </is>
      </c>
      <c r="F73" s="4" t="n">
        <v>2</v>
      </c>
    </row>
    <row r="74">
      <c r="A74" s="4" t="inlineStr">
        <is>
          <t>HNB075</t>
        </is>
      </c>
      <c r="B74" s="4" t="inlineStr">
        <is>
          <t>MX_LVL-03</t>
        </is>
      </c>
      <c r="C74" s="4" t="inlineStr">
        <is>
          <t>B</t>
        </is>
      </c>
      <c r="D74" s="4" t="inlineStr">
        <is>
          <t>AQ61 · POSTEF 9/2019 12FO → Phạm Hữu Lầu</t>
        </is>
      </c>
      <c r="E74" s="4" t="inlineStr">
        <is>
          <t>1, 2</t>
        </is>
      </c>
      <c r="F74" s="4" t="n">
        <v>2</v>
      </c>
    </row>
    <row r="75">
      <c r="A75" s="4" t="inlineStr">
        <is>
          <t>HNB086</t>
        </is>
      </c>
      <c r="B75" s="4" t="inlineStr">
        <is>
          <t>MX_NB-01</t>
        </is>
      </c>
      <c r="C75" s="4" t="inlineStr">
        <is>
          <t>C</t>
        </is>
      </c>
      <c r="D75" s="4" t="inlineStr">
        <is>
          <t>BD112 · HƯỚNG VỀ HUỲNH TẤN PHÁT 12FO → CÁP TREO 12FO HƯỚNG VỀ HUỲNH TẤN PHÁT (MX_NB-02)</t>
        </is>
      </c>
      <c r="E75" s="4" t="inlineStr">
        <is>
          <t>7, 8</t>
        </is>
      </c>
      <c r="F75" s="4" t="n">
        <v>2</v>
      </c>
    </row>
    <row r="76">
      <c r="A76" s="4" t="inlineStr">
        <is>
          <t>HNB091</t>
        </is>
      </c>
      <c r="B76" s="4" t="inlineStr">
        <is>
          <t>MX_LVL-05</t>
        </is>
      </c>
      <c r="C76" s="4" t="inlineStr">
        <is>
          <t>D</t>
        </is>
      </c>
      <c r="D76" s="4" t="inlineStr">
        <is>
          <t>AD103 · HƯỚNG VỀ VNPT LONG THỚI 24FO → CÁP TREO 24FO HƯỚNG VỀ VNPT LONG THỚI</t>
        </is>
      </c>
      <c r="E76" s="4" t="inlineStr">
        <is>
          <t>19, 20</t>
        </is>
      </c>
      <c r="F76" s="4" t="n">
        <v>2</v>
      </c>
    </row>
    <row r="77">
      <c r="A77" s="4" t="inlineStr">
        <is>
          <t>HNB091</t>
        </is>
      </c>
      <c r="B77" s="4" t="inlineStr">
        <is>
          <t>MX_LVL-05</t>
        </is>
      </c>
      <c r="C77" s="4" t="inlineStr">
        <is>
          <t>D</t>
        </is>
      </c>
      <c r="D77" s="4" t="inlineStr">
        <is>
          <t>AP86 · 12FO → Ngô Quang Thắm</t>
        </is>
      </c>
      <c r="E77" s="4" t="inlineStr">
        <is>
          <t>1, 2</t>
        </is>
      </c>
      <c r="F77" s="4" t="n">
        <v>2</v>
      </c>
    </row>
    <row r="78">
      <c r="A78" s="4" t="inlineStr">
        <is>
          <t>HNB091</t>
        </is>
      </c>
      <c r="B78" s="4" t="inlineStr">
        <is>
          <t>MX_NB-01</t>
        </is>
      </c>
      <c r="C78" s="4" t="inlineStr">
        <is>
          <t>B</t>
        </is>
      </c>
      <c r="D78" s="4" t="inlineStr">
        <is>
          <t>AD109 · HƯỚNG VỀ LÊ VĂN LƯƠNG 24FO → CÁP TREO 24FO HƯỚNG VỀ LÊ VĂN LƯƠNG (MX_LVL-05)</t>
        </is>
      </c>
      <c r="E78" s="4" t="inlineStr">
        <is>
          <t>19, 20</t>
        </is>
      </c>
      <c r="F78" s="4" t="n">
        <v>2</v>
      </c>
    </row>
    <row r="79">
      <c r="A79" s="4" t="inlineStr">
        <is>
          <t>HNB091</t>
        </is>
      </c>
      <c r="B79" s="4" t="inlineStr">
        <is>
          <t>MX_NB-01</t>
        </is>
      </c>
      <c r="C79" s="4" t="inlineStr">
        <is>
          <t>B</t>
        </is>
      </c>
      <c r="D79" s="4" t="inlineStr">
        <is>
          <t>BD112 · HƯỚNG VỀ HUỲNH TẤN PHÁT 12FO → CÁP TREO 12FO HƯỚNG VỀ HUỲNH TẤN PHÁT (MX_NB-02)</t>
        </is>
      </c>
      <c r="E79" s="4" t="inlineStr">
        <is>
          <t>1, 2</t>
        </is>
      </c>
      <c r="F79" s="4" t="n">
        <v>2</v>
      </c>
    </row>
    <row r="80">
      <c r="A80" s="4" t="inlineStr">
        <is>
          <t>HNB094</t>
        </is>
      </c>
      <c r="B80" s="4" t="inlineStr">
        <is>
          <t>MX_HTP-01</t>
        </is>
      </c>
      <c r="C80" s="4" t="inlineStr">
        <is>
          <t>A</t>
        </is>
      </c>
      <c r="D80" s="4" t="inlineStr">
        <is>
          <t>CE48 · FOCAL 12FO → Phạm Hũu Lầu</t>
        </is>
      </c>
      <c r="E80" s="4" t="inlineStr">
        <is>
          <t>5, 6</t>
        </is>
      </c>
      <c r="F80" s="4" t="n">
        <v>2</v>
      </c>
    </row>
    <row r="81">
      <c r="A81" s="4" t="inlineStr">
        <is>
          <t>HNB094</t>
        </is>
      </c>
      <c r="B81" s="4" t="inlineStr">
        <is>
          <t>MX_HTP-01</t>
        </is>
      </c>
      <c r="C81" s="4" t="inlineStr">
        <is>
          <t>A</t>
        </is>
      </c>
      <c r="D81" s="4" t="inlineStr">
        <is>
          <t>CE61 · FOCAL 12FO → AGG-NBE22 (SG mới)</t>
        </is>
      </c>
      <c r="E81" s="4" t="inlineStr">
        <is>
          <t>5, 6</t>
        </is>
      </c>
      <c r="F81" s="4" t="n">
        <v>2</v>
      </c>
    </row>
    <row r="82">
      <c r="A82" s="4" t="inlineStr">
        <is>
          <t>HNB094</t>
        </is>
      </c>
      <c r="B82" s="4" t="inlineStr">
        <is>
          <t>MX_HTP-02</t>
        </is>
      </c>
      <c r="C82" s="4" t="inlineStr">
        <is>
          <t>A</t>
        </is>
      </c>
      <c r="D82" s="4" t="inlineStr">
        <is>
          <t>CE68 · FOCAL 12FO → cầu Phú Xuân 2</t>
        </is>
      </c>
      <c r="E82" s="4" t="inlineStr">
        <is>
          <t>5, 6</t>
        </is>
      </c>
      <c r="F82" s="4" t="n">
        <v>2</v>
      </c>
    </row>
    <row r="83">
      <c r="A83" s="4" t="inlineStr">
        <is>
          <t>HNB094</t>
        </is>
      </c>
      <c r="B83" s="4" t="inlineStr">
        <is>
          <t>MX_HTP-02</t>
        </is>
      </c>
      <c r="C83" s="4" t="inlineStr">
        <is>
          <t>A</t>
        </is>
      </c>
      <c r="D83" s="4" t="inlineStr">
        <is>
          <t>CE81 · FOCAL 12FO → AGG-NBE22 (SG mới)</t>
        </is>
      </c>
      <c r="E83" s="4" t="inlineStr">
        <is>
          <t>5, 6</t>
        </is>
      </c>
      <c r="F83" s="4" t="n">
        <v>2</v>
      </c>
    </row>
    <row r="84">
      <c r="A84" s="4" t="inlineStr">
        <is>
          <t>HNB094</t>
        </is>
      </c>
      <c r="B84" s="4" t="inlineStr">
        <is>
          <t>MX_HTP-03A</t>
        </is>
      </c>
      <c r="C84" s="4" t="inlineStr">
        <is>
          <t>A</t>
        </is>
      </c>
      <c r="D84" s="4" t="inlineStr">
        <is>
          <t>CE101 · POSTEF HƯỚNG VỀ TÒA NHÀ 24FO → CÁP TREO 24FO POSTEF HƯỚNG VỀ TÒA NHÀ (ODF-01) (cs 1570)</t>
        </is>
      </c>
      <c r="E84" s="4" t="inlineStr">
        <is>
          <t>5, 6</t>
        </is>
      </c>
      <c r="F84" s="4" t="n">
        <v>2</v>
      </c>
    </row>
    <row r="85">
      <c r="A85" s="4" t="inlineStr">
        <is>
          <t>HNB094</t>
        </is>
      </c>
      <c r="B85" s="4" t="inlineStr">
        <is>
          <t>MX_HTP-03A</t>
        </is>
      </c>
      <c r="C85" s="4" t="inlineStr">
        <is>
          <t>A</t>
        </is>
      </c>
      <c r="D85" s="4" t="inlineStr">
        <is>
          <t>CE88 · FOCAL 12FO → cầu Phú Xuân 2</t>
        </is>
      </c>
      <c r="E85" s="4" t="inlineStr">
        <is>
          <t>5, 6</t>
        </is>
      </c>
      <c r="F85" s="4" t="n">
        <v>2</v>
      </c>
    </row>
    <row r="86">
      <c r="A86" s="4" t="inlineStr">
        <is>
          <t>HNB094</t>
        </is>
      </c>
      <c r="B86" s="4" t="inlineStr">
        <is>
          <t>MX_LVL-03</t>
        </is>
      </c>
      <c r="C86" s="4" t="inlineStr">
        <is>
          <t>C</t>
        </is>
      </c>
      <c r="D86" s="4" t="inlineStr">
        <is>
          <t>AQ48 · SACOM 2014 12FO → HNB094</t>
        </is>
      </c>
      <c r="E86" s="4" t="inlineStr">
        <is>
          <t>5, 6</t>
        </is>
      </c>
      <c r="F86" s="4" t="n">
        <v>2</v>
      </c>
    </row>
    <row r="87">
      <c r="A87" s="4" t="inlineStr">
        <is>
          <t>HNB094</t>
        </is>
      </c>
      <c r="B87" s="4" t="inlineStr">
        <is>
          <t>MX_LVL-03</t>
        </is>
      </c>
      <c r="C87" s="4" t="inlineStr">
        <is>
          <t>C</t>
        </is>
      </c>
      <c r="D87" s="4" t="inlineStr">
        <is>
          <t>AQ61 · POSTEF 9/2019 12FO → Phạm Hữu Lầu</t>
        </is>
      </c>
      <c r="E87" s="4" t="inlineStr">
        <is>
          <t>5, 6</t>
        </is>
      </c>
      <c r="F87" s="4" t="n">
        <v>2</v>
      </c>
    </row>
    <row r="88">
      <c r="A88" s="4" t="inlineStr">
        <is>
          <t>HNB094</t>
        </is>
      </c>
      <c r="B88" s="4" t="inlineStr">
        <is>
          <t>MX_LVL-03</t>
        </is>
      </c>
      <c r="C88" s="4" t="inlineStr">
        <is>
          <t>E</t>
        </is>
      </c>
      <c r="D88" s="4" t="inlineStr">
        <is>
          <t>AD48 · VINA-OFC 2016 12FO → Đào Sư Tích</t>
        </is>
      </c>
      <c r="E88" s="4" t="inlineStr">
        <is>
          <t>5, 6</t>
        </is>
      </c>
      <c r="F88" s="4" t="n">
        <v>2</v>
      </c>
    </row>
    <row r="89">
      <c r="A89" s="4" t="inlineStr">
        <is>
          <t>HNB094</t>
        </is>
      </c>
      <c r="B89" s="4" t="inlineStr">
        <is>
          <t>MX_LVL-03</t>
        </is>
      </c>
      <c r="C89" s="4" t="inlineStr">
        <is>
          <t>E</t>
        </is>
      </c>
      <c r="D89" s="4" t="inlineStr">
        <is>
          <t>AQ48 · SACOM 2014 12FO → HNB094</t>
        </is>
      </c>
      <c r="E89" s="4" t="inlineStr">
        <is>
          <t>3, 4</t>
        </is>
      </c>
      <c r="F89" s="4" t="n">
        <v>2</v>
      </c>
    </row>
    <row r="90">
      <c r="A90" s="4" t="inlineStr">
        <is>
          <t>HNB094</t>
        </is>
      </c>
      <c r="B90" s="4" t="inlineStr">
        <is>
          <t>MX_LVL-03</t>
        </is>
      </c>
      <c r="C90" s="4" t="inlineStr">
        <is>
          <t>F</t>
        </is>
      </c>
      <c r="D90" s="4" t="inlineStr">
        <is>
          <t>AD61 · 12FO → LVL-Ngô Quang Thắm</t>
        </is>
      </c>
      <c r="E90" s="4" t="inlineStr">
        <is>
          <t>11, 12</t>
        </is>
      </c>
      <c r="F90" s="4" t="n">
        <v>2</v>
      </c>
    </row>
    <row r="91">
      <c r="A91" s="4" t="inlineStr">
        <is>
          <t>HNB094</t>
        </is>
      </c>
      <c r="B91" s="4" t="inlineStr">
        <is>
          <t>MX_LVL-03</t>
        </is>
      </c>
      <c r="C91" s="4" t="inlineStr">
        <is>
          <t>F</t>
        </is>
      </c>
      <c r="D91" s="4" t="inlineStr">
        <is>
          <t>AQ48 · SACOM 2014 12FO → HNB094</t>
        </is>
      </c>
      <c r="E91" s="4" t="inlineStr">
        <is>
          <t>1, 2</t>
        </is>
      </c>
      <c r="F91" s="4" t="n">
        <v>2</v>
      </c>
    </row>
    <row r="92">
      <c r="A92" s="4" t="inlineStr">
        <is>
          <t>HNB094</t>
        </is>
      </c>
      <c r="B92" s="4" t="inlineStr">
        <is>
          <t>MX_LVL-04</t>
        </is>
      </c>
      <c r="C92" s="4" t="inlineStr">
        <is>
          <t>B</t>
        </is>
      </c>
      <c r="D92" s="4" t="inlineStr">
        <is>
          <t>AA70 · POSTEF 8/2019 6FO → HNB018</t>
        </is>
      </c>
      <c r="E92" s="4" t="inlineStr">
        <is>
          <t>1, 2</t>
        </is>
      </c>
      <c r="F92" s="4" t="n">
        <v>2</v>
      </c>
    </row>
    <row r="93">
      <c r="A93" s="4" t="inlineStr">
        <is>
          <t>HNB094</t>
        </is>
      </c>
      <c r="B93" s="4" t="inlineStr">
        <is>
          <t>MX_LVL-04</t>
        </is>
      </c>
      <c r="C93" s="4" t="inlineStr">
        <is>
          <t>B</t>
        </is>
      </c>
      <c r="D93" s="4" t="inlineStr">
        <is>
          <t>AD67 · SAMTEL 3/2015 12FO → Đào Sư Tích</t>
        </is>
      </c>
      <c r="E93" s="4" t="inlineStr">
        <is>
          <t>11, 12</t>
        </is>
      </c>
      <c r="F93" s="4" t="n">
        <v>2</v>
      </c>
    </row>
    <row r="94">
      <c r="A94" s="4" t="inlineStr">
        <is>
          <t>LACG43</t>
        </is>
      </c>
      <c r="B94" s="4" t="inlineStr">
        <is>
          <t>MX_LVL-04</t>
        </is>
      </c>
      <c r="C94" s="4" t="inlineStr">
        <is>
          <t>C</t>
        </is>
      </c>
      <c r="D94" s="4" t="inlineStr">
        <is>
          <t>AD80 · 12FO → LVL-Ngô Quang Thắm</t>
        </is>
      </c>
      <c r="E94" s="4" t="inlineStr">
        <is>
          <t>7, 8</t>
        </is>
      </c>
      <c r="F94" s="4" t="n">
        <v>2</v>
      </c>
    </row>
    <row r="95">
      <c r="A95" s="4" t="inlineStr">
        <is>
          <t>LACG43</t>
        </is>
      </c>
      <c r="B95" s="4" t="inlineStr">
        <is>
          <t>MX_LVL-05</t>
        </is>
      </c>
      <c r="C95" s="4" t="inlineStr">
        <is>
          <t>B</t>
        </is>
      </c>
      <c r="D95" s="4" t="inlineStr">
        <is>
          <t>AD103 · HƯỚNG VỀ VNPT LONG THỚI 24FO → CÁP TREO 24FO HƯỚNG VỀ VNPT LONG THỚI</t>
        </is>
      </c>
      <c r="E95" s="4" t="inlineStr">
        <is>
          <t>7, 8</t>
        </is>
      </c>
      <c r="F95" s="4" t="n">
        <v>2</v>
      </c>
    </row>
    <row r="96">
      <c r="A96" s="4" t="inlineStr">
        <is>
          <t>LACG43</t>
        </is>
      </c>
      <c r="B96" s="4" t="inlineStr">
        <is>
          <t>MX_LVL-05</t>
        </is>
      </c>
      <c r="C96" s="4" t="inlineStr">
        <is>
          <t>B</t>
        </is>
      </c>
      <c r="D96" s="4" t="inlineStr">
        <is>
          <t>AD86 · 12FO → Phạm Hữu Lầu</t>
        </is>
      </c>
      <c r="E96" s="4" t="inlineStr">
        <is>
          <t>7, 8</t>
        </is>
      </c>
      <c r="F96" s="4" t="n">
        <v>2</v>
      </c>
    </row>
    <row r="97">
      <c r="A97" s="4" t="inlineStr">
        <is>
          <t>LACG43</t>
        </is>
      </c>
      <c r="B97" s="4" t="inlineStr">
        <is>
          <t>MX_NB-01</t>
        </is>
      </c>
      <c r="C97" s="4" t="inlineStr"/>
      <c r="D97" s="4" t="inlineStr">
        <is>
          <t>AD109 · HƯỚNG VỀ LÊ VĂN LƯƠNG 24FO → CÁP TREO 24FO HƯỚNG VỀ LÊ VĂN LƯƠNG (MX_LVL-05)</t>
        </is>
      </c>
      <c r="E97" s="4" t="inlineStr">
        <is>
          <t>7, 8</t>
        </is>
      </c>
      <c r="F97" s="4" t="n">
        <v>2</v>
      </c>
    </row>
    <row r="98">
      <c r="A98" s="4" t="inlineStr">
        <is>
          <t>TTC</t>
        </is>
      </c>
      <c r="B98" s="4" t="inlineStr">
        <is>
          <t>MX_NB-01</t>
        </is>
      </c>
      <c r="C98" s="4" t="inlineStr"/>
      <c r="D98" s="4" t="inlineStr">
        <is>
          <t>BD112 · HƯỚNG VỀ HUỲNH TẤN PHÁT 12FO → CÁP TREO 12FO HƯỚNG VỀ HUỲNH TẤN PHÁT (MX_NB-02)</t>
        </is>
      </c>
      <c r="E98" s="4" t="inlineStr">
        <is>
          <t>9, 10</t>
        </is>
      </c>
      <c r="F98" s="4" t="n">
        <v>2</v>
      </c>
    </row>
  </sheetData>
  <autoFilter ref="A4:F98"/>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J7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8" customWidth="1" min="2" max="2"/>
    <col width="18" customWidth="1" min="3" max="3"/>
    <col width="8" customWidth="1" min="4" max="4"/>
    <col width="7" customWidth="1" min="5" max="5"/>
    <col width="10" customWidth="1" min="6" max="6"/>
    <col width="34" customWidth="1" min="7" max="7"/>
    <col width="9" customWidth="1" min="8" max="8"/>
    <col width="10" customWidth="1" min="9" max="9"/>
    <col width="60" customWidth="1" min="10" max="10"/>
  </cols>
  <sheetData>
    <row r="1">
      <c r="A1" s="1" t="inlineStr">
        <is>
          <t>Cáp (đầu cáp) tại từng măng xông</t>
        </is>
      </c>
    </row>
    <row r="2">
      <c r="A2" s="2" t="inlineStr">
        <is>
          <t>Ô gốc = vị trí ô trong sơ đồ MX. Số core vẽ / có nhãn tính từ sheet "Core MX".</t>
        </is>
      </c>
    </row>
    <row r="4" ht="32" customHeight="1">
      <c r="A4" s="3" t="inlineStr">
        <is>
          <t>Măng xông</t>
        </is>
      </c>
      <c r="B4" s="3" t="inlineStr">
        <is>
          <t>Ô gốc</t>
        </is>
      </c>
      <c r="C4" s="3" t="inlineStr">
        <is>
          <t>Mã cáp</t>
        </is>
      </c>
      <c r="D4" s="3" t="inlineStr">
        <is>
          <t>Loại</t>
        </is>
      </c>
      <c r="E4" s="3" t="inlineStr">
        <is>
          <t>Số FO</t>
        </is>
      </c>
      <c r="F4" s="3" t="inlineStr">
        <is>
          <t>Chỉ số mét</t>
        </is>
      </c>
      <c r="G4" s="3" t="inlineStr">
        <is>
          <t>Hướng</t>
        </is>
      </c>
      <c r="H4" s="3" t="inlineStr">
        <is>
          <t>Số core vẽ</t>
        </is>
      </c>
      <c r="I4" s="3" t="inlineStr">
        <is>
          <t>Số core có nhãn</t>
        </is>
      </c>
      <c r="J4" s="3" t="inlineStr">
        <is>
          <t>Tiêu đề gốc</t>
        </is>
      </c>
    </row>
    <row r="5">
      <c r="A5" s="4" t="inlineStr">
        <is>
          <t>MX_PHẠM HÙNG</t>
        </is>
      </c>
      <c r="B5" s="4" t="inlineStr">
        <is>
          <t>K4</t>
        </is>
      </c>
      <c r="C5" s="4" t="inlineStr"/>
      <c r="D5" s="4" t="inlineStr"/>
      <c r="E5" s="4" t="n">
        <v>8</v>
      </c>
      <c r="F5" s="4" t="n"/>
      <c r="G5" s="4" t="inlineStr">
        <is>
          <t>HNB014</t>
        </is>
      </c>
      <c r="H5" s="4">
        <f>COUNTIFS('Core MX'!B:B,"MX_PHẠM HÙNG|K4")</f>
        <v/>
      </c>
      <c r="I5" s="4">
        <f>COUNTIFS('Core MX'!B:B,"MX_PHẠM HÙNG|K4",'Core MX'!F:F,"?*")</f>
        <v/>
      </c>
      <c r="J5" s="4" t="inlineStr">
        <is>
          <t>CÁP 8FO  (cs ) | Hướng vào trạm HNB014</t>
        </is>
      </c>
    </row>
    <row r="6">
      <c r="A6" s="4" t="inlineStr">
        <is>
          <t>MX_PHẠM HÙNG</t>
        </is>
      </c>
      <c r="B6" s="4" t="inlineStr">
        <is>
          <t>C17</t>
        </is>
      </c>
      <c r="C6" s="4" t="inlineStr"/>
      <c r="D6" s="4" t="inlineStr">
        <is>
          <t>treo</t>
        </is>
      </c>
      <c r="E6" s="4" t="n">
        <v>6</v>
      </c>
      <c r="F6" s="4" t="n"/>
      <c r="G6" s="4" t="inlineStr">
        <is>
          <t>HNB113</t>
        </is>
      </c>
      <c r="H6" s="4">
        <f>COUNTIFS('Core MX'!B:B,"MX_PHẠM HÙNG|C17")</f>
        <v/>
      </c>
      <c r="I6" s="4">
        <f>COUNTIFS('Core MX'!B:B,"MX_PHẠM HÙNG|C17",'Core MX'!F:F,"?*")</f>
        <v/>
      </c>
      <c r="J6" s="4" t="inlineStr">
        <is>
          <t>CÁP TREO 6FO  (chỉ số ) | To: HNB113</t>
        </is>
      </c>
    </row>
    <row r="7">
      <c r="A7" s="4" t="inlineStr">
        <is>
          <t>MX_PHẠM HÙNG</t>
        </is>
      </c>
      <c r="B7" s="4" t="inlineStr">
        <is>
          <t>K17</t>
        </is>
      </c>
      <c r="C7" s="4" t="inlineStr">
        <is>
          <t>Focal 6/2007</t>
        </is>
      </c>
      <c r="D7" s="4" t="inlineStr"/>
      <c r="E7" s="4" t="n">
        <v>8</v>
      </c>
      <c r="F7" s="4" t="n"/>
      <c r="G7" s="4" t="inlineStr">
        <is>
          <t>HNB012</t>
        </is>
      </c>
      <c r="H7" s="4">
        <f>COUNTIFS('Core MX'!B:B,"MX_PHẠM HÙNG|K17")</f>
        <v/>
      </c>
      <c r="I7" s="4">
        <f>COUNTIFS('Core MX'!B:B,"MX_PHẠM HÙNG|K17",'Core MX'!F:F,"?*")</f>
        <v/>
      </c>
      <c r="J7" s="4" t="inlineStr">
        <is>
          <t>CÁP Focal 6/2007  8FO  (cs ) | Hướng vào trạm HNB012</t>
        </is>
      </c>
    </row>
    <row r="8">
      <c r="A8" s="4" t="inlineStr">
        <is>
          <t>MX_LVL-01</t>
        </is>
      </c>
      <c r="B8" s="4" t="inlineStr">
        <is>
          <t>AD5</t>
        </is>
      </c>
      <c r="C8" s="4" t="inlineStr">
        <is>
          <t>FOCAL 6/2007</t>
        </is>
      </c>
      <c r="D8" s="4" t="inlineStr"/>
      <c r="E8" s="4" t="n">
        <v>12</v>
      </c>
      <c r="F8" s="4" t="n">
        <v>5405</v>
      </c>
      <c r="G8" s="4" t="inlineStr">
        <is>
          <t>HNB075</t>
        </is>
      </c>
      <c r="H8" s="4">
        <f>COUNTIFS('Core MX'!B:B,"MX_LVL-01|AD5")</f>
        <v/>
      </c>
      <c r="I8" s="4">
        <f>COUNTIFS('Core MX'!B:B,"MX_LVL-01|AD5",'Core MX'!F:F,"?*")</f>
        <v/>
      </c>
      <c r="J8" s="4" t="inlineStr">
        <is>
          <t>CÁP FOCAL 6/2007 12FO   (cs 5405 ) | Hướng vào trạm HNB075</t>
        </is>
      </c>
    </row>
    <row r="9">
      <c r="A9" s="4" t="inlineStr">
        <is>
          <t>MX_LVL-01</t>
        </is>
      </c>
      <c r="B9" s="4" t="inlineStr">
        <is>
          <t>AM5</t>
        </is>
      </c>
      <c r="C9" s="4" t="inlineStr">
        <is>
          <t>VINA 2018 AESS</t>
        </is>
      </c>
      <c r="D9" s="4" t="inlineStr"/>
      <c r="E9" s="4" t="n">
        <v>12</v>
      </c>
      <c r="F9" s="4" t="n">
        <v>120</v>
      </c>
      <c r="G9" s="4" t="inlineStr">
        <is>
          <t>HNB011</t>
        </is>
      </c>
      <c r="H9" s="4">
        <f>COUNTIFS('Core MX'!B:B,"MX_LVL-01|AM5")</f>
        <v/>
      </c>
      <c r="I9" s="4">
        <f>COUNTIFS('Core MX'!B:B,"MX_LVL-01|AM5",'Core MX'!F:F,"?*")</f>
        <v/>
      </c>
      <c r="J9" s="4" t="inlineStr">
        <is>
          <t>CÁP VINA 2018 AESS 12FO   (cs 0120 ) | Hướng vào trạm HNB011</t>
        </is>
      </c>
    </row>
    <row r="10">
      <c r="A10" s="4" t="inlineStr">
        <is>
          <t>MX_LVL-01</t>
        </is>
      </c>
      <c r="B10" s="4" t="inlineStr">
        <is>
          <t>AA8</t>
        </is>
      </c>
      <c r="C10" s="4" t="inlineStr">
        <is>
          <t>FOCAL 2020</t>
        </is>
      </c>
      <c r="D10" s="4" t="inlineStr">
        <is>
          <t>treo</t>
        </is>
      </c>
      <c r="E10" s="4" t="n">
        <v>12</v>
      </c>
      <c r="F10" s="4" t="n">
        <v>3972</v>
      </c>
      <c r="G10" s="4" t="inlineStr">
        <is>
          <t>Đào Sư Tích</t>
        </is>
      </c>
      <c r="H10" s="4">
        <f>COUNTIFS('Core MX'!B:B,"MX_LVL-01|AA8")</f>
        <v/>
      </c>
      <c r="I10" s="4">
        <f>COUNTIFS('Core MX'!B:B,"MX_LVL-01|AA8",'Core MX'!F:F,"?*")</f>
        <v/>
      </c>
      <c r="J10" s="4" t="inlineStr">
        <is>
          <t>CÁP TREO FOCAL 2020  | 12FO  (chỉ số  3972) | Cáp Trục hướng về Đào Sư Tích</t>
        </is>
      </c>
    </row>
    <row r="11">
      <c r="A11" s="4" t="inlineStr">
        <is>
          <t>MX_LVL-01</t>
        </is>
      </c>
      <c r="B11" s="4" t="inlineStr">
        <is>
          <t>AD22</t>
        </is>
      </c>
      <c r="C11" s="4" t="inlineStr">
        <is>
          <t>FOCAL 2013</t>
        </is>
      </c>
      <c r="D11" s="4" t="inlineStr">
        <is>
          <t>treo</t>
        </is>
      </c>
      <c r="E11" s="4" t="n">
        <v>12</v>
      </c>
      <c r="F11" s="4" t="n">
        <v>4576</v>
      </c>
      <c r="G11" s="4" t="inlineStr">
        <is>
          <t>LVL-Ngô Quang Thắm</t>
        </is>
      </c>
      <c r="H11" s="4">
        <f>COUNTIFS('Core MX'!B:B,"MX_LVL-01|AD22")</f>
        <v/>
      </c>
      <c r="I11" s="4">
        <f>COUNTIFS('Core MX'!B:B,"MX_LVL-01|AD22",'Core MX'!F:F,"?*")</f>
        <v/>
      </c>
      <c r="J11" s="4" t="inlineStr">
        <is>
          <t>CÁP TREO  FOCAL 2013 12FO  (chỉ số 4576  ) | Cáp Trục hướng về LVL-Ngô Quang Thắm</t>
        </is>
      </c>
    </row>
    <row r="12">
      <c r="A12" s="4" t="inlineStr">
        <is>
          <t>MX_DST</t>
        </is>
      </c>
      <c r="B12" s="4" t="inlineStr">
        <is>
          <t>C23</t>
        </is>
      </c>
      <c r="C12" s="4" t="inlineStr"/>
      <c r="D12" s="4" t="inlineStr"/>
      <c r="E12" s="4" t="n">
        <v>2</v>
      </c>
      <c r="F12" s="4" t="n"/>
      <c r="G12" s="4" t="inlineStr">
        <is>
          <t>bến đò băng sông</t>
        </is>
      </c>
      <c r="H12" s="4">
        <f>COUNTIFS('Core MX'!B:B,"MX_DST|C23")</f>
        <v/>
      </c>
      <c r="I12" s="4">
        <f>COUNTIFS('Core MX'!B:B,"MX_DST|C23",'Core MX'!F:F,"?*")</f>
        <v/>
      </c>
      <c r="J12" s="4" t="inlineStr">
        <is>
          <t>CÁP 2FO  (cs ) | Hướng bến đò băng sông</t>
        </is>
      </c>
    </row>
    <row r="13">
      <c r="A13" s="4" t="inlineStr">
        <is>
          <t>MX_DST</t>
        </is>
      </c>
      <c r="B13" s="4" t="inlineStr">
        <is>
          <t>L23</t>
        </is>
      </c>
      <c r="C13" s="4" t="inlineStr"/>
      <c r="D13" s="4" t="inlineStr">
        <is>
          <t>treo</t>
        </is>
      </c>
      <c r="E13" s="4" t="n">
        <v>12</v>
      </c>
      <c r="F13" s="4" t="n"/>
      <c r="G13" s="4" t="inlineStr">
        <is>
          <t>LVL(MX_LVL_01)</t>
        </is>
      </c>
      <c r="H13" s="4">
        <f>COUNTIFS('Core MX'!B:B,"MX_DST|L23")</f>
        <v/>
      </c>
      <c r="I13" s="4">
        <f>COUNTIFS('Core MX'!B:B,"MX_DST|L23",'Core MX'!F:F,"?*")</f>
        <v/>
      </c>
      <c r="J13" s="4" t="inlineStr">
        <is>
          <t>CÁP TREO  12FO   (chỉ số  ) | Cáp Trục hướng về LVL(MX_LVL_01)</t>
        </is>
      </c>
    </row>
    <row r="14">
      <c r="A14" s="4" t="inlineStr">
        <is>
          <t>MX_DST</t>
        </is>
      </c>
      <c r="B14" s="4" t="inlineStr">
        <is>
          <t>L36</t>
        </is>
      </c>
      <c r="C14" s="4" t="inlineStr"/>
      <c r="D14" s="4" t="inlineStr">
        <is>
          <t>treo</t>
        </is>
      </c>
      <c r="E14" s="4" t="n">
        <v>12</v>
      </c>
      <c r="F14" s="4" t="n"/>
      <c r="G14" s="4" t="inlineStr">
        <is>
          <t>Long Thới  (MX_LVL_05)</t>
        </is>
      </c>
      <c r="H14" s="4">
        <f>COUNTIFS('Core MX'!B:B,"MX_DST|L36")</f>
        <v/>
      </c>
      <c r="I14" s="4">
        <f>COUNTIFS('Core MX'!B:B,"MX_DST|L36",'Core MX'!F:F,"?*")</f>
        <v/>
      </c>
      <c r="J14" s="4" t="inlineStr">
        <is>
          <t>CÁP TREO 12FO  (chỉ số ) | Cáp Trục hướng về Long Thới  (MX_LVL_05)</t>
        </is>
      </c>
    </row>
    <row r="15">
      <c r="A15" s="4" t="inlineStr">
        <is>
          <t>MX_LVL-02</t>
        </is>
      </c>
      <c r="B15" s="4" t="inlineStr">
        <is>
          <t>AD28</t>
        </is>
      </c>
      <c r="C15" s="4" t="inlineStr">
        <is>
          <t>FOCAL 2013</t>
        </is>
      </c>
      <c r="D15" s="4" t="inlineStr">
        <is>
          <t>treo</t>
        </is>
      </c>
      <c r="E15" s="4" t="n">
        <v>12</v>
      </c>
      <c r="F15" s="4" t="n">
        <v>4058</v>
      </c>
      <c r="G15" s="4" t="inlineStr">
        <is>
          <t>Đào Sư Tích</t>
        </is>
      </c>
      <c r="H15" s="4">
        <f>COUNTIFS('Core MX'!B:B,"MX_LVL-02|AD28")</f>
        <v/>
      </c>
      <c r="I15" s="4">
        <f>COUNTIFS('Core MX'!B:B,"MX_LVL-02|AD28",'Core MX'!F:F,"?*")</f>
        <v/>
      </c>
      <c r="J15" s="4" t="inlineStr">
        <is>
          <t>CÁP TREO  FOCAL 2013 12FO  (chỉ số 4058 ) | Cáp Trục hướng về Đào Sư Tích</t>
        </is>
      </c>
    </row>
    <row r="16">
      <c r="A16" s="4" t="inlineStr">
        <is>
          <t>MX_LVL-02</t>
        </is>
      </c>
      <c r="B16" s="4" t="inlineStr">
        <is>
          <t>AQ28</t>
        </is>
      </c>
      <c r="C16" s="4" t="inlineStr">
        <is>
          <t>POSTEF 6/2019</t>
        </is>
      </c>
      <c r="D16" s="4" t="inlineStr"/>
      <c r="E16" s="4" t="n">
        <v>8</v>
      </c>
      <c r="F16" s="4" t="n">
        <v>1068</v>
      </c>
      <c r="G16" s="4" t="inlineStr">
        <is>
          <t>HNB055</t>
        </is>
      </c>
      <c r="H16" s="4">
        <f>COUNTIFS('Core MX'!B:B,"MX_LVL-02|AQ28")</f>
        <v/>
      </c>
      <c r="I16" s="4">
        <f>COUNTIFS('Core MX'!B:B,"MX_LVL-02|AQ28",'Core MX'!F:F,"?*")</f>
        <v/>
      </c>
      <c r="J16" s="4" t="inlineStr">
        <is>
          <t>CÁP  POSTEF 6/2019 8FO  (cs 1068 ) | Hướng vào trạm HNB055</t>
        </is>
      </c>
    </row>
    <row r="17">
      <c r="A17" s="4" t="inlineStr">
        <is>
          <t>MX_LVL-02</t>
        </is>
      </c>
      <c r="B17" s="4" t="inlineStr">
        <is>
          <t>AA31</t>
        </is>
      </c>
      <c r="C17" s="4" t="inlineStr"/>
      <c r="D17" s="4" t="inlineStr"/>
      <c r="E17" s="4" t="n"/>
      <c r="F17" s="4" t="n"/>
      <c r="G17" s="4" t="inlineStr"/>
      <c r="H17" s="4">
        <f>COUNTIFS('Core MX'!B:B,"MX_LVL-02|AA31")</f>
        <v/>
      </c>
      <c r="I17" s="4">
        <f>COUNTIFS('Core MX'!B:B,"MX_LVL-02|AA31",'Core MX'!F:F,"?*")</f>
        <v/>
      </c>
      <c r="J17" s="4" t="inlineStr"/>
    </row>
    <row r="18">
      <c r="A18" s="4" t="inlineStr">
        <is>
          <t>MX_LVL-02</t>
        </is>
      </c>
      <c r="B18" s="4" t="inlineStr">
        <is>
          <t>AD41</t>
        </is>
      </c>
      <c r="C18" s="4" t="inlineStr">
        <is>
          <t>SACOM 1/2015</t>
        </is>
      </c>
      <c r="D18" s="4" t="inlineStr">
        <is>
          <t>treo</t>
        </is>
      </c>
      <c r="E18" s="4" t="n">
        <v>12</v>
      </c>
      <c r="F18" s="4" t="n">
        <v>2854</v>
      </c>
      <c r="G18" s="4" t="inlineStr">
        <is>
          <t>LVL-Ngô Quang Thắm</t>
        </is>
      </c>
      <c r="H18" s="4">
        <f>COUNTIFS('Core MX'!B:B,"MX_LVL-02|AD41")</f>
        <v/>
      </c>
      <c r="I18" s="4">
        <f>COUNTIFS('Core MX'!B:B,"MX_LVL-02|AD41",'Core MX'!F:F,"?*")</f>
        <v/>
      </c>
      <c r="J18" s="4" t="inlineStr">
        <is>
          <t>CÁP TREO SACOM 1/2015 12FO  (chỉ số 2854) | Cáp Trục hướng về LVL-Ngô Quang Thắm</t>
        </is>
      </c>
    </row>
    <row r="19">
      <c r="A19" s="4" t="inlineStr">
        <is>
          <t>MX_LVL-02</t>
        </is>
      </c>
      <c r="B19" s="4" t="inlineStr">
        <is>
          <t>AQ41</t>
        </is>
      </c>
      <c r="C19" s="4" t="inlineStr">
        <is>
          <t>SACOM 3.2016</t>
        </is>
      </c>
      <c r="D19" s="4" t="inlineStr"/>
      <c r="E19" s="4" t="n">
        <v>8</v>
      </c>
      <c r="F19" s="4" t="n">
        <v>394</v>
      </c>
      <c r="G19" s="4" t="inlineStr">
        <is>
          <t>HNB065</t>
        </is>
      </c>
      <c r="H19" s="4">
        <f>COUNTIFS('Core MX'!B:B,"MX_LVL-02|AQ41")</f>
        <v/>
      </c>
      <c r="I19" s="4">
        <f>COUNTIFS('Core MX'!B:B,"MX_LVL-02|AQ41",'Core MX'!F:F,"?*")</f>
        <v/>
      </c>
      <c r="J19" s="4" t="inlineStr">
        <is>
          <t>CÁP SACOM 3.2016 8FO  (cs 0394) | Hướng vào trạm HNB065</t>
        </is>
      </c>
    </row>
    <row r="20">
      <c r="A20" s="4" t="inlineStr">
        <is>
          <t>MX_LVL-03</t>
        </is>
      </c>
      <c r="B20" s="4" t="inlineStr">
        <is>
          <t>AD48</t>
        </is>
      </c>
      <c r="C20" s="4" t="inlineStr">
        <is>
          <t>VINA-OFC 2016</t>
        </is>
      </c>
      <c r="D20" s="4" t="inlineStr">
        <is>
          <t>treo</t>
        </is>
      </c>
      <c r="E20" s="4" t="n">
        <v>12</v>
      </c>
      <c r="F20" s="4" t="n">
        <v>120</v>
      </c>
      <c r="G20" s="4" t="inlineStr">
        <is>
          <t>Đào Sư Tích</t>
        </is>
      </c>
      <c r="H20" s="4">
        <f>COUNTIFS('Core MX'!B:B,"MX_LVL-03|AD48")</f>
        <v/>
      </c>
      <c r="I20" s="4">
        <f>COUNTIFS('Core MX'!B:B,"MX_LVL-03|AD48",'Core MX'!F:F,"?*")</f>
        <v/>
      </c>
      <c r="J20" s="4" t="inlineStr">
        <is>
          <t>CÁP TREO VINA-OFC 2016 12FO  (chỉ số  0120) | Cáp Trục hướng về Đào Sư Tích</t>
        </is>
      </c>
    </row>
    <row r="21">
      <c r="A21" s="4" t="inlineStr">
        <is>
          <t>MX_LVL-03</t>
        </is>
      </c>
      <c r="B21" s="4" t="inlineStr">
        <is>
          <t>AQ48</t>
        </is>
      </c>
      <c r="C21" s="4" t="inlineStr">
        <is>
          <t>SACOM 2014</t>
        </is>
      </c>
      <c r="D21" s="4" t="inlineStr"/>
      <c r="E21" s="4" t="n">
        <v>12</v>
      </c>
      <c r="F21" s="4" t="n">
        <v>1131</v>
      </c>
      <c r="G21" s="4" t="inlineStr">
        <is>
          <t>HNB094</t>
        </is>
      </c>
      <c r="H21" s="4">
        <f>COUNTIFS('Core MX'!B:B,"MX_LVL-03|AQ48")</f>
        <v/>
      </c>
      <c r="I21" s="4">
        <f>COUNTIFS('Core MX'!B:B,"MX_LVL-03|AQ48",'Core MX'!F:F,"?*")</f>
        <v/>
      </c>
      <c r="J21" s="4" t="inlineStr">
        <is>
          <t>CÁP SACOM 2014  12FO  (cs 1131 ) | Hướng vào trạm HNB094</t>
        </is>
      </c>
    </row>
    <row r="22">
      <c r="A22" s="4" t="inlineStr">
        <is>
          <t>MX_LVL-03</t>
        </is>
      </c>
      <c r="B22" s="4" t="inlineStr">
        <is>
          <t>AD61</t>
        </is>
      </c>
      <c r="C22" s="4" t="inlineStr"/>
      <c r="D22" s="4" t="inlineStr">
        <is>
          <t>treo</t>
        </is>
      </c>
      <c r="E22" s="4" t="n">
        <v>12</v>
      </c>
      <c r="F22" s="4" t="n"/>
      <c r="G22" s="4" t="inlineStr">
        <is>
          <t>LVL-Ngô Quang Thắm</t>
        </is>
      </c>
      <c r="H22" s="4">
        <f>COUNTIFS('Core MX'!B:B,"MX_LVL-03|AD61")</f>
        <v/>
      </c>
      <c r="I22" s="4">
        <f>COUNTIFS('Core MX'!B:B,"MX_LVL-03|AD61",'Core MX'!F:F,"?*")</f>
        <v/>
      </c>
      <c r="J22" s="4" t="inlineStr">
        <is>
          <t>CÁP TREO 12FO  (chỉ số ) | Cáp Trục hướng về LVL-Ngô Quang Thắm</t>
        </is>
      </c>
    </row>
    <row r="23">
      <c r="A23" s="4" t="inlineStr">
        <is>
          <t>MX_LVL-03</t>
        </is>
      </c>
      <c r="B23" s="4" t="inlineStr">
        <is>
          <t>AQ61</t>
        </is>
      </c>
      <c r="C23" s="4" t="inlineStr">
        <is>
          <t>POSTEF 9/2019</t>
        </is>
      </c>
      <c r="D23" s="4" t="inlineStr">
        <is>
          <t>treo</t>
        </is>
      </c>
      <c r="E23" s="4" t="n">
        <v>12</v>
      </c>
      <c r="F23" s="4" t="n">
        <v>44</v>
      </c>
      <c r="G23" s="4" t="inlineStr">
        <is>
          <t>Phạm Hữu Lầu</t>
        </is>
      </c>
      <c r="H23" s="4">
        <f>COUNTIFS('Core MX'!B:B,"MX_LVL-03|AQ61")</f>
        <v/>
      </c>
      <c r="I23" s="4">
        <f>COUNTIFS('Core MX'!B:B,"MX_LVL-03|AQ61",'Core MX'!F:F,"?*")</f>
        <v/>
      </c>
      <c r="J23" s="4" t="inlineStr">
        <is>
          <t>CÁP TREO POSTEF 9/2019 12FO  (chỉ số 0044 ) | Cáp Trục hướng về Phạm Hữu Lầu</t>
        </is>
      </c>
    </row>
    <row r="24">
      <c r="A24" s="4" t="inlineStr">
        <is>
          <t>MX_HTP-01</t>
        </is>
      </c>
      <c r="B24" s="4" t="inlineStr">
        <is>
          <t>CE48</t>
        </is>
      </c>
      <c r="C24" s="4" t="inlineStr">
        <is>
          <t>FOCAL</t>
        </is>
      </c>
      <c r="D24" s="4" t="inlineStr">
        <is>
          <t>treo</t>
        </is>
      </c>
      <c r="E24" s="4" t="n">
        <v>12</v>
      </c>
      <c r="F24" s="4" t="n"/>
      <c r="G24" s="4" t="inlineStr">
        <is>
          <t>Phạm Hũu Lầu</t>
        </is>
      </c>
      <c r="H24" s="4">
        <f>COUNTIFS('Core MX'!B:B,"MX_HTP-01|CE48")</f>
        <v/>
      </c>
      <c r="I24" s="4">
        <f>COUNTIFS('Core MX'!B:B,"MX_HTP-01|CE48",'Core MX'!F:F,"?*")</f>
        <v/>
      </c>
      <c r="J24" s="4" t="inlineStr">
        <is>
          <t>CÁP TREO 12FO FOCAL (chỉ số ) | Cáp Trục hướng về Phạm Hũu Lầu</t>
        </is>
      </c>
    </row>
    <row r="25">
      <c r="A25" s="4" t="inlineStr">
        <is>
          <t>MX_HTP-01</t>
        </is>
      </c>
      <c r="B25" s="4" t="inlineStr">
        <is>
          <t>CR48</t>
        </is>
      </c>
      <c r="C25" s="4" t="inlineStr">
        <is>
          <t>POSTEF 2016</t>
        </is>
      </c>
      <c r="D25" s="4" t="inlineStr">
        <is>
          <t>tròn</t>
        </is>
      </c>
      <c r="E25" s="4" t="n">
        <v>8</v>
      </c>
      <c r="F25" s="4" t="n"/>
      <c r="G25" s="4" t="inlineStr">
        <is>
          <t>HNB066</t>
        </is>
      </c>
      <c r="H25" s="4">
        <f>COUNTIFS('Core MX'!B:B,"MX_HTP-01|CR48")</f>
        <v/>
      </c>
      <c r="I25" s="4">
        <f>COUNTIFS('Core MX'!B:B,"MX_HTP-01|CR48",'Core MX'!F:F,"?*")</f>
        <v/>
      </c>
      <c r="J25" s="4" t="inlineStr">
        <is>
          <t>CÁP TRÒN 8FO POSTEF 2016 (cs ) | Hướng vào trạm HNB066</t>
        </is>
      </c>
    </row>
    <row r="26">
      <c r="A26" s="4" t="inlineStr">
        <is>
          <t>MX_HTP-01</t>
        </is>
      </c>
      <c r="B26" s="4" t="inlineStr">
        <is>
          <t>CE61</t>
        </is>
      </c>
      <c r="C26" s="4" t="inlineStr">
        <is>
          <t>FOCAL</t>
        </is>
      </c>
      <c r="D26" s="4" t="inlineStr">
        <is>
          <t>treo</t>
        </is>
      </c>
      <c r="E26" s="4" t="n">
        <v>12</v>
      </c>
      <c r="F26" s="4" t="n"/>
      <c r="G26" s="4" t="inlineStr">
        <is>
          <t>AGG-NBE22 (SG mới)</t>
        </is>
      </c>
      <c r="H26" s="4">
        <f>COUNTIFS('Core MX'!B:B,"MX_HTP-01|CE61")</f>
        <v/>
      </c>
      <c r="I26" s="4">
        <f>COUNTIFS('Core MX'!B:B,"MX_HTP-01|CE61",'Core MX'!F:F,"?*")</f>
        <v/>
      </c>
      <c r="J26" s="4" t="inlineStr">
        <is>
          <t>CÁP TREO 12FO FOCAL (chỉ số ) | Cáp Trục hướng về AGG-NBE22 (SG mới)</t>
        </is>
      </c>
    </row>
    <row r="27">
      <c r="A27" s="4" t="inlineStr">
        <is>
          <t>MX_LVL-04</t>
        </is>
      </c>
      <c r="B27" s="4" t="inlineStr">
        <is>
          <t>AD67</t>
        </is>
      </c>
      <c r="C27" s="4" t="inlineStr">
        <is>
          <t>SAMTEL 3/2015</t>
        </is>
      </c>
      <c r="D27" s="4" t="inlineStr">
        <is>
          <t>treo</t>
        </is>
      </c>
      <c r="E27" s="4" t="n">
        <v>12</v>
      </c>
      <c r="F27" s="4" t="n">
        <v>7426</v>
      </c>
      <c r="G27" s="4" t="inlineStr">
        <is>
          <t>Đào Sư Tích</t>
        </is>
      </c>
      <c r="H27" s="4">
        <f>COUNTIFS('Core MX'!B:B,"MX_LVL-04|AD67")</f>
        <v/>
      </c>
      <c r="I27" s="4">
        <f>COUNTIFS('Core MX'!B:B,"MX_LVL-04|AD67",'Core MX'!F:F,"?*")</f>
        <v/>
      </c>
      <c r="J27" s="4" t="inlineStr">
        <is>
          <t>CÁP TREO SAMTEL 12FO 3/2015  (chỉ số  7426) | Cáp Trục hướng về Đào Sư Tích</t>
        </is>
      </c>
    </row>
    <row r="28">
      <c r="A28" s="4" t="inlineStr">
        <is>
          <t>MX_LVL-04</t>
        </is>
      </c>
      <c r="B28" s="4" t="inlineStr">
        <is>
          <t>AA70</t>
        </is>
      </c>
      <c r="C28" s="4" t="inlineStr">
        <is>
          <t>POSTEF 8/2019</t>
        </is>
      </c>
      <c r="D28" s="4" t="inlineStr"/>
      <c r="E28" s="4" t="n">
        <v>6</v>
      </c>
      <c r="F28" s="4" t="n"/>
      <c r="G28" s="4" t="inlineStr">
        <is>
          <t>HNB018</t>
        </is>
      </c>
      <c r="H28" s="4">
        <f>COUNTIFS('Core MX'!B:B,"MX_LVL-04|AA70")</f>
        <v/>
      </c>
      <c r="I28" s="4">
        <f>COUNTIFS('Core MX'!B:B,"MX_LVL-04|AA70",'Core MX'!F:F,"?*")</f>
        <v/>
      </c>
      <c r="J28" s="4" t="inlineStr">
        <is>
          <t>CÁP POSTEF 8/2019 6FO  (cs ) | Hướng vào trạm HNB018</t>
        </is>
      </c>
    </row>
    <row r="29">
      <c r="A29" s="4" t="inlineStr">
        <is>
          <t>MX_LVL-04</t>
        </is>
      </c>
      <c r="B29" s="4" t="inlineStr">
        <is>
          <t>AR70</t>
        </is>
      </c>
      <c r="C29" s="4" t="inlineStr"/>
      <c r="D29" s="4" t="inlineStr"/>
      <c r="E29" s="4" t="n"/>
      <c r="F29" s="4" t="n"/>
      <c r="G29" s="4" t="inlineStr"/>
      <c r="H29" s="4">
        <f>COUNTIFS('Core MX'!B:B,"MX_LVL-04|AR70")</f>
        <v/>
      </c>
      <c r="I29" s="4">
        <f>COUNTIFS('Core MX'!B:B,"MX_LVL-04|AR70",'Core MX'!F:F,"?*")</f>
        <v/>
      </c>
      <c r="J29" s="4" t="inlineStr"/>
    </row>
    <row r="30">
      <c r="A30" s="4" t="inlineStr">
        <is>
          <t>MX_LVL-04</t>
        </is>
      </c>
      <c r="B30" s="4" t="inlineStr">
        <is>
          <t>AD80</t>
        </is>
      </c>
      <c r="C30" s="4" t="inlineStr"/>
      <c r="D30" s="4" t="inlineStr">
        <is>
          <t>treo</t>
        </is>
      </c>
      <c r="E30" s="4" t="n">
        <v>12</v>
      </c>
      <c r="F30" s="4" t="n"/>
      <c r="G30" s="4" t="inlineStr">
        <is>
          <t>LVL-Ngô Quang Thắm</t>
        </is>
      </c>
      <c r="H30" s="4">
        <f>COUNTIFS('Core MX'!B:B,"MX_LVL-04|AD80")</f>
        <v/>
      </c>
      <c r="I30" s="4">
        <f>COUNTIFS('Core MX'!B:B,"MX_LVL-04|AD80",'Core MX'!F:F,"?*")</f>
        <v/>
      </c>
      <c r="J30" s="4" t="inlineStr">
        <is>
          <t>CÁP TREO 12FO  (chỉ số ) | Cáp Trục hướng về LVL-Ngô Quang Thắm</t>
        </is>
      </c>
    </row>
    <row r="31">
      <c r="A31" s="4" t="inlineStr">
        <is>
          <t>MX_HTP-02</t>
        </is>
      </c>
      <c r="B31" s="4" t="inlineStr">
        <is>
          <t>CE68</t>
        </is>
      </c>
      <c r="C31" s="4" t="inlineStr">
        <is>
          <t>FOCAL</t>
        </is>
      </c>
      <c r="D31" s="4" t="inlineStr">
        <is>
          <t>treo</t>
        </is>
      </c>
      <c r="E31" s="4" t="n">
        <v>12</v>
      </c>
      <c r="F31" s="4" t="n"/>
      <c r="G31" s="4" t="inlineStr">
        <is>
          <t>cầu Phú Xuân 2</t>
        </is>
      </c>
      <c r="H31" s="4">
        <f>COUNTIFS('Core MX'!B:B,"MX_HTP-02|CE68")</f>
        <v/>
      </c>
      <c r="I31" s="4">
        <f>COUNTIFS('Core MX'!B:B,"MX_HTP-02|CE68",'Core MX'!F:F,"?*")</f>
        <v/>
      </c>
      <c r="J31" s="4" t="inlineStr">
        <is>
          <t>CÁP TREO 12FO FOCAL (chỉ số ) | Cáp Trục hướng về cầu Phú Xuân 2</t>
        </is>
      </c>
    </row>
    <row r="32">
      <c r="A32" s="4" t="inlineStr">
        <is>
          <t>MX_HTP-02</t>
        </is>
      </c>
      <c r="B32" s="4" t="inlineStr">
        <is>
          <t>CB71</t>
        </is>
      </c>
      <c r="C32" s="4" t="inlineStr">
        <is>
          <t>POSTEF 1/2019</t>
        </is>
      </c>
      <c r="D32" s="4" t="inlineStr">
        <is>
          <t>tròn</t>
        </is>
      </c>
      <c r="E32" s="4" t="n">
        <v>8</v>
      </c>
      <c r="F32" s="4" t="n"/>
      <c r="G32" s="4" t="inlineStr">
        <is>
          <t>HNB038</t>
        </is>
      </c>
      <c r="H32" s="4">
        <f>COUNTIFS('Core MX'!B:B,"MX_HTP-02|CB71")</f>
        <v/>
      </c>
      <c r="I32" s="4">
        <f>COUNTIFS('Core MX'!B:B,"MX_HTP-02|CB71",'Core MX'!F:F,"?*")</f>
        <v/>
      </c>
      <c r="J32" s="4" t="inlineStr">
        <is>
          <t>CÁP TRÒN 8FO POSTEF 1/2019 (cs ) | Hướng vào trạm HNB038</t>
        </is>
      </c>
    </row>
    <row r="33">
      <c r="A33" s="4" t="inlineStr">
        <is>
          <t>MX_HTP-02</t>
        </is>
      </c>
      <c r="B33" s="4" t="inlineStr">
        <is>
          <t>CE81</t>
        </is>
      </c>
      <c r="C33" s="4" t="inlineStr">
        <is>
          <t>FOCAL</t>
        </is>
      </c>
      <c r="D33" s="4" t="inlineStr">
        <is>
          <t>treo</t>
        </is>
      </c>
      <c r="E33" s="4" t="n">
        <v>12</v>
      </c>
      <c r="F33" s="4" t="n"/>
      <c r="G33" s="4" t="inlineStr">
        <is>
          <t>AGG-NBE22 (SG mới)</t>
        </is>
      </c>
      <c r="H33" s="4">
        <f>COUNTIFS('Core MX'!B:B,"MX_HTP-02|CE81")</f>
        <v/>
      </c>
      <c r="I33" s="4">
        <f>COUNTIFS('Core MX'!B:B,"MX_HTP-02|CE81",'Core MX'!F:F,"?*")</f>
        <v/>
      </c>
      <c r="J33" s="4" t="inlineStr">
        <is>
          <t>CÁP TREO 12FO FOCAL (chỉ số ) | Cáp Trục hướng về AGG-NBE22 (SG mới)</t>
        </is>
      </c>
    </row>
    <row r="34">
      <c r="A34" s="4" t="inlineStr">
        <is>
          <t>MX_HTP-02</t>
        </is>
      </c>
      <c r="B34" s="4" t="inlineStr">
        <is>
          <t>CR81</t>
        </is>
      </c>
      <c r="C34" s="4" t="inlineStr">
        <is>
          <t>Vina-OFC AESS2016</t>
        </is>
      </c>
      <c r="D34" s="4" t="inlineStr">
        <is>
          <t>treo</t>
        </is>
      </c>
      <c r="E34" s="4" t="n">
        <v>8</v>
      </c>
      <c r="F34" s="4" t="n"/>
      <c r="G34" s="4" t="inlineStr">
        <is>
          <t>HNB005</t>
        </is>
      </c>
      <c r="H34" s="4">
        <f>COUNTIFS('Core MX'!B:B,"MX_HTP-02|CR81")</f>
        <v/>
      </c>
      <c r="I34" s="4">
        <f>COUNTIFS('Core MX'!B:B,"MX_HTP-02|CR81",'Core MX'!F:F,"?*")</f>
        <v/>
      </c>
      <c r="J34" s="4" t="inlineStr">
        <is>
          <t>CÁP TREO 8FO Vina-OFC AESS2016 (cs ) | Hướng vào trạm HNB005</t>
        </is>
      </c>
    </row>
    <row r="35">
      <c r="A35" s="4" t="inlineStr">
        <is>
          <t>MX_LVL-05</t>
        </is>
      </c>
      <c r="B35" s="4" t="inlineStr">
        <is>
          <t>AD86</t>
        </is>
      </c>
      <c r="C35" s="4" t="inlineStr"/>
      <c r="D35" s="4" t="inlineStr">
        <is>
          <t>treo</t>
        </is>
      </c>
      <c r="E35" s="4" t="n">
        <v>12</v>
      </c>
      <c r="F35" s="4" t="n"/>
      <c r="G35" s="4" t="inlineStr">
        <is>
          <t>Phạm Hữu Lầu</t>
        </is>
      </c>
      <c r="H35" s="4">
        <f>COUNTIFS('Core MX'!B:B,"MX_LVL-05|AD86")</f>
        <v/>
      </c>
      <c r="I35" s="4">
        <f>COUNTIFS('Core MX'!B:B,"MX_LVL-05|AD86",'Core MX'!F:F,"?*")</f>
        <v/>
      </c>
      <c r="J35" s="4" t="inlineStr">
        <is>
          <t>CÁP TREO 12FO  (chỉ số ) | Cáp Trục LVL hướng về Phạm Hữu Lầu</t>
        </is>
      </c>
    </row>
    <row r="36">
      <c r="A36" s="4" t="inlineStr">
        <is>
          <t>MX_LVL-05</t>
        </is>
      </c>
      <c r="B36" s="4" t="inlineStr">
        <is>
          <t>AP86</t>
        </is>
      </c>
      <c r="C36" s="4" t="inlineStr"/>
      <c r="D36" s="4" t="inlineStr">
        <is>
          <t>treo</t>
        </is>
      </c>
      <c r="E36" s="4" t="n">
        <v>12</v>
      </c>
      <c r="F36" s="4" t="n"/>
      <c r="G36" s="4" t="inlineStr">
        <is>
          <t>Ngô Quang Thắm</t>
        </is>
      </c>
      <c r="H36" s="4">
        <f>COUNTIFS('Core MX'!B:B,"MX_LVL-05|AP86")</f>
        <v/>
      </c>
      <c r="I36" s="4">
        <f>COUNTIFS('Core MX'!B:B,"MX_LVL-05|AP86",'Core MX'!F:F,"?*")</f>
        <v/>
      </c>
      <c r="J36" s="4" t="inlineStr">
        <is>
          <t>CÁP TREO 12FO  (chỉ số ) | Cáp Trục LVL hướng về Ngô Quang Thắm</t>
        </is>
      </c>
    </row>
    <row r="37">
      <c r="A37" s="4" t="inlineStr">
        <is>
          <t>MX_LVL-05</t>
        </is>
      </c>
      <c r="B37" s="4" t="inlineStr">
        <is>
          <t>AA89</t>
        </is>
      </c>
      <c r="C37" s="4" t="inlineStr"/>
      <c r="D37" s="4" t="inlineStr">
        <is>
          <t>treo</t>
        </is>
      </c>
      <c r="E37" s="4" t="n">
        <v>12</v>
      </c>
      <c r="F37" s="4" t="n"/>
      <c r="G37" s="4" t="inlineStr">
        <is>
          <t>Đào Sư Tích</t>
        </is>
      </c>
      <c r="H37" s="4">
        <f>COUNTIFS('Core MX'!B:B,"MX_LVL-05|AA89")</f>
        <v/>
      </c>
      <c r="I37" s="4">
        <f>COUNTIFS('Core MX'!B:B,"MX_LVL-05|AA89",'Core MX'!F:F,"?*")</f>
        <v/>
      </c>
      <c r="J37" s="4" t="inlineStr">
        <is>
          <t>CÁP TREO 12FO  (chỉ số ) | Cáp Trục Nguyễn Bình hướng về Đào Sư Tích</t>
        </is>
      </c>
    </row>
    <row r="38">
      <c r="A38" s="4" t="inlineStr">
        <is>
          <t>MX_LVL-05</t>
        </is>
      </c>
      <c r="B38" s="4" t="inlineStr">
        <is>
          <t>AD103</t>
        </is>
      </c>
      <c r="C38" s="4" t="inlineStr">
        <is>
          <t>HƯỚNG VỀ VNPT LONG THỚI</t>
        </is>
      </c>
      <c r="D38" s="4" t="inlineStr">
        <is>
          <t>treo</t>
        </is>
      </c>
      <c r="E38" s="4" t="n">
        <v>24</v>
      </c>
      <c r="F38" s="4" t="n"/>
      <c r="G38" s="4" t="inlineStr"/>
      <c r="H38" s="4">
        <f>COUNTIFS('Core MX'!B:B,"MX_LVL-05|AD103")</f>
        <v/>
      </c>
      <c r="I38" s="4">
        <f>COUNTIFS('Core MX'!B:B,"MX_LVL-05|AD103",'Core MX'!F:F,"?*")</f>
        <v/>
      </c>
      <c r="J38" s="4" t="inlineStr">
        <is>
          <t>CÁP TREO 24FO HƯỚNG VỀ VNPT LONG THỚI</t>
        </is>
      </c>
    </row>
    <row r="39">
      <c r="A39" s="4" t="inlineStr">
        <is>
          <t>MX_HTP-03A</t>
        </is>
      </c>
      <c r="B39" s="4" t="inlineStr">
        <is>
          <t>CE88</t>
        </is>
      </c>
      <c r="C39" s="4" t="inlineStr">
        <is>
          <t>FOCAL</t>
        </is>
      </c>
      <c r="D39" s="4" t="inlineStr">
        <is>
          <t>treo</t>
        </is>
      </c>
      <c r="E39" s="4" t="n">
        <v>12</v>
      </c>
      <c r="F39" s="4" t="n">
        <v>4000</v>
      </c>
      <c r="G39" s="4" t="inlineStr">
        <is>
          <t>cầu Phú Xuân 2</t>
        </is>
      </c>
      <c r="H39" s="4">
        <f>COUNTIFS('Core MX'!B:B,"MX_HTP-03A|CE88")</f>
        <v/>
      </c>
      <c r="I39" s="4">
        <f>COUNTIFS('Core MX'!B:B,"MX_HTP-03A|CE88",'Core MX'!F:F,"?*")</f>
        <v/>
      </c>
      <c r="J39" s="4" t="inlineStr">
        <is>
          <t>CÁP TREO 12FO FOCAL (chỉ số 4000) | Cáp Trục hướng về cầu Phú Xuân 2</t>
        </is>
      </c>
    </row>
    <row r="40">
      <c r="A40" s="4" t="inlineStr">
        <is>
          <t>MX_HTP-03A</t>
        </is>
      </c>
      <c r="B40" s="4" t="inlineStr">
        <is>
          <t>CU88</t>
        </is>
      </c>
      <c r="C40" s="4" t="inlineStr">
        <is>
          <t>POSTEF 2017</t>
        </is>
      </c>
      <c r="D40" s="4" t="inlineStr">
        <is>
          <t>treo</t>
        </is>
      </c>
      <c r="E40" s="4" t="n">
        <v>8</v>
      </c>
      <c r="F40" s="4" t="n">
        <v>860</v>
      </c>
      <c r="G40" s="4" t="inlineStr">
        <is>
          <t>HNB013</t>
        </is>
      </c>
      <c r="H40" s="4">
        <f>COUNTIFS('Core MX'!B:B,"MX_HTP-03A|CU88")</f>
        <v/>
      </c>
      <c r="I40" s="4">
        <f>COUNTIFS('Core MX'!B:B,"MX_HTP-03A|CU88",'Core MX'!F:F,"?*")</f>
        <v/>
      </c>
      <c r="J40" s="4" t="inlineStr">
        <is>
          <t>CÁP TREO 8FO POSTEF 2017 (cs 860) | Hướng vào trạm HNB013</t>
        </is>
      </c>
    </row>
    <row r="41">
      <c r="A41" s="4" t="inlineStr">
        <is>
          <t>MX_HTP-03A</t>
        </is>
      </c>
      <c r="B41" s="4" t="inlineStr">
        <is>
          <t>CE101</t>
        </is>
      </c>
      <c r="C41" s="4" t="inlineStr">
        <is>
          <t>POSTEF HƯỚNG VỀ TÒA NHÀ</t>
        </is>
      </c>
      <c r="D41" s="4" t="inlineStr">
        <is>
          <t>treo</t>
        </is>
      </c>
      <c r="E41" s="4" t="n">
        <v>24</v>
      </c>
      <c r="F41" s="4" t="n">
        <v>1570</v>
      </c>
      <c r="G41" s="4" t="inlineStr"/>
      <c r="H41" s="4">
        <f>COUNTIFS('Core MX'!B:B,"MX_HTP-03A|CE101")</f>
        <v/>
      </c>
      <c r="I41" s="4">
        <f>COUNTIFS('Core MX'!B:B,"MX_HTP-03A|CE101",'Core MX'!F:F,"?*")</f>
        <v/>
      </c>
      <c r="J41" s="4" t="inlineStr">
        <is>
          <t>CÁP TREO 24FO POSTEF HƯỚNG VỀ TÒA NHÀ (ODF-01) (cs 1570)</t>
        </is>
      </c>
    </row>
    <row r="42">
      <c r="A42" s="4" t="inlineStr">
        <is>
          <t>MX_NB-01</t>
        </is>
      </c>
      <c r="B42" s="4" t="inlineStr">
        <is>
          <t>AD109</t>
        </is>
      </c>
      <c r="C42" s="4" t="inlineStr">
        <is>
          <t>HƯỚNG VỀ LÊ VĂN LƯƠNG</t>
        </is>
      </c>
      <c r="D42" s="4" t="inlineStr">
        <is>
          <t>treo</t>
        </is>
      </c>
      <c r="E42" s="4" t="n">
        <v>24</v>
      </c>
      <c r="F42" s="4" t="n"/>
      <c r="G42" s="4" t="inlineStr"/>
      <c r="H42" s="4">
        <f>COUNTIFS('Core MX'!B:B,"MX_NB-01|AD109")</f>
        <v/>
      </c>
      <c r="I42" s="4">
        <f>COUNTIFS('Core MX'!B:B,"MX_NB-01|AD109",'Core MX'!F:F,"?*")</f>
        <v/>
      </c>
      <c r="J42" s="4" t="inlineStr">
        <is>
          <t>CÁP TREO 24FO HƯỚNG VỀ LÊ VĂN LƯƠNG (MX_LVL-05)</t>
        </is>
      </c>
    </row>
    <row r="43">
      <c r="A43" s="4" t="inlineStr">
        <is>
          <t>MX_NB-01</t>
        </is>
      </c>
      <c r="B43" s="4" t="inlineStr">
        <is>
          <t>BD112</t>
        </is>
      </c>
      <c r="C43" s="4" t="inlineStr">
        <is>
          <t>HƯỚNG VỀ HUỲNH TẤN PHÁT</t>
        </is>
      </c>
      <c r="D43" s="4" t="inlineStr">
        <is>
          <t>treo</t>
        </is>
      </c>
      <c r="E43" s="4" t="n">
        <v>12</v>
      </c>
      <c r="F43" s="4" t="n"/>
      <c r="G43" s="4" t="inlineStr"/>
      <c r="H43" s="4">
        <f>COUNTIFS('Core MX'!B:B,"MX_NB-01|BD112")</f>
        <v/>
      </c>
      <c r="I43" s="4">
        <f>COUNTIFS('Core MX'!B:B,"MX_NB-01|BD112",'Core MX'!F:F,"?*")</f>
        <v/>
      </c>
      <c r="J43" s="4" t="inlineStr">
        <is>
          <t>CÁP TREO 12FO HƯỚNG VỀ HUỲNH TẤN PHÁT (MX_NB-02)</t>
        </is>
      </c>
    </row>
    <row r="44">
      <c r="A44" s="4" t="inlineStr">
        <is>
          <t>MX_NB-01</t>
        </is>
      </c>
      <c r="B44" s="4" t="inlineStr">
        <is>
          <t>AJ126</t>
        </is>
      </c>
      <c r="C44" s="4" t="inlineStr">
        <is>
          <t>HƯỚNG VỀ VNPT LONG THỚI VÀO ODF-01</t>
        </is>
      </c>
      <c r="D44" s="4" t="inlineStr">
        <is>
          <t>treo</t>
        </is>
      </c>
      <c r="E44" s="4" t="n">
        <v>24</v>
      </c>
      <c r="F44" s="4" t="n"/>
      <c r="G44" s="4" t="inlineStr"/>
      <c r="H44" s="4">
        <f>COUNTIFS('Core MX'!B:B,"MX_NB-01|AJ126")</f>
        <v/>
      </c>
      <c r="I44" s="4">
        <f>COUNTIFS('Core MX'!B:B,"MX_NB-01|AJ126",'Core MX'!F:F,"?*")</f>
        <v/>
      </c>
      <c r="J44" s="4" t="inlineStr">
        <is>
          <t>CÁP TREO 24FO HƯỚNG VỀ VNPT LONG THỚI VÀO ODF-01</t>
        </is>
      </c>
    </row>
    <row r="45">
      <c r="A45" s="4" t="inlineStr">
        <is>
          <t>MX_NB-02</t>
        </is>
      </c>
      <c r="B45" s="4" t="inlineStr">
        <is>
          <t>BI109</t>
        </is>
      </c>
      <c r="C45" s="4" t="inlineStr"/>
      <c r="D45" s="4" t="inlineStr">
        <is>
          <t>treo</t>
        </is>
      </c>
      <c r="E45" s="4" t="n">
        <v>12</v>
      </c>
      <c r="F45" s="4" t="n"/>
      <c r="G45" s="4" t="inlineStr">
        <is>
          <t>VNPT Long Thới (MX_NB-01)</t>
        </is>
      </c>
      <c r="H45" s="4">
        <f>COUNTIFS('Core MX'!B:B,"MX_NB-02|BI109")</f>
        <v/>
      </c>
      <c r="I45" s="4">
        <f>COUNTIFS('Core MX'!B:B,"MX_NB-02|BI109",'Core MX'!F:F,"?*")</f>
        <v/>
      </c>
      <c r="J45" s="4" t="inlineStr">
        <is>
          <t>CÁP TREO  12FO   (chỉ số  ) | Cáp Trục hướng về VNPT Long Thới (MX_NB-01)</t>
        </is>
      </c>
    </row>
    <row r="46">
      <c r="A46" s="4" t="inlineStr">
        <is>
          <t>MX_NB-02</t>
        </is>
      </c>
      <c r="B46" s="4" t="inlineStr">
        <is>
          <t>BV109</t>
        </is>
      </c>
      <c r="C46" s="4" t="inlineStr"/>
      <c r="D46" s="4" t="inlineStr"/>
      <c r="E46" s="4" t="n">
        <v>8</v>
      </c>
      <c r="F46" s="4" t="n"/>
      <c r="G46" s="4" t="inlineStr">
        <is>
          <t>HNB086</t>
        </is>
      </c>
      <c r="H46" s="4">
        <f>COUNTIFS('Core MX'!B:B,"MX_NB-02|BV109")</f>
        <v/>
      </c>
      <c r="I46" s="4">
        <f>COUNTIFS('Core MX'!B:B,"MX_NB-02|BV109",'Core MX'!F:F,"?*")</f>
        <v/>
      </c>
      <c r="J46" s="4" t="inlineStr">
        <is>
          <t>CÁP 8FO  (cs ) | Hướng vào trạm HNB086</t>
        </is>
      </c>
    </row>
    <row r="47">
      <c r="A47" s="4" t="inlineStr">
        <is>
          <t>MX_NB-02</t>
        </is>
      </c>
      <c r="B47" s="4" t="inlineStr">
        <is>
          <t>BI122</t>
        </is>
      </c>
      <c r="C47" s="4" t="inlineStr"/>
      <c r="D47" s="4" t="inlineStr">
        <is>
          <t>treo</t>
        </is>
      </c>
      <c r="E47" s="4" t="n">
        <v>12</v>
      </c>
      <c r="F47" s="4" t="n"/>
      <c r="G47" s="4" t="inlineStr">
        <is>
          <t>SG Mới (MX_NB-03)</t>
        </is>
      </c>
      <c r="H47" s="4">
        <f>COUNTIFS('Core MX'!B:B,"MX_NB-02|BI122")</f>
        <v/>
      </c>
      <c r="I47" s="4">
        <f>COUNTIFS('Core MX'!B:B,"MX_NB-02|BI122",'Core MX'!F:F,"?*")</f>
        <v/>
      </c>
      <c r="J47" s="4" t="inlineStr">
        <is>
          <t>CÁP TREO 12FO  (chỉ số ) | Cáp Trục hướng về SG Mới (MX_NB-03)</t>
        </is>
      </c>
    </row>
    <row r="48">
      <c r="A48" s="4" t="inlineStr">
        <is>
          <t>MX_HTP-03B</t>
        </is>
      </c>
      <c r="B48" s="4" t="inlineStr">
        <is>
          <t>CE109</t>
        </is>
      </c>
      <c r="C48" s="4" t="inlineStr">
        <is>
          <t>POSTEF HƯỚNG VỀ TÒA NHÀ</t>
        </is>
      </c>
      <c r="D48" s="4" t="inlineStr">
        <is>
          <t>treo</t>
        </is>
      </c>
      <c r="E48" s="4" t="n">
        <v>24</v>
      </c>
      <c r="F48" s="4" t="n">
        <v>1550</v>
      </c>
      <c r="G48" s="4" t="inlineStr"/>
      <c r="H48" s="4">
        <f>COUNTIFS('Core MX'!B:B,"MX_HTP-03B|CE109")</f>
        <v/>
      </c>
      <c r="I48" s="4">
        <f>COUNTIFS('Core MX'!B:B,"MX_HTP-03B|CE109",'Core MX'!F:F,"?*")</f>
        <v/>
      </c>
      <c r="J48" s="4" t="inlineStr">
        <is>
          <t>CÁP TREO 24FO POSTEF HƯỚNG VỀ TÒA NHÀ (ODF-02) (cs 1550)</t>
        </is>
      </c>
    </row>
    <row r="49">
      <c r="A49" s="4" t="inlineStr">
        <is>
          <t>MX_HTP-03B</t>
        </is>
      </c>
      <c r="B49" s="4" t="inlineStr">
        <is>
          <t>CE122</t>
        </is>
      </c>
      <c r="C49" s="4" t="inlineStr">
        <is>
          <t>(chỉ số</t>
        </is>
      </c>
      <c r="D49" s="4" t="inlineStr">
        <is>
          <t>treo</t>
        </is>
      </c>
      <c r="E49" s="4" t="n">
        <v>12</v>
      </c>
      <c r="F49" s="4" t="n"/>
      <c r="G49" s="4" t="inlineStr">
        <is>
          <t>Nguyển Bình (MX_NB-04)</t>
        </is>
      </c>
      <c r="H49" s="4">
        <f>COUNTIFS('Core MX'!B:B,"MX_HTP-03B|CE122")</f>
        <v/>
      </c>
      <c r="I49" s="4">
        <f>COUNTIFS('Core MX'!B:B,"MX_HTP-03B|CE122",'Core MX'!F:F,"?*")</f>
        <v/>
      </c>
      <c r="J49" s="4" t="inlineStr">
        <is>
          <t>CÁP TREO 12FO  (chỉ số  | Cáp Trục hướng về Nguyển Bình (MX_NB-04)</t>
        </is>
      </c>
    </row>
    <row r="50">
      <c r="A50" s="4" t="inlineStr">
        <is>
          <t>MX_NB-03</t>
        </is>
      </c>
      <c r="B50" s="4" t="inlineStr">
        <is>
          <t>BI129</t>
        </is>
      </c>
      <c r="C50" s="4" t="inlineStr"/>
      <c r="D50" s="4" t="inlineStr">
        <is>
          <t>treo</t>
        </is>
      </c>
      <c r="E50" s="4" t="n">
        <v>12</v>
      </c>
      <c r="F50" s="4" t="n"/>
      <c r="G50" s="4" t="inlineStr">
        <is>
          <t>VNPT Long Thới (MX_NB-02)</t>
        </is>
      </c>
      <c r="H50" s="4">
        <f>COUNTIFS('Core MX'!B:B,"MX_NB-03|BI129")</f>
        <v/>
      </c>
      <c r="I50" s="4">
        <f>COUNTIFS('Core MX'!B:B,"MX_NB-03|BI129",'Core MX'!F:F,"?*")</f>
        <v/>
      </c>
      <c r="J50" s="4" t="inlineStr">
        <is>
          <t>CÁP TREO  12FO   (chỉ số  ) | Cáp Trục hướng về VNPT Long Thới (MX_NB-02)</t>
        </is>
      </c>
    </row>
    <row r="51">
      <c r="A51" s="4" t="inlineStr">
        <is>
          <t>MX_NB-03</t>
        </is>
      </c>
      <c r="B51" s="4" t="inlineStr">
        <is>
          <t>BI142</t>
        </is>
      </c>
      <c r="C51" s="4" t="inlineStr"/>
      <c r="D51" s="4" t="inlineStr">
        <is>
          <t>treo</t>
        </is>
      </c>
      <c r="E51" s="4" t="n">
        <v>12</v>
      </c>
      <c r="F51" s="4" t="n"/>
      <c r="G51" s="4" t="inlineStr">
        <is>
          <t>SG Mới (MX_NB-04)</t>
        </is>
      </c>
      <c r="H51" s="4">
        <f>COUNTIFS('Core MX'!B:B,"MX_NB-03|BI142")</f>
        <v/>
      </c>
      <c r="I51" s="4">
        <f>COUNTIFS('Core MX'!B:B,"MX_NB-03|BI142",'Core MX'!F:F,"?*")</f>
        <v/>
      </c>
      <c r="J51" s="4" t="inlineStr">
        <is>
          <t>CÁP TREO 12FO  (chỉ số ) | Cáp Trục hướng về SG Mới (MX_NB-04)</t>
        </is>
      </c>
    </row>
    <row r="52">
      <c r="A52" s="4" t="inlineStr">
        <is>
          <t>MX_NB-03</t>
        </is>
      </c>
      <c r="B52" s="4" t="inlineStr">
        <is>
          <t>BV142</t>
        </is>
      </c>
      <c r="C52" s="4" t="inlineStr"/>
      <c r="D52" s="4" t="inlineStr"/>
      <c r="E52" s="4" t="n">
        <v>8</v>
      </c>
      <c r="F52" s="4" t="n"/>
      <c r="G52" s="4" t="inlineStr">
        <is>
          <t>HNB027</t>
        </is>
      </c>
      <c r="H52" s="4">
        <f>COUNTIFS('Core MX'!B:B,"MX_NB-03|BV142")</f>
        <v/>
      </c>
      <c r="I52" s="4">
        <f>COUNTIFS('Core MX'!B:B,"MX_NB-03|BV142",'Core MX'!F:F,"?*")</f>
        <v/>
      </c>
      <c r="J52" s="4" t="inlineStr">
        <is>
          <t>CÁP 8FO  (cs ) | Hướng vào trạm HNB027</t>
        </is>
      </c>
    </row>
    <row r="53">
      <c r="A53" s="4" t="inlineStr">
        <is>
          <t>MX_NB-04</t>
        </is>
      </c>
      <c r="B53" s="4" t="inlineStr">
        <is>
          <t>CE129</t>
        </is>
      </c>
      <c r="C53" s="4" t="inlineStr"/>
      <c r="D53" s="4" t="inlineStr">
        <is>
          <t>treo</t>
        </is>
      </c>
      <c r="E53" s="4" t="n">
        <v>12</v>
      </c>
      <c r="F53" s="4" t="n"/>
      <c r="G53" s="4" t="inlineStr">
        <is>
          <t>SG Mới (MX_HTP-03B)</t>
        </is>
      </c>
      <c r="H53" s="4">
        <f>COUNTIFS('Core MX'!B:B,"MX_NB-04|CE129")</f>
        <v/>
      </c>
      <c r="I53" s="4">
        <f>COUNTIFS('Core MX'!B:B,"MX_NB-04|CE129",'Core MX'!F:F,"?*")</f>
        <v/>
      </c>
      <c r="J53" s="4" t="inlineStr">
        <is>
          <t>CÁP TREO 12FO  (chỉ số ) | Cáp Trục hướng về SG Mới (MX_HTP-03B)</t>
        </is>
      </c>
    </row>
    <row r="54">
      <c r="A54" s="4" t="inlineStr">
        <is>
          <t>MX_NB-04</t>
        </is>
      </c>
      <c r="B54" s="4" t="inlineStr">
        <is>
          <t>CR129</t>
        </is>
      </c>
      <c r="C54" s="4" t="inlineStr"/>
      <c r="D54" s="4" t="inlineStr"/>
      <c r="E54" s="4" t="n">
        <v>8</v>
      </c>
      <c r="F54" s="4" t="n"/>
      <c r="G54" s="4" t="inlineStr">
        <is>
          <t>HNB020</t>
        </is>
      </c>
      <c r="H54" s="4">
        <f>COUNTIFS('Core MX'!B:B,"MX_NB-04|CR129")</f>
        <v/>
      </c>
      <c r="I54" s="4">
        <f>COUNTIFS('Core MX'!B:B,"MX_NB-04|CR129",'Core MX'!F:F,"?*")</f>
        <v/>
      </c>
      <c r="J54" s="4" t="inlineStr">
        <is>
          <t>CÁP 8FO  (cs ) | Hướng vào trạm HNB020</t>
        </is>
      </c>
    </row>
    <row r="55">
      <c r="A55" s="4" t="inlineStr">
        <is>
          <t>MX_NB-04</t>
        </is>
      </c>
      <c r="B55" s="4" t="inlineStr">
        <is>
          <t>CE142</t>
        </is>
      </c>
      <c r="C55" s="4" t="inlineStr"/>
      <c r="D55" s="4" t="inlineStr">
        <is>
          <t>treo</t>
        </is>
      </c>
      <c r="E55" s="4" t="n">
        <v>12</v>
      </c>
      <c r="F55" s="4" t="n"/>
      <c r="G55" s="4" t="inlineStr">
        <is>
          <t>VNPT Long Thới (MX_NB-03)</t>
        </is>
      </c>
      <c r="H55" s="4">
        <f>COUNTIFS('Core MX'!B:B,"MX_NB-04|CE142")</f>
        <v/>
      </c>
      <c r="I55" s="4">
        <f>COUNTIFS('Core MX'!B:B,"MX_NB-04|CE142",'Core MX'!F:F,"?*")</f>
        <v/>
      </c>
      <c r="J55" s="4" t="inlineStr">
        <is>
          <t>CÁP TREO  12FO   (chỉ số  ) | Cáp Trục hướng về VNPT Long Thới (MX_NB-03)</t>
        </is>
      </c>
    </row>
    <row r="56">
      <c r="A56" s="4" t="inlineStr">
        <is>
          <t>MX_NB-04</t>
        </is>
      </c>
      <c r="B56" s="4" t="inlineStr">
        <is>
          <t>CR142</t>
        </is>
      </c>
      <c r="C56" s="4" t="inlineStr"/>
      <c r="D56" s="4" t="inlineStr"/>
      <c r="E56" s="4" t="n">
        <v>8</v>
      </c>
      <c r="F56" s="4" t="n"/>
      <c r="G56" s="4" t="inlineStr">
        <is>
          <t>HNB031</t>
        </is>
      </c>
      <c r="H56" s="4">
        <f>COUNTIFS('Core MX'!B:B,"MX_NB-04|CR142")</f>
        <v/>
      </c>
      <c r="I56" s="4">
        <f>COUNTIFS('Core MX'!B:B,"MX_NB-04|CR142",'Core MX'!F:F,"?*")</f>
        <v/>
      </c>
      <c r="J56" s="4" t="inlineStr">
        <is>
          <t>CÁP 8FO  (cs ) | Hướng vào trạm HNB031</t>
        </is>
      </c>
    </row>
    <row r="57">
      <c r="A57" s="4" t="inlineStr">
        <is>
          <t>MX_HTP-03B (2)</t>
        </is>
      </c>
      <c r="B57" s="4" t="inlineStr">
        <is>
          <t>AD134</t>
        </is>
      </c>
      <c r="C57" s="4" t="inlineStr">
        <is>
          <t>POSTEF HƯỚNG VỀ TÒA NHÀ</t>
        </is>
      </c>
      <c r="D57" s="4" t="inlineStr">
        <is>
          <t>treo</t>
        </is>
      </c>
      <c r="E57" s="4" t="n">
        <v>24</v>
      </c>
      <c r="F57" s="4" t="n">
        <v>1550</v>
      </c>
      <c r="G57" s="4" t="inlineStr"/>
      <c r="H57" s="4">
        <f>COUNTIFS('Core MX'!B:B,"MX_HTP-03B (2)|AD134")</f>
        <v/>
      </c>
      <c r="I57" s="4">
        <f>COUNTIFS('Core MX'!B:B,"MX_HTP-03B (2)|AD134",'Core MX'!F:F,"?*")</f>
        <v/>
      </c>
      <c r="J57" s="4" t="inlineStr">
        <is>
          <t>CÁP TREO 24FO POSTEF HƯỚNG VỀ TÒA NHÀ (ODF-02) (cs 1550)</t>
        </is>
      </c>
    </row>
    <row r="58">
      <c r="A58" s="4" t="inlineStr">
        <is>
          <t>MX_HTP-03B (2)</t>
        </is>
      </c>
      <c r="B58" s="4" t="inlineStr">
        <is>
          <t>AD147</t>
        </is>
      </c>
      <c r="C58" s="4" t="inlineStr">
        <is>
          <t>(chỉ số</t>
        </is>
      </c>
      <c r="D58" s="4" t="inlineStr">
        <is>
          <t>treo</t>
        </is>
      </c>
      <c r="E58" s="4" t="n">
        <v>12</v>
      </c>
      <c r="F58" s="4" t="n"/>
      <c r="G58" s="4" t="inlineStr">
        <is>
          <t>Nguyển Bình (MX_NB-04)</t>
        </is>
      </c>
      <c r="H58" s="4">
        <f>COUNTIFS('Core MX'!B:B,"MX_HTP-03B (2)|AD147")</f>
        <v/>
      </c>
      <c r="I58" s="4">
        <f>COUNTIFS('Core MX'!B:B,"MX_HTP-03B (2)|AD147",'Core MX'!F:F,"?*")</f>
        <v/>
      </c>
      <c r="J58" s="4" t="inlineStr">
        <is>
          <t>CÁP TREO 12FO  (chỉ số  | Cáp Trục hướng về Nguyển Bình (MX_NB-04)</t>
        </is>
      </c>
    </row>
    <row r="59">
      <c r="A59" s="4" t="inlineStr">
        <is>
          <t>MX_NVT_01</t>
        </is>
      </c>
      <c r="B59" s="4" t="inlineStr">
        <is>
          <t>AD154</t>
        </is>
      </c>
      <c r="C59" s="4" t="inlineStr"/>
      <c r="D59" s="4" t="inlineStr">
        <is>
          <t>treo</t>
        </is>
      </c>
      <c r="E59" s="4" t="n">
        <v>12</v>
      </c>
      <c r="F59" s="4" t="n"/>
      <c r="G59" s="4" t="inlineStr">
        <is>
          <t>Long Thới</t>
        </is>
      </c>
      <c r="H59" s="4">
        <f>COUNTIFS('Core MX'!B:B,"MX_NVT_01|AD154")</f>
        <v/>
      </c>
      <c r="I59" s="4">
        <f>COUNTIFS('Core MX'!B:B,"MX_NVT_01|AD154",'Core MX'!F:F,"?*")</f>
        <v/>
      </c>
      <c r="J59" s="4" t="inlineStr">
        <is>
          <t>CÁP TREO  12FO   (chỉ số  ) | Cáp Trục hướng về Long Thới</t>
        </is>
      </c>
    </row>
    <row r="60">
      <c r="A60" s="4" t="inlineStr">
        <is>
          <t>MX_NVT_01</t>
        </is>
      </c>
      <c r="B60" s="4" t="inlineStr">
        <is>
          <t>AQ154</t>
        </is>
      </c>
      <c r="C60" s="4" t="inlineStr"/>
      <c r="D60" s="4" t="inlineStr"/>
      <c r="E60" s="4" t="n">
        <v>12</v>
      </c>
      <c r="F60" s="4" t="n"/>
      <c r="G60" s="4" t="inlineStr">
        <is>
          <t>HNB054</t>
        </is>
      </c>
      <c r="H60" s="4">
        <f>COUNTIFS('Core MX'!B:B,"MX_NVT_01|AQ154")</f>
        <v/>
      </c>
      <c r="I60" s="4">
        <f>COUNTIFS('Core MX'!B:B,"MX_NVT_01|AQ154",'Core MX'!F:F,"?*")</f>
        <v/>
      </c>
      <c r="J60" s="4" t="inlineStr">
        <is>
          <t>CÁP 12FO  (cs ) | Hướng vào trạm HNB054</t>
        </is>
      </c>
    </row>
    <row r="61">
      <c r="A61" s="4" t="inlineStr">
        <is>
          <t>MX_NVT_01</t>
        </is>
      </c>
      <c r="B61" s="4" t="inlineStr">
        <is>
          <t>AD167</t>
        </is>
      </c>
      <c r="C61" s="4" t="inlineStr"/>
      <c r="D61" s="4" t="inlineStr">
        <is>
          <t>treo</t>
        </is>
      </c>
      <c r="E61" s="4" t="n">
        <v>12</v>
      </c>
      <c r="F61" s="4" t="n"/>
      <c r="G61" s="4" t="inlineStr">
        <is>
          <t>Ngô Quang Thắm</t>
        </is>
      </c>
      <c r="H61" s="4">
        <f>COUNTIFS('Core MX'!B:B,"MX_NVT_01|AD167")</f>
        <v/>
      </c>
      <c r="I61" s="4">
        <f>COUNTIFS('Core MX'!B:B,"MX_NVT_01|AD167",'Core MX'!F:F,"?*")</f>
        <v/>
      </c>
      <c r="J61" s="4" t="inlineStr">
        <is>
          <t>CÁP TREO 12FO  (chỉ số ) | Cáp Trục hướng về Ngô Quang Thắm</t>
        </is>
      </c>
    </row>
    <row r="62">
      <c r="A62" s="4" t="inlineStr">
        <is>
          <t>MX_NVT_02B</t>
        </is>
      </c>
      <c r="B62" s="4" t="inlineStr">
        <is>
          <t>H174</t>
        </is>
      </c>
      <c r="C62" s="4" t="inlineStr"/>
      <c r="D62" s="4" t="inlineStr">
        <is>
          <t>treo</t>
        </is>
      </c>
      <c r="E62" s="4" t="n">
        <v>12</v>
      </c>
      <c r="F62" s="4" t="n"/>
      <c r="G62" s="4" t="inlineStr">
        <is>
          <t>Ngô Quang Thắm</t>
        </is>
      </c>
      <c r="H62" s="4">
        <f>COUNTIFS('Core MX'!B:B,"MX_NVT_02B|H174")</f>
        <v/>
      </c>
      <c r="I62" s="4">
        <f>COUNTIFS('Core MX'!B:B,"MX_NVT_02B|H174",'Core MX'!F:F,"?*")</f>
        <v/>
      </c>
      <c r="J62" s="4" t="inlineStr">
        <is>
          <t>CÁP TREO  12FO   (chỉ số  ) | Cáp Trục hướng về Ngô Quang Thắm</t>
        </is>
      </c>
    </row>
    <row r="63">
      <c r="A63" s="4" t="inlineStr">
        <is>
          <t>MX_NVT_02B</t>
        </is>
      </c>
      <c r="B63" s="4" t="inlineStr">
        <is>
          <t>U174</t>
        </is>
      </c>
      <c r="C63" s="4" t="inlineStr"/>
      <c r="D63" s="4" t="inlineStr"/>
      <c r="E63" s="4" t="n">
        <v>8</v>
      </c>
      <c r="F63" s="4" t="n"/>
      <c r="G63" s="4" t="inlineStr">
        <is>
          <t>MX_NVT_02A đối diện</t>
        </is>
      </c>
      <c r="H63" s="4">
        <f>COUNTIFS('Core MX'!B:B,"MX_NVT_02B|U174")</f>
        <v/>
      </c>
      <c r="I63" s="4">
        <f>COUNTIFS('Core MX'!B:B,"MX_NVT_02B|U174",'Core MX'!F:F,"?*")</f>
        <v/>
      </c>
      <c r="J63" s="4" t="inlineStr">
        <is>
          <t>CÁP 8FO  (cs ) | Hướng qua MX_NVT_02A đối diện</t>
        </is>
      </c>
    </row>
    <row r="64">
      <c r="A64" s="4" t="inlineStr">
        <is>
          <t>MX_NVT_02B</t>
        </is>
      </c>
      <c r="B64" s="4" t="inlineStr">
        <is>
          <t>H187</t>
        </is>
      </c>
      <c r="C64" s="4" t="inlineStr"/>
      <c r="D64" s="4" t="inlineStr">
        <is>
          <t>treo</t>
        </is>
      </c>
      <c r="E64" s="4" t="n">
        <v>12</v>
      </c>
      <c r="F64" s="4" t="n"/>
      <c r="G64" s="4" t="inlineStr">
        <is>
          <t>Nguyễn Văn Tạo</t>
        </is>
      </c>
      <c r="H64" s="4">
        <f>COUNTIFS('Core MX'!B:B,"MX_NVT_02B|H187")</f>
        <v/>
      </c>
      <c r="I64" s="4">
        <f>COUNTIFS('Core MX'!B:B,"MX_NVT_02B|H187",'Core MX'!F:F,"?*")</f>
        <v/>
      </c>
      <c r="J64" s="4" t="inlineStr">
        <is>
          <t>CÁP TREO 12FO  (chỉ số ) | Cáp Trục hướng về Nguyễn Văn Tạo</t>
        </is>
      </c>
    </row>
    <row r="65">
      <c r="A65" s="4" t="inlineStr">
        <is>
          <t>MX_NVT_02A</t>
        </is>
      </c>
      <c r="B65" s="4" t="inlineStr">
        <is>
          <t>AD174</t>
        </is>
      </c>
      <c r="C65" s="4" t="inlineStr"/>
      <c r="D65" s="4" t="inlineStr">
        <is>
          <t>treo</t>
        </is>
      </c>
      <c r="E65" s="4" t="n">
        <v>12</v>
      </c>
      <c r="F65" s="4" t="n"/>
      <c r="G65" s="4" t="inlineStr">
        <is>
          <t>VNPT Long Thới</t>
        </is>
      </c>
      <c r="H65" s="4">
        <f>COUNTIFS('Core MX'!B:B,"MX_NVT_02A|AD174")</f>
        <v/>
      </c>
      <c r="I65" s="4">
        <f>COUNTIFS('Core MX'!B:B,"MX_NVT_02A|AD174",'Core MX'!F:F,"?*")</f>
        <v/>
      </c>
      <c r="J65" s="4" t="inlineStr">
        <is>
          <t>CÁP TREO  12FO   (chỉ số  ) | Cáp Trục hướng về VNPT Long Thới</t>
        </is>
      </c>
    </row>
    <row r="66">
      <c r="A66" s="4" t="inlineStr">
        <is>
          <t>MX_NVT_02A</t>
        </is>
      </c>
      <c r="B66" s="4" t="inlineStr">
        <is>
          <t>AQ174</t>
        </is>
      </c>
      <c r="C66" s="4" t="inlineStr"/>
      <c r="D66" s="4" t="inlineStr"/>
      <c r="E66" s="4" t="n">
        <v>8</v>
      </c>
      <c r="F66" s="4" t="n"/>
      <c r="G66" s="4" t="inlineStr">
        <is>
          <t>MX_NVT_02B đối diện</t>
        </is>
      </c>
      <c r="H66" s="4">
        <f>COUNTIFS('Core MX'!B:B,"MX_NVT_02A|AQ174")</f>
        <v/>
      </c>
      <c r="I66" s="4">
        <f>COUNTIFS('Core MX'!B:B,"MX_NVT_02A|AQ174",'Core MX'!F:F,"?*")</f>
        <v/>
      </c>
      <c r="J66" s="4" t="inlineStr">
        <is>
          <t>CÁP 8FO  (cs ) | Hướng qua MX_NVT_02B đối diện</t>
        </is>
      </c>
    </row>
    <row r="67">
      <c r="A67" s="4" t="inlineStr">
        <is>
          <t>MX_NVT_02A</t>
        </is>
      </c>
      <c r="B67" s="4" t="inlineStr">
        <is>
          <t>AD187</t>
        </is>
      </c>
      <c r="C67" s="4" t="inlineStr"/>
      <c r="D67" s="4" t="inlineStr">
        <is>
          <t>treo</t>
        </is>
      </c>
      <c r="E67" s="4" t="n">
        <v>12</v>
      </c>
      <c r="F67" s="4" t="n"/>
      <c r="G67" s="4" t="inlineStr">
        <is>
          <t>trạm Cần Giờ</t>
        </is>
      </c>
      <c r="H67" s="4">
        <f>COUNTIFS('Core MX'!B:B,"MX_NVT_02A|AD187")</f>
        <v/>
      </c>
      <c r="I67" s="4">
        <f>COUNTIFS('Core MX'!B:B,"MX_NVT_02A|AD187",'Core MX'!F:F,"?*")</f>
        <v/>
      </c>
      <c r="J67" s="4" t="inlineStr">
        <is>
          <t>CÁP TREO 12FO  (chỉ số ) | Cáp Trục hướng về trạm Cần Giờ</t>
        </is>
      </c>
    </row>
    <row r="68">
      <c r="A68" s="4" t="inlineStr">
        <is>
          <t>MX_NVT_02A</t>
        </is>
      </c>
      <c r="B68" s="4" t="inlineStr">
        <is>
          <t>AQ187</t>
        </is>
      </c>
      <c r="C68" s="4" t="inlineStr"/>
      <c r="D68" s="4" t="inlineStr"/>
      <c r="E68" s="4" t="n">
        <v>12</v>
      </c>
      <c r="F68" s="4" t="n"/>
      <c r="G68" s="4" t="inlineStr">
        <is>
          <t>HNB006</t>
        </is>
      </c>
      <c r="H68" s="4">
        <f>COUNTIFS('Core MX'!B:B,"MX_NVT_02A|AQ187")</f>
        <v/>
      </c>
      <c r="I68" s="4">
        <f>COUNTIFS('Core MX'!B:B,"MX_NVT_02A|AQ187",'Core MX'!F:F,"?*")</f>
        <v/>
      </c>
      <c r="J68" s="4" t="inlineStr">
        <is>
          <t>CÁP 12FO  (cs ) | Hướng vào trạm HNB006</t>
        </is>
      </c>
    </row>
    <row r="69">
      <c r="A69" s="4" t="inlineStr">
        <is>
          <t>MX_NVT_03B</t>
        </is>
      </c>
      <c r="B69" s="4" t="inlineStr">
        <is>
          <t>H193</t>
        </is>
      </c>
      <c r="C69" s="4" t="inlineStr"/>
      <c r="D69" s="4" t="inlineStr">
        <is>
          <t>treo</t>
        </is>
      </c>
      <c r="E69" s="4" t="n">
        <v>12</v>
      </c>
      <c r="F69" s="4" t="n"/>
      <c r="G69" s="4" t="inlineStr">
        <is>
          <t>Ngô Quang Thắm</t>
        </is>
      </c>
      <c r="H69" s="4">
        <f>COUNTIFS('Core MX'!B:B,"MX_NVT_03B|H193")</f>
        <v/>
      </c>
      <c r="I69" s="4">
        <f>COUNTIFS('Core MX'!B:B,"MX_NVT_03B|H193",'Core MX'!F:F,"?*")</f>
        <v/>
      </c>
      <c r="J69" s="4" t="inlineStr">
        <is>
          <t>CÁP TREO  12FO   (chỉ số  ) | Cáp Trục hướng về Ngô Quang Thắm</t>
        </is>
      </c>
    </row>
    <row r="70">
      <c r="A70" s="4" t="inlineStr">
        <is>
          <t>MX_NVT_03B</t>
        </is>
      </c>
      <c r="B70" s="4" t="inlineStr">
        <is>
          <t>H206</t>
        </is>
      </c>
      <c r="C70" s="4" t="inlineStr"/>
      <c r="D70" s="4" t="inlineStr"/>
      <c r="E70" s="4" t="n">
        <v>12</v>
      </c>
      <c r="F70" s="4" t="n"/>
      <c r="G70" s="4" t="inlineStr">
        <is>
          <t>HNB006</t>
        </is>
      </c>
      <c r="H70" s="4">
        <f>COUNTIFS('Core MX'!B:B,"MX_NVT_03B|H206")</f>
        <v/>
      </c>
      <c r="I70" s="4">
        <f>COUNTIFS('Core MX'!B:B,"MX_NVT_03B|H206",'Core MX'!F:F,"?*")</f>
        <v/>
      </c>
      <c r="J70" s="4" t="inlineStr">
        <is>
          <t>CÁP 12FO  (cs ) | Hướng vào trạm HNB006</t>
        </is>
      </c>
    </row>
    <row r="71">
      <c r="A71" s="4" t="inlineStr">
        <is>
          <t>MX_NVT_03B</t>
        </is>
      </c>
      <c r="B71" s="4" t="inlineStr">
        <is>
          <t>Q206</t>
        </is>
      </c>
      <c r="C71" s="4" t="inlineStr"/>
      <c r="D71" s="4" t="inlineStr"/>
      <c r="E71" s="4" t="n">
        <v>12</v>
      </c>
      <c r="F71" s="4" t="n"/>
      <c r="G71" s="4" t="inlineStr">
        <is>
          <t>HNB006</t>
        </is>
      </c>
      <c r="H71" s="4">
        <f>COUNTIFS('Core MX'!B:B,"MX_NVT_03B|Q206")</f>
        <v/>
      </c>
      <c r="I71" s="4">
        <f>COUNTIFS('Core MX'!B:B,"MX_NVT_03B|Q206",'Core MX'!F:F,"?*")</f>
        <v/>
      </c>
      <c r="J71" s="4" t="inlineStr">
        <is>
          <t>CÁP 12FO  (cs ) | Hướng vào trạm HNB006</t>
        </is>
      </c>
    </row>
    <row r="72">
      <c r="A72" s="4" t="inlineStr">
        <is>
          <t>MX_NVT_03A</t>
        </is>
      </c>
      <c r="B72" s="4" t="inlineStr">
        <is>
          <t>AD193</t>
        </is>
      </c>
      <c r="C72" s="4" t="inlineStr"/>
      <c r="D72" s="4" t="inlineStr">
        <is>
          <t>treo</t>
        </is>
      </c>
      <c r="E72" s="4" t="n">
        <v>12</v>
      </c>
      <c r="F72" s="4" t="n"/>
      <c r="G72" s="4" t="inlineStr">
        <is>
          <t>VNPT Long Thới</t>
        </is>
      </c>
      <c r="H72" s="4">
        <f>COUNTIFS('Core MX'!B:B,"MX_NVT_03A|AD193")</f>
        <v/>
      </c>
      <c r="I72" s="4">
        <f>COUNTIFS('Core MX'!B:B,"MX_NVT_03A|AD193",'Core MX'!F:F,"?*")</f>
        <v/>
      </c>
      <c r="J72" s="4" t="inlineStr">
        <is>
          <t>CÁP TREO  12FO   (chỉ số  ) | Cáp Trục hướng về VNPT Long Thới</t>
        </is>
      </c>
    </row>
    <row r="73">
      <c r="A73" s="4" t="inlineStr">
        <is>
          <t>MX_NVT_03A</t>
        </is>
      </c>
      <c r="B73" s="4" t="inlineStr">
        <is>
          <t>AD206</t>
        </is>
      </c>
      <c r="C73" s="4" t="inlineStr"/>
      <c r="D73" s="4" t="inlineStr"/>
      <c r="E73" s="4" t="n">
        <v>12</v>
      </c>
      <c r="F73" s="4" t="n"/>
      <c r="G73" s="4" t="inlineStr">
        <is>
          <t>HNB006</t>
        </is>
      </c>
      <c r="H73" s="4">
        <f>COUNTIFS('Core MX'!B:B,"MX_NVT_03A|AD206")</f>
        <v/>
      </c>
      <c r="I73" s="4">
        <f>COUNTIFS('Core MX'!B:B,"MX_NVT_03A|AD206",'Core MX'!F:F,"?*")</f>
        <v/>
      </c>
      <c r="J73" s="4" t="inlineStr">
        <is>
          <t>CÁP 12FO  (cs ) | Hướng vào trạm HNB006</t>
        </is>
      </c>
    </row>
    <row r="74">
      <c r="A74" s="4" t="inlineStr">
        <is>
          <t>MX_NVT_03A</t>
        </is>
      </c>
      <c r="B74" s="4" t="inlineStr">
        <is>
          <t>AM206</t>
        </is>
      </c>
      <c r="C74" s="4" t="inlineStr"/>
      <c r="D74" s="4" t="inlineStr"/>
      <c r="E74" s="4" t="n">
        <v>12</v>
      </c>
      <c r="F74" s="4" t="n"/>
      <c r="G74" s="4" t="inlineStr">
        <is>
          <t>HNB006</t>
        </is>
      </c>
      <c r="H74" s="4">
        <f>COUNTIFS('Core MX'!B:B,"MX_NVT_03A|AM206")</f>
        <v/>
      </c>
      <c r="I74" s="4">
        <f>COUNTIFS('Core MX'!B:B,"MX_NVT_03A|AM206",'Core MX'!F:F,"?*")</f>
        <v/>
      </c>
      <c r="J74" s="4" t="inlineStr">
        <is>
          <t>CÁP 12FO  (cs ) | Hướng vào trạm HNB006</t>
        </is>
      </c>
    </row>
  </sheetData>
  <autoFilter ref="A4:J74"/>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G798"/>
  <sheetViews>
    <sheetView showGridLines="0" workbookViewId="0">
      <pane ySplit="4" topLeftCell="A5" activePane="bottomLeft" state="frozen"/>
      <selection pane="bottomLeft" activeCell="A1" sqref="A1"/>
    </sheetView>
  </sheetViews>
  <sheetFormatPr baseColWidth="8" defaultRowHeight="15"/>
  <cols>
    <col width="16" customWidth="1" min="1" max="1"/>
    <col width="26" customWidth="1" min="2" max="2"/>
    <col width="6" customWidth="1" min="3" max="3"/>
    <col width="6" customWidth="1" min="4" max="4"/>
    <col width="11" customWidth="1" min="5" max="5"/>
    <col width="7" customWidth="1" min="6" max="6"/>
    <col width="12" customWidth="1" min="7" max="7"/>
  </cols>
  <sheetData>
    <row r="1">
      <c r="A1" s="1" t="inlineStr">
        <is>
          <t>Từng core của từng đầu cáp tại măng xông</t>
        </is>
      </c>
    </row>
    <row r="2">
      <c r="A2" s="2" t="inlineStr">
        <is>
          <t>Nhãn trống = chưa ghi (dự phòng/chưa phối).</t>
        </is>
      </c>
    </row>
    <row r="4" ht="32" customHeight="1">
      <c r="A4" s="3" t="inlineStr">
        <is>
          <t>Măng xông</t>
        </is>
      </c>
      <c r="B4" s="3" t="inlineStr">
        <is>
          <t>Mã đầu cáp</t>
        </is>
      </c>
      <c r="C4" s="3" t="inlineStr">
        <is>
          <t>Core</t>
        </is>
      </c>
      <c r="D4" s="3" t="inlineStr">
        <is>
          <t>Ống</t>
        </is>
      </c>
      <c r="E4" s="3" t="inlineStr">
        <is>
          <t>Màu sợi</t>
        </is>
      </c>
      <c r="F4" s="3" t="inlineStr">
        <is>
          <t>Nhãn</t>
        </is>
      </c>
      <c r="G4" s="3" t="inlineStr">
        <is>
          <t>Trạm</t>
        </is>
      </c>
    </row>
    <row r="5">
      <c r="A5" s="4" t="inlineStr">
        <is>
          <t>MX_PHẠM HÙNG</t>
        </is>
      </c>
      <c r="B5" s="4" t="inlineStr">
        <is>
          <t>MX_PHẠM HÙNG|K4</t>
        </is>
      </c>
      <c r="C5" s="4" t="n">
        <v>1</v>
      </c>
      <c r="D5" s="4" t="n">
        <v>1</v>
      </c>
      <c r="E5" s="4" t="inlineStr">
        <is>
          <t>xanh dương</t>
        </is>
      </c>
      <c r="F5" s="4" t="inlineStr">
        <is>
          <t>A</t>
        </is>
      </c>
      <c r="G5" s="4" t="inlineStr"/>
    </row>
    <row r="6">
      <c r="A6" s="4" t="inlineStr">
        <is>
          <t>MX_PHẠM HÙNG</t>
        </is>
      </c>
      <c r="B6" s="4" t="inlineStr">
        <is>
          <t>MX_PHẠM HÙNG|K4</t>
        </is>
      </c>
      <c r="C6" s="4" t="n">
        <v>2</v>
      </c>
      <c r="D6" s="4" t="n">
        <v>1</v>
      </c>
      <c r="E6" s="4" t="inlineStr">
        <is>
          <t>cam</t>
        </is>
      </c>
      <c r="F6" s="4" t="inlineStr">
        <is>
          <t>A</t>
        </is>
      </c>
      <c r="G6" s="4" t="inlineStr"/>
    </row>
    <row r="7">
      <c r="A7" s="4" t="inlineStr">
        <is>
          <t>MX_PHẠM HÙNG</t>
        </is>
      </c>
      <c r="B7" s="4" t="inlineStr">
        <is>
          <t>MX_PHẠM HÙNG|K4</t>
        </is>
      </c>
      <c r="C7" s="4" t="n">
        <v>3</v>
      </c>
      <c r="D7" s="4" t="n">
        <v>1</v>
      </c>
      <c r="E7" s="4" t="inlineStr">
        <is>
          <t>xanh lá</t>
        </is>
      </c>
      <c r="F7" s="4" t="inlineStr">
        <is>
          <t>A</t>
        </is>
      </c>
      <c r="G7" s="4" t="inlineStr"/>
    </row>
    <row r="8">
      <c r="A8" s="4" t="inlineStr">
        <is>
          <t>MX_PHẠM HÙNG</t>
        </is>
      </c>
      <c r="B8" s="4" t="inlineStr">
        <is>
          <t>MX_PHẠM HÙNG|K4</t>
        </is>
      </c>
      <c r="C8" s="4" t="n">
        <v>4</v>
      </c>
      <c r="D8" s="4" t="n">
        <v>1</v>
      </c>
      <c r="E8" s="4" t="inlineStr">
        <is>
          <t>nâu</t>
        </is>
      </c>
      <c r="F8" s="4" t="inlineStr">
        <is>
          <t>A</t>
        </is>
      </c>
      <c r="G8" s="4" t="inlineStr"/>
    </row>
    <row r="9">
      <c r="A9" s="4" t="inlineStr">
        <is>
          <t>MX_PHẠM HÙNG</t>
        </is>
      </c>
      <c r="B9" s="4" t="inlineStr">
        <is>
          <t>MX_PHẠM HÙNG|K4</t>
        </is>
      </c>
      <c r="C9" s="4" t="n">
        <v>5</v>
      </c>
      <c r="D9" s="4" t="n">
        <v>1</v>
      </c>
      <c r="E9" s="4" t="inlineStr">
        <is>
          <t>xám</t>
        </is>
      </c>
      <c r="F9" s="4" t="inlineStr">
        <is>
          <t>B</t>
        </is>
      </c>
      <c r="G9" s="4" t="inlineStr"/>
    </row>
    <row r="10">
      <c r="A10" s="4" t="inlineStr">
        <is>
          <t>MX_PHẠM HÙNG</t>
        </is>
      </c>
      <c r="B10" s="4" t="inlineStr">
        <is>
          <t>MX_PHẠM HÙNG|K4</t>
        </is>
      </c>
      <c r="C10" s="4" t="n">
        <v>6</v>
      </c>
      <c r="D10" s="4" t="n">
        <v>1</v>
      </c>
      <c r="E10" s="4" t="inlineStr">
        <is>
          <t>trắng</t>
        </is>
      </c>
      <c r="F10" s="4" t="inlineStr">
        <is>
          <t>B</t>
        </is>
      </c>
      <c r="G10" s="4" t="inlineStr"/>
    </row>
    <row r="11">
      <c r="A11" s="4" t="inlineStr">
        <is>
          <t>MX_PHẠM HÙNG</t>
        </is>
      </c>
      <c r="B11" s="4" t="inlineStr">
        <is>
          <t>MX_PHẠM HÙNG|K4</t>
        </is>
      </c>
      <c r="C11" s="4" t="n">
        <v>7</v>
      </c>
      <c r="D11" s="4" t="n">
        <v>2</v>
      </c>
      <c r="E11" s="4" t="inlineStr">
        <is>
          <t>xanh dương</t>
        </is>
      </c>
      <c r="F11" s="4" t="inlineStr">
        <is>
          <t>B</t>
        </is>
      </c>
      <c r="G11" s="4" t="inlineStr"/>
    </row>
    <row r="12">
      <c r="A12" s="4" t="inlineStr">
        <is>
          <t>MX_PHẠM HÙNG</t>
        </is>
      </c>
      <c r="B12" s="4" t="inlineStr">
        <is>
          <t>MX_PHẠM HÙNG|K4</t>
        </is>
      </c>
      <c r="C12" s="4" t="n">
        <v>8</v>
      </c>
      <c r="D12" s="4" t="n">
        <v>2</v>
      </c>
      <c r="E12" s="4" t="inlineStr">
        <is>
          <t>cam</t>
        </is>
      </c>
      <c r="F12" s="4" t="inlineStr">
        <is>
          <t>B</t>
        </is>
      </c>
      <c r="G12" s="4" t="inlineStr"/>
    </row>
    <row r="13">
      <c r="A13" s="4" t="inlineStr">
        <is>
          <t>MX_PHẠM HÙNG</t>
        </is>
      </c>
      <c r="B13" s="4" t="inlineStr">
        <is>
          <t>MX_PHẠM HÙNG|C17</t>
        </is>
      </c>
      <c r="C13" s="4" t="n">
        <v>1</v>
      </c>
      <c r="D13" s="4" t="n">
        <v>1</v>
      </c>
      <c r="E13" s="4" t="inlineStr">
        <is>
          <t>xanh dương</t>
        </is>
      </c>
      <c r="F13" s="4" t="inlineStr">
        <is>
          <t>B</t>
        </is>
      </c>
      <c r="G13" s="4" t="inlineStr"/>
    </row>
    <row r="14">
      <c r="A14" s="4" t="inlineStr">
        <is>
          <t>MX_PHẠM HÙNG</t>
        </is>
      </c>
      <c r="B14" s="4" t="inlineStr">
        <is>
          <t>MX_PHẠM HÙNG|C17</t>
        </is>
      </c>
      <c r="C14" s="4" t="n">
        <v>2</v>
      </c>
      <c r="D14" s="4" t="n">
        <v>1</v>
      </c>
      <c r="E14" s="4" t="inlineStr">
        <is>
          <t>cam</t>
        </is>
      </c>
      <c r="F14" s="4" t="inlineStr">
        <is>
          <t>B</t>
        </is>
      </c>
      <c r="G14" s="4" t="inlineStr"/>
    </row>
    <row r="15">
      <c r="A15" s="4" t="inlineStr">
        <is>
          <t>MX_PHẠM HÙNG</t>
        </is>
      </c>
      <c r="B15" s="4" t="inlineStr">
        <is>
          <t>MX_PHẠM HÙNG|C17</t>
        </is>
      </c>
      <c r="C15" s="4" t="n">
        <v>3</v>
      </c>
      <c r="D15" s="4" t="n">
        <v>1</v>
      </c>
      <c r="E15" s="4" t="inlineStr">
        <is>
          <t>xanh lá</t>
        </is>
      </c>
      <c r="F15" s="4" t="inlineStr">
        <is>
          <t>B</t>
        </is>
      </c>
      <c r="G15" s="4" t="inlineStr"/>
    </row>
    <row r="16">
      <c r="A16" s="4" t="inlineStr">
        <is>
          <t>MX_PHẠM HÙNG</t>
        </is>
      </c>
      <c r="B16" s="4" t="inlineStr">
        <is>
          <t>MX_PHẠM HÙNG|C17</t>
        </is>
      </c>
      <c r="C16" s="4" t="n">
        <v>4</v>
      </c>
      <c r="D16" s="4" t="n">
        <v>1</v>
      </c>
      <c r="E16" s="4" t="inlineStr">
        <is>
          <t>nâu</t>
        </is>
      </c>
      <c r="F16" s="4" t="inlineStr">
        <is>
          <t>B</t>
        </is>
      </c>
      <c r="G16" s="4" t="inlineStr"/>
    </row>
    <row r="17">
      <c r="A17" s="4" t="inlineStr">
        <is>
          <t>MX_PHẠM HÙNG</t>
        </is>
      </c>
      <c r="B17" s="4" t="inlineStr">
        <is>
          <t>MX_PHẠM HÙNG|C17</t>
        </is>
      </c>
      <c r="C17" s="4" t="n">
        <v>5</v>
      </c>
      <c r="D17" s="4" t="n">
        <v>1</v>
      </c>
      <c r="E17" s="4" t="inlineStr">
        <is>
          <t>xám</t>
        </is>
      </c>
      <c r="F17" s="4" t="inlineStr"/>
      <c r="G17" s="4" t="inlineStr"/>
    </row>
    <row r="18">
      <c r="A18" s="4" t="inlineStr">
        <is>
          <t>MX_PHẠM HÙNG</t>
        </is>
      </c>
      <c r="B18" s="4" t="inlineStr">
        <is>
          <t>MX_PHẠM HÙNG|C17</t>
        </is>
      </c>
      <c r="C18" s="4" t="n">
        <v>6</v>
      </c>
      <c r="D18" s="4" t="n">
        <v>1</v>
      </c>
      <c r="E18" s="4" t="inlineStr">
        <is>
          <t>trắng</t>
        </is>
      </c>
      <c r="F18" s="4" t="inlineStr"/>
      <c r="G18" s="4" t="inlineStr"/>
    </row>
    <row r="19">
      <c r="A19" s="4" t="inlineStr">
        <is>
          <t>MX_PHẠM HÙNG</t>
        </is>
      </c>
      <c r="B19" s="4" t="inlineStr">
        <is>
          <t>MX_PHẠM HÙNG|K17</t>
        </is>
      </c>
      <c r="C19" s="4" t="n">
        <v>1</v>
      </c>
      <c r="D19" s="4" t="n">
        <v>1</v>
      </c>
      <c r="E19" s="4" t="inlineStr">
        <is>
          <t>xanh dương</t>
        </is>
      </c>
      <c r="F19" s="4" t="inlineStr">
        <is>
          <t>A</t>
        </is>
      </c>
      <c r="G19" s="4" t="inlineStr"/>
    </row>
    <row r="20">
      <c r="A20" s="4" t="inlineStr">
        <is>
          <t>MX_PHẠM HÙNG</t>
        </is>
      </c>
      <c r="B20" s="4" t="inlineStr">
        <is>
          <t>MX_PHẠM HÙNG|K17</t>
        </is>
      </c>
      <c r="C20" s="4" t="n">
        <v>2</v>
      </c>
      <c r="D20" s="4" t="n">
        <v>1</v>
      </c>
      <c r="E20" s="4" t="inlineStr">
        <is>
          <t>cam</t>
        </is>
      </c>
      <c r="F20" s="4" t="inlineStr">
        <is>
          <t>A</t>
        </is>
      </c>
      <c r="G20" s="4" t="inlineStr"/>
    </row>
    <row r="21">
      <c r="A21" s="4" t="inlineStr">
        <is>
          <t>MX_PHẠM HÙNG</t>
        </is>
      </c>
      <c r="B21" s="4" t="inlineStr">
        <is>
          <t>MX_PHẠM HÙNG|K17</t>
        </is>
      </c>
      <c r="C21" s="4" t="n">
        <v>3</v>
      </c>
      <c r="D21" s="4" t="n">
        <v>1</v>
      </c>
      <c r="E21" s="4" t="inlineStr">
        <is>
          <t>xanh lá</t>
        </is>
      </c>
      <c r="F21" s="4" t="inlineStr">
        <is>
          <t>A</t>
        </is>
      </c>
      <c r="G21" s="4" t="inlineStr"/>
    </row>
    <row r="22">
      <c r="A22" s="4" t="inlineStr">
        <is>
          <t>MX_PHẠM HÙNG</t>
        </is>
      </c>
      <c r="B22" s="4" t="inlineStr">
        <is>
          <t>MX_PHẠM HÙNG|K17</t>
        </is>
      </c>
      <c r="C22" s="4" t="n">
        <v>4</v>
      </c>
      <c r="D22" s="4" t="n">
        <v>1</v>
      </c>
      <c r="E22" s="4" t="inlineStr">
        <is>
          <t>nâu</t>
        </is>
      </c>
      <c r="F22" s="4" t="inlineStr">
        <is>
          <t>A</t>
        </is>
      </c>
      <c r="G22" s="4" t="inlineStr"/>
    </row>
    <row r="23">
      <c r="A23" s="4" t="inlineStr">
        <is>
          <t>MX_PHẠM HÙNG</t>
        </is>
      </c>
      <c r="B23" s="4" t="inlineStr">
        <is>
          <t>MX_PHẠM HÙNG|K17</t>
        </is>
      </c>
      <c r="C23" s="4" t="n">
        <v>5</v>
      </c>
      <c r="D23" s="4" t="n">
        <v>1</v>
      </c>
      <c r="E23" s="4" t="inlineStr">
        <is>
          <t>xám</t>
        </is>
      </c>
      <c r="F23" s="4" t="inlineStr"/>
      <c r="G23" s="4" t="inlineStr"/>
    </row>
    <row r="24">
      <c r="A24" s="4" t="inlineStr">
        <is>
          <t>MX_PHẠM HÙNG</t>
        </is>
      </c>
      <c r="B24" s="4" t="inlineStr">
        <is>
          <t>MX_PHẠM HÙNG|K17</t>
        </is>
      </c>
      <c r="C24" s="4" t="n">
        <v>6</v>
      </c>
      <c r="D24" s="4" t="n">
        <v>1</v>
      </c>
      <c r="E24" s="4" t="inlineStr">
        <is>
          <t>trắng</t>
        </is>
      </c>
      <c r="F24" s="4" t="inlineStr"/>
      <c r="G24" s="4" t="inlineStr"/>
    </row>
    <row r="25">
      <c r="A25" s="4" t="inlineStr">
        <is>
          <t>MX_PHẠM HÙNG</t>
        </is>
      </c>
      <c r="B25" s="4" t="inlineStr">
        <is>
          <t>MX_PHẠM HÙNG|K17</t>
        </is>
      </c>
      <c r="C25" s="4" t="n">
        <v>7</v>
      </c>
      <c r="D25" s="4" t="n">
        <v>2</v>
      </c>
      <c r="E25" s="4" t="inlineStr">
        <is>
          <t>xanh dương</t>
        </is>
      </c>
      <c r="F25" s="4" t="inlineStr"/>
      <c r="G25" s="4" t="inlineStr"/>
    </row>
    <row r="26">
      <c r="A26" s="4" t="inlineStr">
        <is>
          <t>MX_PHẠM HÙNG</t>
        </is>
      </c>
      <c r="B26" s="4" t="inlineStr">
        <is>
          <t>MX_PHẠM HÙNG|K17</t>
        </is>
      </c>
      <c r="C26" s="4" t="n">
        <v>8</v>
      </c>
      <c r="D26" s="4" t="n">
        <v>2</v>
      </c>
      <c r="E26" s="4" t="inlineStr">
        <is>
          <t>cam</t>
        </is>
      </c>
      <c r="F26" s="4" t="inlineStr"/>
      <c r="G26" s="4" t="inlineStr"/>
    </row>
    <row r="27">
      <c r="A27" s="4" t="inlineStr">
        <is>
          <t>MX_LVL-01</t>
        </is>
      </c>
      <c r="B27" s="4" t="inlineStr">
        <is>
          <t>MX_LVL-01|AD5</t>
        </is>
      </c>
      <c r="C27" s="4" t="n">
        <v>1</v>
      </c>
      <c r="D27" s="4" t="n">
        <v>1</v>
      </c>
      <c r="E27" s="4" t="inlineStr">
        <is>
          <t>xanh dương</t>
        </is>
      </c>
      <c r="F27" s="4" t="inlineStr">
        <is>
          <t>C</t>
        </is>
      </c>
      <c r="G27" s="4" t="inlineStr">
        <is>
          <t>HNB075</t>
        </is>
      </c>
    </row>
    <row r="28">
      <c r="A28" s="4" t="inlineStr">
        <is>
          <t>MX_LVL-01</t>
        </is>
      </c>
      <c r="B28" s="4" t="inlineStr">
        <is>
          <t>MX_LVL-01|AD5</t>
        </is>
      </c>
      <c r="C28" s="4" t="n">
        <v>2</v>
      </c>
      <c r="D28" s="4" t="n">
        <v>1</v>
      </c>
      <c r="E28" s="4" t="inlineStr">
        <is>
          <t>cam</t>
        </is>
      </c>
      <c r="F28" s="4" t="inlineStr">
        <is>
          <t>C</t>
        </is>
      </c>
      <c r="G28" s="4" t="inlineStr">
        <is>
          <t>HNB075</t>
        </is>
      </c>
    </row>
    <row r="29">
      <c r="A29" s="4" t="inlineStr">
        <is>
          <t>MX_LVL-01</t>
        </is>
      </c>
      <c r="B29" s="4" t="inlineStr">
        <is>
          <t>MX_LVL-01|AD5</t>
        </is>
      </c>
      <c r="C29" s="4" t="n">
        <v>3</v>
      </c>
      <c r="D29" s="4" t="n">
        <v>1</v>
      </c>
      <c r="E29" s="4" t="inlineStr">
        <is>
          <t>xanh lá</t>
        </is>
      </c>
      <c r="F29" s="4" t="inlineStr">
        <is>
          <t>D</t>
        </is>
      </c>
      <c r="G29" s="4" t="inlineStr"/>
    </row>
    <row r="30">
      <c r="A30" s="4" t="inlineStr">
        <is>
          <t>MX_LVL-01</t>
        </is>
      </c>
      <c r="B30" s="4" t="inlineStr">
        <is>
          <t>MX_LVL-01|AD5</t>
        </is>
      </c>
      <c r="C30" s="4" t="n">
        <v>4</v>
      </c>
      <c r="D30" s="4" t="n">
        <v>1</v>
      </c>
      <c r="E30" s="4" t="inlineStr">
        <is>
          <t>nâu</t>
        </is>
      </c>
      <c r="F30" s="4" t="inlineStr">
        <is>
          <t>D</t>
        </is>
      </c>
      <c r="G30" s="4" t="inlineStr"/>
    </row>
    <row r="31">
      <c r="A31" s="4" t="inlineStr">
        <is>
          <t>MX_LVL-01</t>
        </is>
      </c>
      <c r="B31" s="4" t="inlineStr">
        <is>
          <t>MX_LVL-01|AD5</t>
        </is>
      </c>
      <c r="C31" s="4" t="n">
        <v>5</v>
      </c>
      <c r="D31" s="4" t="n">
        <v>1</v>
      </c>
      <c r="E31" s="4" t="inlineStr">
        <is>
          <t>xám</t>
        </is>
      </c>
      <c r="F31" s="4" t="inlineStr">
        <is>
          <t>D</t>
        </is>
      </c>
      <c r="G31" s="4" t="inlineStr"/>
    </row>
    <row r="32">
      <c r="A32" s="4" t="inlineStr">
        <is>
          <t>MX_LVL-01</t>
        </is>
      </c>
      <c r="B32" s="4" t="inlineStr">
        <is>
          <t>MX_LVL-01|AD5</t>
        </is>
      </c>
      <c r="C32" s="4" t="n">
        <v>6</v>
      </c>
      <c r="D32" s="4" t="n">
        <v>1</v>
      </c>
      <c r="E32" s="4" t="inlineStr">
        <is>
          <t>trắng</t>
        </is>
      </c>
      <c r="F32" s="4" t="inlineStr">
        <is>
          <t>D</t>
        </is>
      </c>
      <c r="G32" s="4" t="inlineStr"/>
    </row>
    <row r="33">
      <c r="A33" s="4" t="inlineStr">
        <is>
          <t>MX_LVL-01</t>
        </is>
      </c>
      <c r="B33" s="4" t="inlineStr">
        <is>
          <t>MX_LVL-01|AD5</t>
        </is>
      </c>
      <c r="C33" s="4" t="n">
        <v>7</v>
      </c>
      <c r="D33" s="4" t="n">
        <v>2</v>
      </c>
      <c r="E33" s="4" t="inlineStr">
        <is>
          <t>xanh dương</t>
        </is>
      </c>
      <c r="F33" s="4" t="inlineStr">
        <is>
          <t>E</t>
        </is>
      </c>
      <c r="G33" s="4" t="inlineStr"/>
    </row>
    <row r="34">
      <c r="A34" s="4" t="inlineStr">
        <is>
          <t>MX_LVL-01</t>
        </is>
      </c>
      <c r="B34" s="4" t="inlineStr">
        <is>
          <t>MX_LVL-01|AD5</t>
        </is>
      </c>
      <c r="C34" s="4" t="n">
        <v>8</v>
      </c>
      <c r="D34" s="4" t="n">
        <v>2</v>
      </c>
      <c r="E34" s="4" t="inlineStr">
        <is>
          <t>cam</t>
        </is>
      </c>
      <c r="F34" s="4" t="inlineStr">
        <is>
          <t>E</t>
        </is>
      </c>
      <c r="G34" s="4" t="inlineStr"/>
    </row>
    <row r="35">
      <c r="A35" s="4" t="inlineStr">
        <is>
          <t>MX_LVL-01</t>
        </is>
      </c>
      <c r="B35" s="4" t="inlineStr">
        <is>
          <t>MX_LVL-01|AM5</t>
        </is>
      </c>
      <c r="C35" s="4" t="n">
        <v>1</v>
      </c>
      <c r="D35" s="4" t="n">
        <v>1</v>
      </c>
      <c r="E35" s="4" t="inlineStr">
        <is>
          <t>xanh dương</t>
        </is>
      </c>
      <c r="F35" s="4" t="inlineStr">
        <is>
          <t>A</t>
        </is>
      </c>
      <c r="G35" s="4" t="inlineStr"/>
    </row>
    <row r="36">
      <c r="A36" s="4" t="inlineStr">
        <is>
          <t>MX_LVL-01</t>
        </is>
      </c>
      <c r="B36" s="4" t="inlineStr">
        <is>
          <t>MX_LVL-01|AM5</t>
        </is>
      </c>
      <c r="C36" s="4" t="n">
        <v>2</v>
      </c>
      <c r="D36" s="4" t="n">
        <v>1</v>
      </c>
      <c r="E36" s="4" t="inlineStr">
        <is>
          <t>cam</t>
        </is>
      </c>
      <c r="F36" s="4" t="inlineStr">
        <is>
          <t>A</t>
        </is>
      </c>
      <c r="G36" s="4" t="inlineStr"/>
    </row>
    <row r="37">
      <c r="A37" s="4" t="inlineStr">
        <is>
          <t>MX_LVL-01</t>
        </is>
      </c>
      <c r="B37" s="4" t="inlineStr">
        <is>
          <t>MX_LVL-01|AM5</t>
        </is>
      </c>
      <c r="C37" s="4" t="n">
        <v>3</v>
      </c>
      <c r="D37" s="4" t="n">
        <v>1</v>
      </c>
      <c r="E37" s="4" t="inlineStr">
        <is>
          <t>xanh lá</t>
        </is>
      </c>
      <c r="F37" s="4" t="inlineStr"/>
      <c r="G37" s="4" t="inlineStr"/>
    </row>
    <row r="38">
      <c r="A38" s="4" t="inlineStr">
        <is>
          <t>MX_LVL-01</t>
        </is>
      </c>
      <c r="B38" s="4" t="inlineStr">
        <is>
          <t>MX_LVL-01|AM5</t>
        </is>
      </c>
      <c r="C38" s="4" t="n">
        <v>4</v>
      </c>
      <c r="D38" s="4" t="n">
        <v>1</v>
      </c>
      <c r="E38" s="4" t="inlineStr">
        <is>
          <t>nâu</t>
        </is>
      </c>
      <c r="F38" s="4" t="inlineStr"/>
      <c r="G38" s="4" t="inlineStr"/>
    </row>
    <row r="39">
      <c r="A39" s="4" t="inlineStr">
        <is>
          <t>MX_LVL-01</t>
        </is>
      </c>
      <c r="B39" s="4" t="inlineStr">
        <is>
          <t>MX_LVL-01|AM5</t>
        </is>
      </c>
      <c r="C39" s="4" t="n">
        <v>5</v>
      </c>
      <c r="D39" s="4" t="n">
        <v>1</v>
      </c>
      <c r="E39" s="4" t="inlineStr">
        <is>
          <t>xám</t>
        </is>
      </c>
      <c r="F39" s="4" t="inlineStr"/>
      <c r="G39" s="4" t="inlineStr"/>
    </row>
    <row r="40">
      <c r="A40" s="4" t="inlineStr">
        <is>
          <t>MX_LVL-01</t>
        </is>
      </c>
      <c r="B40" s="4" t="inlineStr">
        <is>
          <t>MX_LVL-01|AM5</t>
        </is>
      </c>
      <c r="C40" s="4" t="n">
        <v>6</v>
      </c>
      <c r="D40" s="4" t="n">
        <v>1</v>
      </c>
      <c r="E40" s="4" t="inlineStr">
        <is>
          <t>trắng</t>
        </is>
      </c>
      <c r="F40" s="4" t="inlineStr"/>
      <c r="G40" s="4" t="inlineStr"/>
    </row>
    <row r="41">
      <c r="A41" s="4" t="inlineStr">
        <is>
          <t>MX_LVL-01</t>
        </is>
      </c>
      <c r="B41" s="4" t="inlineStr">
        <is>
          <t>MX_LVL-01|AM5</t>
        </is>
      </c>
      <c r="C41" s="4" t="n">
        <v>7</v>
      </c>
      <c r="D41" s="4" t="n">
        <v>2</v>
      </c>
      <c r="E41" s="4" t="inlineStr">
        <is>
          <t>xanh dương</t>
        </is>
      </c>
      <c r="F41" s="4" t="inlineStr"/>
      <c r="G41" s="4" t="inlineStr"/>
    </row>
    <row r="42">
      <c r="A42" s="4" t="inlineStr">
        <is>
          <t>MX_LVL-01</t>
        </is>
      </c>
      <c r="B42" s="4" t="inlineStr">
        <is>
          <t>MX_LVL-01|AM5</t>
        </is>
      </c>
      <c r="C42" s="4" t="n">
        <v>8</v>
      </c>
      <c r="D42" s="4" t="n">
        <v>2</v>
      </c>
      <c r="E42" s="4" t="inlineStr">
        <is>
          <t>cam</t>
        </is>
      </c>
      <c r="F42" s="4" t="inlineStr"/>
      <c r="G42" s="4" t="inlineStr"/>
    </row>
    <row r="43">
      <c r="A43" s="4" t="inlineStr">
        <is>
          <t>MX_LVL-01</t>
        </is>
      </c>
      <c r="B43" s="4" t="inlineStr">
        <is>
          <t>MX_LVL-01|AA8</t>
        </is>
      </c>
      <c r="C43" s="4" t="n">
        <v>1</v>
      </c>
      <c r="D43" s="4" t="n">
        <v>1</v>
      </c>
      <c r="E43" s="4" t="inlineStr">
        <is>
          <t>xanh dương</t>
        </is>
      </c>
      <c r="F43" s="4" t="inlineStr"/>
      <c r="G43" s="4" t="inlineStr"/>
    </row>
    <row r="44">
      <c r="A44" s="4" t="inlineStr">
        <is>
          <t>MX_LVL-01</t>
        </is>
      </c>
      <c r="B44" s="4" t="inlineStr">
        <is>
          <t>MX_LVL-01|AA8</t>
        </is>
      </c>
      <c r="C44" s="4" t="n">
        <v>2</v>
      </c>
      <c r="D44" s="4" t="n">
        <v>1</v>
      </c>
      <c r="E44" s="4" t="inlineStr">
        <is>
          <t>cam</t>
        </is>
      </c>
      <c r="F44" s="4" t="inlineStr"/>
      <c r="G44" s="4" t="inlineStr"/>
    </row>
    <row r="45">
      <c r="A45" s="4" t="inlineStr">
        <is>
          <t>MX_LVL-01</t>
        </is>
      </c>
      <c r="B45" s="4" t="inlineStr">
        <is>
          <t>MX_LVL-01|AA8</t>
        </is>
      </c>
      <c r="C45" s="4" t="n">
        <v>3</v>
      </c>
      <c r="D45" s="4" t="n">
        <v>1</v>
      </c>
      <c r="E45" s="4" t="inlineStr">
        <is>
          <t>xanh lá</t>
        </is>
      </c>
      <c r="F45" s="4" t="inlineStr">
        <is>
          <t>A</t>
        </is>
      </c>
      <c r="G45" s="4" t="inlineStr">
        <is>
          <t>HNB011</t>
        </is>
      </c>
    </row>
    <row r="46">
      <c r="A46" s="4" t="inlineStr">
        <is>
          <t>MX_LVL-01</t>
        </is>
      </c>
      <c r="B46" s="4" t="inlineStr">
        <is>
          <t>MX_LVL-01|AA8</t>
        </is>
      </c>
      <c r="C46" s="4" t="n">
        <v>4</v>
      </c>
      <c r="D46" s="4" t="n">
        <v>1</v>
      </c>
      <c r="E46" s="4" t="inlineStr">
        <is>
          <t>nâu</t>
        </is>
      </c>
      <c r="F46" s="4" t="inlineStr">
        <is>
          <t>A</t>
        </is>
      </c>
      <c r="G46" s="4" t="inlineStr">
        <is>
          <t>HNB011</t>
        </is>
      </c>
    </row>
    <row r="47">
      <c r="A47" s="4" t="inlineStr">
        <is>
          <t>MX_LVL-01</t>
        </is>
      </c>
      <c r="B47" s="4" t="inlineStr">
        <is>
          <t>MX_LVL-01|AA8</t>
        </is>
      </c>
      <c r="C47" s="4" t="n">
        <v>5</v>
      </c>
      <c r="D47" s="4" t="n">
        <v>1</v>
      </c>
      <c r="E47" s="4" t="inlineStr">
        <is>
          <t>xám</t>
        </is>
      </c>
      <c r="F47" s="4" t="inlineStr">
        <is>
          <t>B</t>
        </is>
      </c>
      <c r="G47" s="4" t="inlineStr">
        <is>
          <t>HNB055</t>
        </is>
      </c>
    </row>
    <row r="48">
      <c r="A48" s="4" t="inlineStr">
        <is>
          <t>MX_LVL-01</t>
        </is>
      </c>
      <c r="B48" s="4" t="inlineStr">
        <is>
          <t>MX_LVL-01|AA8</t>
        </is>
      </c>
      <c r="C48" s="4" t="n">
        <v>6</v>
      </c>
      <c r="D48" s="4" t="n">
        <v>1</v>
      </c>
      <c r="E48" s="4" t="inlineStr">
        <is>
          <t>trắng</t>
        </is>
      </c>
      <c r="F48" s="4" t="inlineStr">
        <is>
          <t>B</t>
        </is>
      </c>
      <c r="G48" s="4" t="inlineStr">
        <is>
          <t>HNB055</t>
        </is>
      </c>
    </row>
    <row r="49">
      <c r="A49" s="4" t="inlineStr">
        <is>
          <t>MX_LVL-01</t>
        </is>
      </c>
      <c r="B49" s="4" t="inlineStr">
        <is>
          <t>MX_LVL-01|AA8</t>
        </is>
      </c>
      <c r="C49" s="4" t="n">
        <v>7</v>
      </c>
      <c r="D49" s="4" t="n">
        <v>2</v>
      </c>
      <c r="E49" s="4" t="inlineStr">
        <is>
          <t>xanh dương</t>
        </is>
      </c>
      <c r="F49" s="4" t="inlineStr">
        <is>
          <t>E</t>
        </is>
      </c>
      <c r="G49" s="4" t="inlineStr"/>
    </row>
    <row r="50">
      <c r="A50" s="4" t="inlineStr">
        <is>
          <t>MX_LVL-01</t>
        </is>
      </c>
      <c r="B50" s="4" t="inlineStr">
        <is>
          <t>MX_LVL-01|AA8</t>
        </is>
      </c>
      <c r="C50" s="4" t="n">
        <v>8</v>
      </c>
      <c r="D50" s="4" t="n">
        <v>2</v>
      </c>
      <c r="E50" s="4" t="inlineStr">
        <is>
          <t>cam</t>
        </is>
      </c>
      <c r="F50" s="4" t="inlineStr">
        <is>
          <t>E</t>
        </is>
      </c>
      <c r="G50" s="4" t="inlineStr"/>
    </row>
    <row r="51">
      <c r="A51" s="4" t="inlineStr">
        <is>
          <t>MX_LVL-01</t>
        </is>
      </c>
      <c r="B51" s="4" t="inlineStr">
        <is>
          <t>MX_LVL-01|AA8</t>
        </is>
      </c>
      <c r="C51" s="4" t="n">
        <v>9</v>
      </c>
      <c r="D51" s="4" t="n">
        <v>2</v>
      </c>
      <c r="E51" s="4" t="inlineStr">
        <is>
          <t>xanh lá</t>
        </is>
      </c>
      <c r="F51" s="4" t="inlineStr"/>
      <c r="G51" s="4" t="inlineStr"/>
    </row>
    <row r="52">
      <c r="A52" s="4" t="inlineStr">
        <is>
          <t>MX_LVL-01</t>
        </is>
      </c>
      <c r="B52" s="4" t="inlineStr">
        <is>
          <t>MX_LVL-01|AA8</t>
        </is>
      </c>
      <c r="C52" s="4" t="n">
        <v>10</v>
      </c>
      <c r="D52" s="4" t="n">
        <v>2</v>
      </c>
      <c r="E52" s="4" t="inlineStr">
        <is>
          <t>nâu</t>
        </is>
      </c>
      <c r="F52" s="4" t="inlineStr"/>
      <c r="G52" s="4" t="inlineStr"/>
    </row>
    <row r="53">
      <c r="A53" s="4" t="inlineStr">
        <is>
          <t>MX_LVL-01</t>
        </is>
      </c>
      <c r="B53" s="4" t="inlineStr">
        <is>
          <t>MX_LVL-01|AA8</t>
        </is>
      </c>
      <c r="C53" s="4" t="n">
        <v>11</v>
      </c>
      <c r="D53" s="4" t="n">
        <v>2</v>
      </c>
      <c r="E53" s="4" t="inlineStr">
        <is>
          <t>xám</t>
        </is>
      </c>
      <c r="F53" s="4" t="inlineStr"/>
      <c r="G53" s="4" t="inlineStr"/>
    </row>
    <row r="54">
      <c r="A54" s="4" t="inlineStr">
        <is>
          <t>MX_LVL-01</t>
        </is>
      </c>
      <c r="B54" s="4" t="inlineStr">
        <is>
          <t>MX_LVL-01|AA8</t>
        </is>
      </c>
      <c r="C54" s="4" t="n">
        <v>12</v>
      </c>
      <c r="D54" s="4" t="n">
        <v>2</v>
      </c>
      <c r="E54" s="4" t="inlineStr">
        <is>
          <t>trắng</t>
        </is>
      </c>
      <c r="F54" s="4" t="inlineStr"/>
      <c r="G54" s="4" t="inlineStr"/>
    </row>
    <row r="55">
      <c r="A55" s="4" t="inlineStr">
        <is>
          <t>MX_LVL-01</t>
        </is>
      </c>
      <c r="B55" s="4" t="inlineStr">
        <is>
          <t>MX_LVL-01|AD22</t>
        </is>
      </c>
      <c r="C55" s="4" t="n">
        <v>1</v>
      </c>
      <c r="D55" s="4" t="n">
        <v>1</v>
      </c>
      <c r="E55" s="4" t="inlineStr">
        <is>
          <t>xanh dương</t>
        </is>
      </c>
      <c r="F55" s="4" t="inlineStr">
        <is>
          <t>C</t>
        </is>
      </c>
      <c r="G55" s="4" t="inlineStr">
        <is>
          <t>HNB075</t>
        </is>
      </c>
    </row>
    <row r="56">
      <c r="A56" s="4" t="inlineStr">
        <is>
          <t>MX_LVL-01</t>
        </is>
      </c>
      <c r="B56" s="4" t="inlineStr">
        <is>
          <t>MX_LVL-01|AD22</t>
        </is>
      </c>
      <c r="C56" s="4" t="n">
        <v>2</v>
      </c>
      <c r="D56" s="4" t="n">
        <v>1</v>
      </c>
      <c r="E56" s="4" t="inlineStr">
        <is>
          <t>cam</t>
        </is>
      </c>
      <c r="F56" s="4" t="inlineStr">
        <is>
          <t>C</t>
        </is>
      </c>
      <c r="G56" s="4" t="inlineStr">
        <is>
          <t>HNB075</t>
        </is>
      </c>
    </row>
    <row r="57">
      <c r="A57" s="4" t="inlineStr">
        <is>
          <t>MX_LVL-01</t>
        </is>
      </c>
      <c r="B57" s="4" t="inlineStr">
        <is>
          <t>MX_LVL-01|AD22</t>
        </is>
      </c>
      <c r="C57" s="4" t="n">
        <v>3</v>
      </c>
      <c r="D57" s="4" t="n">
        <v>1</v>
      </c>
      <c r="E57" s="4" t="inlineStr">
        <is>
          <t>xanh lá</t>
        </is>
      </c>
      <c r="F57" s="4" t="inlineStr"/>
      <c r="G57" s="4" t="inlineStr"/>
    </row>
    <row r="58">
      <c r="A58" s="4" t="inlineStr">
        <is>
          <t>MX_LVL-01</t>
        </is>
      </c>
      <c r="B58" s="4" t="inlineStr">
        <is>
          <t>MX_LVL-01|AD22</t>
        </is>
      </c>
      <c r="C58" s="4" t="n">
        <v>4</v>
      </c>
      <c r="D58" s="4" t="n">
        <v>1</v>
      </c>
      <c r="E58" s="4" t="inlineStr">
        <is>
          <t>nâu</t>
        </is>
      </c>
      <c r="F58" s="4" t="inlineStr"/>
      <c r="G58" s="4" t="inlineStr"/>
    </row>
    <row r="59">
      <c r="A59" s="4" t="inlineStr">
        <is>
          <t>MX_LVL-01</t>
        </is>
      </c>
      <c r="B59" s="4" t="inlineStr">
        <is>
          <t>MX_LVL-01|AD22</t>
        </is>
      </c>
      <c r="C59" s="4" t="n">
        <v>5</v>
      </c>
      <c r="D59" s="4" t="n">
        <v>1</v>
      </c>
      <c r="E59" s="4" t="inlineStr">
        <is>
          <t>xám</t>
        </is>
      </c>
      <c r="F59" s="4" t="inlineStr">
        <is>
          <t>B</t>
        </is>
      </c>
      <c r="G59" s="4" t="inlineStr">
        <is>
          <t>HNB055</t>
        </is>
      </c>
    </row>
    <row r="60">
      <c r="A60" s="4" t="inlineStr">
        <is>
          <t>MX_LVL-01</t>
        </is>
      </c>
      <c r="B60" s="4" t="inlineStr">
        <is>
          <t>MX_LVL-01|AD22</t>
        </is>
      </c>
      <c r="C60" s="4" t="n">
        <v>6</v>
      </c>
      <c r="D60" s="4" t="n">
        <v>1</v>
      </c>
      <c r="E60" s="4" t="inlineStr">
        <is>
          <t>trắng</t>
        </is>
      </c>
      <c r="F60" s="4" t="inlineStr">
        <is>
          <t>B</t>
        </is>
      </c>
      <c r="G60" s="4" t="inlineStr">
        <is>
          <t>HNB055</t>
        </is>
      </c>
    </row>
    <row r="61">
      <c r="A61" s="4" t="inlineStr">
        <is>
          <t>MX_LVL-01</t>
        </is>
      </c>
      <c r="B61" s="4" t="inlineStr">
        <is>
          <t>MX_LVL-01|AD22</t>
        </is>
      </c>
      <c r="C61" s="4" t="n">
        <v>7</v>
      </c>
      <c r="D61" s="4" t="n">
        <v>2</v>
      </c>
      <c r="E61" s="4" t="inlineStr">
        <is>
          <t>xanh dương</t>
        </is>
      </c>
      <c r="F61" s="4" t="inlineStr">
        <is>
          <t>D</t>
        </is>
      </c>
      <c r="G61" s="4" t="inlineStr"/>
    </row>
    <row r="62">
      <c r="A62" s="4" t="inlineStr">
        <is>
          <t>MX_LVL-01</t>
        </is>
      </c>
      <c r="B62" s="4" t="inlineStr">
        <is>
          <t>MX_LVL-01|AD22</t>
        </is>
      </c>
      <c r="C62" s="4" t="n">
        <v>8</v>
      </c>
      <c r="D62" s="4" t="n">
        <v>2</v>
      </c>
      <c r="E62" s="4" t="inlineStr">
        <is>
          <t>cam</t>
        </is>
      </c>
      <c r="F62" s="4" t="inlineStr">
        <is>
          <t>D</t>
        </is>
      </c>
      <c r="G62" s="4" t="inlineStr"/>
    </row>
    <row r="63">
      <c r="A63" s="4" t="inlineStr">
        <is>
          <t>MX_LVL-01</t>
        </is>
      </c>
      <c r="B63" s="4" t="inlineStr">
        <is>
          <t>MX_LVL-01|AD22</t>
        </is>
      </c>
      <c r="C63" s="4" t="n">
        <v>9</v>
      </c>
      <c r="D63" s="4" t="n">
        <v>2</v>
      </c>
      <c r="E63" s="4" t="inlineStr">
        <is>
          <t>xanh lá</t>
        </is>
      </c>
      <c r="F63" s="4" t="inlineStr">
        <is>
          <t>D</t>
        </is>
      </c>
      <c r="G63" s="4" t="inlineStr"/>
    </row>
    <row r="64">
      <c r="A64" s="4" t="inlineStr">
        <is>
          <t>MX_LVL-01</t>
        </is>
      </c>
      <c r="B64" s="4" t="inlineStr">
        <is>
          <t>MX_LVL-01|AD22</t>
        </is>
      </c>
      <c r="C64" s="4" t="n">
        <v>10</v>
      </c>
      <c r="D64" s="4" t="n">
        <v>2</v>
      </c>
      <c r="E64" s="4" t="inlineStr">
        <is>
          <t>nâu</t>
        </is>
      </c>
      <c r="F64" s="4" t="inlineStr">
        <is>
          <t>D</t>
        </is>
      </c>
      <c r="G64" s="4" t="inlineStr"/>
    </row>
    <row r="65">
      <c r="A65" s="4" t="inlineStr">
        <is>
          <t>MX_LVL-01</t>
        </is>
      </c>
      <c r="B65" s="4" t="inlineStr">
        <is>
          <t>MX_LVL-01|AD22</t>
        </is>
      </c>
      <c r="C65" s="4" t="n">
        <v>11</v>
      </c>
      <c r="D65" s="4" t="n">
        <v>2</v>
      </c>
      <c r="E65" s="4" t="inlineStr">
        <is>
          <t>xám</t>
        </is>
      </c>
      <c r="F65" s="4" t="inlineStr"/>
      <c r="G65" s="4" t="inlineStr"/>
    </row>
    <row r="66">
      <c r="A66" s="4" t="inlineStr">
        <is>
          <t>MX_LVL-01</t>
        </is>
      </c>
      <c r="B66" s="4" t="inlineStr">
        <is>
          <t>MX_LVL-01|AD22</t>
        </is>
      </c>
      <c r="C66" s="4" t="n">
        <v>12</v>
      </c>
      <c r="D66" s="4" t="n">
        <v>2</v>
      </c>
      <c r="E66" s="4" t="inlineStr">
        <is>
          <t>trắng</t>
        </is>
      </c>
      <c r="F66" s="4" t="inlineStr"/>
      <c r="G66" s="4" t="inlineStr"/>
    </row>
    <row r="67">
      <c r="A67" s="4" t="inlineStr">
        <is>
          <t>MX_DST</t>
        </is>
      </c>
      <c r="B67" s="4" t="inlineStr">
        <is>
          <t>MX_DST|C23</t>
        </is>
      </c>
      <c r="C67" s="4" t="n">
        <v>1</v>
      </c>
      <c r="D67" s="4" t="n">
        <v>1</v>
      </c>
      <c r="E67" s="4" t="inlineStr">
        <is>
          <t>xanh dương</t>
        </is>
      </c>
      <c r="F67" s="4" t="inlineStr"/>
      <c r="G67" s="4" t="inlineStr"/>
    </row>
    <row r="68">
      <c r="A68" s="4" t="inlineStr">
        <is>
          <t>MX_DST</t>
        </is>
      </c>
      <c r="B68" s="4" t="inlineStr">
        <is>
          <t>MX_DST|C23</t>
        </is>
      </c>
      <c r="C68" s="4" t="n">
        <v>2</v>
      </c>
      <c r="D68" s="4" t="n">
        <v>1</v>
      </c>
      <c r="E68" s="4" t="inlineStr">
        <is>
          <t>cam</t>
        </is>
      </c>
      <c r="F68" s="4" t="inlineStr"/>
      <c r="G68" s="4" t="inlineStr"/>
    </row>
    <row r="69">
      <c r="A69" s="4" t="inlineStr">
        <is>
          <t>MX_DST</t>
        </is>
      </c>
      <c r="B69" s="4" t="inlineStr">
        <is>
          <t>MX_DST|C23</t>
        </is>
      </c>
      <c r="C69" s="4" t="n">
        <v>3</v>
      </c>
      <c r="D69" s="4" t="n">
        <v>1</v>
      </c>
      <c r="E69" s="4" t="inlineStr">
        <is>
          <t>xanh lá</t>
        </is>
      </c>
      <c r="F69" s="4" t="inlineStr"/>
      <c r="G69" s="4" t="inlineStr"/>
    </row>
    <row r="70">
      <c r="A70" s="4" t="inlineStr">
        <is>
          <t>MX_DST</t>
        </is>
      </c>
      <c r="B70" s="4" t="inlineStr">
        <is>
          <t>MX_DST|C23</t>
        </is>
      </c>
      <c r="C70" s="4" t="n">
        <v>4</v>
      </c>
      <c r="D70" s="4" t="n">
        <v>1</v>
      </c>
      <c r="E70" s="4" t="inlineStr">
        <is>
          <t>nâu</t>
        </is>
      </c>
      <c r="F70" s="4" t="inlineStr"/>
      <c r="G70" s="4" t="inlineStr"/>
    </row>
    <row r="71">
      <c r="A71" s="4" t="inlineStr">
        <is>
          <t>MX_DST</t>
        </is>
      </c>
      <c r="B71" s="4" t="inlineStr">
        <is>
          <t>MX_DST|C23</t>
        </is>
      </c>
      <c r="C71" s="4" t="n">
        <v>5</v>
      </c>
      <c r="D71" s="4" t="n">
        <v>1</v>
      </c>
      <c r="E71" s="4" t="inlineStr">
        <is>
          <t>xám</t>
        </is>
      </c>
      <c r="F71" s="4" t="inlineStr"/>
      <c r="G71" s="4" t="inlineStr"/>
    </row>
    <row r="72">
      <c r="A72" s="4" t="inlineStr">
        <is>
          <t>MX_DST</t>
        </is>
      </c>
      <c r="B72" s="4" t="inlineStr">
        <is>
          <t>MX_DST|C23</t>
        </is>
      </c>
      <c r="C72" s="4" t="n">
        <v>6</v>
      </c>
      <c r="D72" s="4" t="n">
        <v>1</v>
      </c>
      <c r="E72" s="4" t="inlineStr">
        <is>
          <t>trắng</t>
        </is>
      </c>
      <c r="F72" s="4" t="inlineStr"/>
      <c r="G72" s="4" t="inlineStr"/>
    </row>
    <row r="73">
      <c r="A73" s="4" t="inlineStr">
        <is>
          <t>MX_DST</t>
        </is>
      </c>
      <c r="B73" s="4" t="inlineStr">
        <is>
          <t>MX_DST|C23</t>
        </is>
      </c>
      <c r="C73" s="4" t="n">
        <v>7</v>
      </c>
      <c r="D73" s="4" t="n">
        <v>2</v>
      </c>
      <c r="E73" s="4" t="inlineStr">
        <is>
          <t>xanh dương</t>
        </is>
      </c>
      <c r="F73" s="4" t="inlineStr"/>
      <c r="G73" s="4" t="inlineStr"/>
    </row>
    <row r="74">
      <c r="A74" s="4" t="inlineStr">
        <is>
          <t>MX_DST</t>
        </is>
      </c>
      <c r="B74" s="4" t="inlineStr">
        <is>
          <t>MX_DST|C23</t>
        </is>
      </c>
      <c r="C74" s="4" t="n">
        <v>8</v>
      </c>
      <c r="D74" s="4" t="n">
        <v>2</v>
      </c>
      <c r="E74" s="4" t="inlineStr">
        <is>
          <t>cam</t>
        </is>
      </c>
      <c r="F74" s="4" t="inlineStr"/>
      <c r="G74" s="4" t="inlineStr"/>
    </row>
    <row r="75">
      <c r="A75" s="4" t="inlineStr">
        <is>
          <t>MX_DST</t>
        </is>
      </c>
      <c r="B75" s="4" t="inlineStr">
        <is>
          <t>MX_DST|L23</t>
        </is>
      </c>
      <c r="C75" s="4" t="n">
        <v>1</v>
      </c>
      <c r="D75" s="4" t="n">
        <v>1</v>
      </c>
      <c r="E75" s="4" t="inlineStr">
        <is>
          <t>xanh dương</t>
        </is>
      </c>
      <c r="F75" s="4" t="inlineStr"/>
      <c r="G75" s="4" t="inlineStr"/>
    </row>
    <row r="76">
      <c r="A76" s="4" t="inlineStr">
        <is>
          <t>MX_DST</t>
        </is>
      </c>
      <c r="B76" s="4" t="inlineStr">
        <is>
          <t>MX_DST|L23</t>
        </is>
      </c>
      <c r="C76" s="4" t="n">
        <v>2</v>
      </c>
      <c r="D76" s="4" t="n">
        <v>1</v>
      </c>
      <c r="E76" s="4" t="inlineStr">
        <is>
          <t>cam</t>
        </is>
      </c>
      <c r="F76" s="4" t="inlineStr"/>
      <c r="G76" s="4" t="inlineStr"/>
    </row>
    <row r="77">
      <c r="A77" s="4" t="inlineStr">
        <is>
          <t>MX_DST</t>
        </is>
      </c>
      <c r="B77" s="4" t="inlineStr">
        <is>
          <t>MX_DST|L23</t>
        </is>
      </c>
      <c r="C77" s="4" t="n">
        <v>3</v>
      </c>
      <c r="D77" s="4" t="n">
        <v>1</v>
      </c>
      <c r="E77" s="4" t="inlineStr">
        <is>
          <t>xanh lá</t>
        </is>
      </c>
      <c r="F77" s="4" t="inlineStr"/>
      <c r="G77" s="4" t="inlineStr"/>
    </row>
    <row r="78">
      <c r="A78" s="4" t="inlineStr">
        <is>
          <t>MX_DST</t>
        </is>
      </c>
      <c r="B78" s="4" t="inlineStr">
        <is>
          <t>MX_DST|L23</t>
        </is>
      </c>
      <c r="C78" s="4" t="n">
        <v>4</v>
      </c>
      <c r="D78" s="4" t="n">
        <v>1</v>
      </c>
      <c r="E78" s="4" t="inlineStr">
        <is>
          <t>nâu</t>
        </is>
      </c>
      <c r="F78" s="4" t="inlineStr"/>
      <c r="G78" s="4" t="inlineStr"/>
    </row>
    <row r="79">
      <c r="A79" s="4" t="inlineStr">
        <is>
          <t>MX_DST</t>
        </is>
      </c>
      <c r="B79" s="4" t="inlineStr">
        <is>
          <t>MX_DST|L23</t>
        </is>
      </c>
      <c r="C79" s="4" t="n">
        <v>5</v>
      </c>
      <c r="D79" s="4" t="n">
        <v>1</v>
      </c>
      <c r="E79" s="4" t="inlineStr">
        <is>
          <t>xám</t>
        </is>
      </c>
      <c r="F79" s="4" t="inlineStr"/>
      <c r="G79" s="4" t="inlineStr"/>
    </row>
    <row r="80">
      <c r="A80" s="4" t="inlineStr">
        <is>
          <t>MX_DST</t>
        </is>
      </c>
      <c r="B80" s="4" t="inlineStr">
        <is>
          <t>MX_DST|L23</t>
        </is>
      </c>
      <c r="C80" s="4" t="n">
        <v>6</v>
      </c>
      <c r="D80" s="4" t="n">
        <v>1</v>
      </c>
      <c r="E80" s="4" t="inlineStr">
        <is>
          <t>trắng</t>
        </is>
      </c>
      <c r="F80" s="4" t="inlineStr"/>
      <c r="G80" s="4" t="inlineStr"/>
    </row>
    <row r="81">
      <c r="A81" s="4" t="inlineStr">
        <is>
          <t>MX_DST</t>
        </is>
      </c>
      <c r="B81" s="4" t="inlineStr">
        <is>
          <t>MX_DST|L23</t>
        </is>
      </c>
      <c r="C81" s="4" t="n">
        <v>7</v>
      </c>
      <c r="D81" s="4" t="n">
        <v>2</v>
      </c>
      <c r="E81" s="4" t="inlineStr">
        <is>
          <t>xanh dương</t>
        </is>
      </c>
      <c r="F81" s="4" t="inlineStr"/>
      <c r="G81" s="4" t="inlineStr"/>
    </row>
    <row r="82">
      <c r="A82" s="4" t="inlineStr">
        <is>
          <t>MX_DST</t>
        </is>
      </c>
      <c r="B82" s="4" t="inlineStr">
        <is>
          <t>MX_DST|L23</t>
        </is>
      </c>
      <c r="C82" s="4" t="n">
        <v>8</v>
      </c>
      <c r="D82" s="4" t="n">
        <v>2</v>
      </c>
      <c r="E82" s="4" t="inlineStr">
        <is>
          <t>cam</t>
        </is>
      </c>
      <c r="F82" s="4" t="inlineStr"/>
      <c r="G82" s="4" t="inlineStr"/>
    </row>
    <row r="83">
      <c r="A83" s="4" t="inlineStr">
        <is>
          <t>MX_DST</t>
        </is>
      </c>
      <c r="B83" s="4" t="inlineStr">
        <is>
          <t>MX_DST|L23</t>
        </is>
      </c>
      <c r="C83" s="4" t="n">
        <v>9</v>
      </c>
      <c r="D83" s="4" t="n">
        <v>2</v>
      </c>
      <c r="E83" s="4" t="inlineStr">
        <is>
          <t>xanh lá</t>
        </is>
      </c>
      <c r="F83" s="4" t="inlineStr"/>
      <c r="G83" s="4" t="inlineStr"/>
    </row>
    <row r="84">
      <c r="A84" s="4" t="inlineStr">
        <is>
          <t>MX_DST</t>
        </is>
      </c>
      <c r="B84" s="4" t="inlineStr">
        <is>
          <t>MX_DST|L23</t>
        </is>
      </c>
      <c r="C84" s="4" t="n">
        <v>10</v>
      </c>
      <c r="D84" s="4" t="n">
        <v>2</v>
      </c>
      <c r="E84" s="4" t="inlineStr">
        <is>
          <t>nâu</t>
        </is>
      </c>
      <c r="F84" s="4" t="inlineStr"/>
      <c r="G84" s="4" t="inlineStr"/>
    </row>
    <row r="85">
      <c r="A85" s="4" t="inlineStr">
        <is>
          <t>MX_DST</t>
        </is>
      </c>
      <c r="B85" s="4" t="inlineStr">
        <is>
          <t>MX_DST|L23</t>
        </is>
      </c>
      <c r="C85" s="4" t="n">
        <v>11</v>
      </c>
      <c r="D85" s="4" t="n">
        <v>2</v>
      </c>
      <c r="E85" s="4" t="inlineStr">
        <is>
          <t>xám</t>
        </is>
      </c>
      <c r="F85" s="4" t="inlineStr"/>
      <c r="G85" s="4" t="inlineStr"/>
    </row>
    <row r="86">
      <c r="A86" s="4" t="inlineStr">
        <is>
          <t>MX_DST</t>
        </is>
      </c>
      <c r="B86" s="4" t="inlineStr">
        <is>
          <t>MX_DST|L23</t>
        </is>
      </c>
      <c r="C86" s="4" t="n">
        <v>12</v>
      </c>
      <c r="D86" s="4" t="n">
        <v>2</v>
      </c>
      <c r="E86" s="4" t="inlineStr">
        <is>
          <t>trắng</t>
        </is>
      </c>
      <c r="F86" s="4" t="inlineStr"/>
      <c r="G86" s="4" t="inlineStr"/>
    </row>
    <row r="87">
      <c r="A87" s="4" t="inlineStr">
        <is>
          <t>MX_DST</t>
        </is>
      </c>
      <c r="B87" s="4" t="inlineStr">
        <is>
          <t>MX_DST|L36</t>
        </is>
      </c>
      <c r="C87" s="4" t="n">
        <v>1</v>
      </c>
      <c r="D87" s="4" t="n">
        <v>1</v>
      </c>
      <c r="E87" s="4" t="inlineStr">
        <is>
          <t>xanh dương</t>
        </is>
      </c>
      <c r="F87" s="4" t="inlineStr"/>
      <c r="G87" s="4" t="inlineStr"/>
    </row>
    <row r="88">
      <c r="A88" s="4" t="inlineStr">
        <is>
          <t>MX_DST</t>
        </is>
      </c>
      <c r="B88" s="4" t="inlineStr">
        <is>
          <t>MX_DST|L36</t>
        </is>
      </c>
      <c r="C88" s="4" t="n">
        <v>2</v>
      </c>
      <c r="D88" s="4" t="n">
        <v>1</v>
      </c>
      <c r="E88" s="4" t="inlineStr">
        <is>
          <t>cam</t>
        </is>
      </c>
      <c r="F88" s="4" t="inlineStr"/>
      <c r="G88" s="4" t="inlineStr"/>
    </row>
    <row r="89">
      <c r="A89" s="4" t="inlineStr">
        <is>
          <t>MX_DST</t>
        </is>
      </c>
      <c r="B89" s="4" t="inlineStr">
        <is>
          <t>MX_DST|L36</t>
        </is>
      </c>
      <c r="C89" s="4" t="n">
        <v>3</v>
      </c>
      <c r="D89" s="4" t="n">
        <v>1</v>
      </c>
      <c r="E89" s="4" t="inlineStr">
        <is>
          <t>xanh lá</t>
        </is>
      </c>
      <c r="F89" s="4" t="inlineStr"/>
      <c r="G89" s="4" t="inlineStr"/>
    </row>
    <row r="90">
      <c r="A90" s="4" t="inlineStr">
        <is>
          <t>MX_DST</t>
        </is>
      </c>
      <c r="B90" s="4" t="inlineStr">
        <is>
          <t>MX_DST|L36</t>
        </is>
      </c>
      <c r="C90" s="4" t="n">
        <v>4</v>
      </c>
      <c r="D90" s="4" t="n">
        <v>1</v>
      </c>
      <c r="E90" s="4" t="inlineStr">
        <is>
          <t>nâu</t>
        </is>
      </c>
      <c r="F90" s="4" t="inlineStr"/>
      <c r="G90" s="4" t="inlineStr"/>
    </row>
    <row r="91">
      <c r="A91" s="4" t="inlineStr">
        <is>
          <t>MX_DST</t>
        </is>
      </c>
      <c r="B91" s="4" t="inlineStr">
        <is>
          <t>MX_DST|L36</t>
        </is>
      </c>
      <c r="C91" s="4" t="n">
        <v>5</v>
      </c>
      <c r="D91" s="4" t="n">
        <v>1</v>
      </c>
      <c r="E91" s="4" t="inlineStr">
        <is>
          <t>xám</t>
        </is>
      </c>
      <c r="F91" s="4" t="inlineStr"/>
      <c r="G91" s="4" t="inlineStr"/>
    </row>
    <row r="92">
      <c r="A92" s="4" t="inlineStr">
        <is>
          <t>MX_DST</t>
        </is>
      </c>
      <c r="B92" s="4" t="inlineStr">
        <is>
          <t>MX_DST|L36</t>
        </is>
      </c>
      <c r="C92" s="4" t="n">
        <v>6</v>
      </c>
      <c r="D92" s="4" t="n">
        <v>1</v>
      </c>
      <c r="E92" s="4" t="inlineStr">
        <is>
          <t>trắng</t>
        </is>
      </c>
      <c r="F92" s="4" t="inlineStr"/>
      <c r="G92" s="4" t="inlineStr"/>
    </row>
    <row r="93">
      <c r="A93" s="4" t="inlineStr">
        <is>
          <t>MX_DST</t>
        </is>
      </c>
      <c r="B93" s="4" t="inlineStr">
        <is>
          <t>MX_DST|L36</t>
        </is>
      </c>
      <c r="C93" s="4" t="n">
        <v>7</v>
      </c>
      <c r="D93" s="4" t="n">
        <v>2</v>
      </c>
      <c r="E93" s="4" t="inlineStr">
        <is>
          <t>xanh dương</t>
        </is>
      </c>
      <c r="F93" s="4" t="inlineStr"/>
      <c r="G93" s="4" t="inlineStr"/>
    </row>
    <row r="94">
      <c r="A94" s="4" t="inlineStr">
        <is>
          <t>MX_DST</t>
        </is>
      </c>
      <c r="B94" s="4" t="inlineStr">
        <is>
          <t>MX_DST|L36</t>
        </is>
      </c>
      <c r="C94" s="4" t="n">
        <v>8</v>
      </c>
      <c r="D94" s="4" t="n">
        <v>2</v>
      </c>
      <c r="E94" s="4" t="inlineStr">
        <is>
          <t>cam</t>
        </is>
      </c>
      <c r="F94" s="4" t="inlineStr"/>
      <c r="G94" s="4" t="inlineStr"/>
    </row>
    <row r="95">
      <c r="A95" s="4" t="inlineStr">
        <is>
          <t>MX_DST</t>
        </is>
      </c>
      <c r="B95" s="4" t="inlineStr">
        <is>
          <t>MX_DST|L36</t>
        </is>
      </c>
      <c r="C95" s="4" t="n">
        <v>9</v>
      </c>
      <c r="D95" s="4" t="n">
        <v>2</v>
      </c>
      <c r="E95" s="4" t="inlineStr">
        <is>
          <t>xanh lá</t>
        </is>
      </c>
      <c r="F95" s="4" t="inlineStr"/>
      <c r="G95" s="4" t="inlineStr"/>
    </row>
    <row r="96">
      <c r="A96" s="4" t="inlineStr">
        <is>
          <t>MX_DST</t>
        </is>
      </c>
      <c r="B96" s="4" t="inlineStr">
        <is>
          <t>MX_DST|L36</t>
        </is>
      </c>
      <c r="C96" s="4" t="n">
        <v>10</v>
      </c>
      <c r="D96" s="4" t="n">
        <v>2</v>
      </c>
      <c r="E96" s="4" t="inlineStr">
        <is>
          <t>nâu</t>
        </is>
      </c>
      <c r="F96" s="4" t="inlineStr"/>
      <c r="G96" s="4" t="inlineStr"/>
    </row>
    <row r="97">
      <c r="A97" s="4" t="inlineStr">
        <is>
          <t>MX_DST</t>
        </is>
      </c>
      <c r="B97" s="4" t="inlineStr">
        <is>
          <t>MX_DST|L36</t>
        </is>
      </c>
      <c r="C97" s="4" t="n">
        <v>11</v>
      </c>
      <c r="D97" s="4" t="n">
        <v>2</v>
      </c>
      <c r="E97" s="4" t="inlineStr">
        <is>
          <t>xám</t>
        </is>
      </c>
      <c r="F97" s="4" t="inlineStr"/>
      <c r="G97" s="4" t="inlineStr"/>
    </row>
    <row r="98">
      <c r="A98" s="4" t="inlineStr">
        <is>
          <t>MX_DST</t>
        </is>
      </c>
      <c r="B98" s="4" t="inlineStr">
        <is>
          <t>MX_DST|L36</t>
        </is>
      </c>
      <c r="C98" s="4" t="n">
        <v>12</v>
      </c>
      <c r="D98" s="4" t="n">
        <v>2</v>
      </c>
      <c r="E98" s="4" t="inlineStr">
        <is>
          <t>trắng</t>
        </is>
      </c>
      <c r="F98" s="4" t="inlineStr"/>
      <c r="G98" s="4" t="inlineStr"/>
    </row>
    <row r="99">
      <c r="A99" s="4" t="inlineStr">
        <is>
          <t>MX_LVL-02</t>
        </is>
      </c>
      <c r="B99" s="4" t="inlineStr">
        <is>
          <t>MX_LVL-02|AD28</t>
        </is>
      </c>
      <c r="C99" s="4" t="n">
        <v>1</v>
      </c>
      <c r="D99" s="4" t="n">
        <v>1</v>
      </c>
      <c r="E99" s="4" t="inlineStr">
        <is>
          <t>xanh dương</t>
        </is>
      </c>
      <c r="F99" s="4" t="inlineStr">
        <is>
          <t>A</t>
        </is>
      </c>
      <c r="G99" s="4" t="inlineStr">
        <is>
          <t>HNB075</t>
        </is>
      </c>
    </row>
    <row r="100">
      <c r="A100" s="4" t="inlineStr">
        <is>
          <t>MX_LVL-02</t>
        </is>
      </c>
      <c r="B100" s="4" t="inlineStr">
        <is>
          <t>MX_LVL-02|AD28</t>
        </is>
      </c>
      <c r="C100" s="4" t="n">
        <v>2</v>
      </c>
      <c r="D100" s="4" t="n">
        <v>1</v>
      </c>
      <c r="E100" s="4" t="inlineStr">
        <is>
          <t>cam</t>
        </is>
      </c>
      <c r="F100" s="4" t="inlineStr">
        <is>
          <t>A</t>
        </is>
      </c>
      <c r="G100" s="4" t="inlineStr">
        <is>
          <t>HNB075</t>
        </is>
      </c>
    </row>
    <row r="101">
      <c r="A101" s="4" t="inlineStr">
        <is>
          <t>MX_LVL-02</t>
        </is>
      </c>
      <c r="B101" s="4" t="inlineStr">
        <is>
          <t>MX_LVL-02|AD28</t>
        </is>
      </c>
      <c r="C101" s="4" t="n">
        <v>3</v>
      </c>
      <c r="D101" s="4" t="n">
        <v>1</v>
      </c>
      <c r="E101" s="4" t="inlineStr">
        <is>
          <t>xanh lá</t>
        </is>
      </c>
      <c r="F101" s="4" t="inlineStr"/>
      <c r="G101" s="4" t="inlineStr"/>
    </row>
    <row r="102">
      <c r="A102" s="4" t="inlineStr">
        <is>
          <t>MX_LVL-02</t>
        </is>
      </c>
      <c r="B102" s="4" t="inlineStr">
        <is>
          <t>MX_LVL-02|AD28</t>
        </is>
      </c>
      <c r="C102" s="4" t="n">
        <v>4</v>
      </c>
      <c r="D102" s="4" t="n">
        <v>1</v>
      </c>
      <c r="E102" s="4" t="inlineStr">
        <is>
          <t>nâu</t>
        </is>
      </c>
      <c r="F102" s="4" t="inlineStr"/>
      <c r="G102" s="4" t="inlineStr"/>
    </row>
    <row r="103">
      <c r="A103" s="4" t="inlineStr">
        <is>
          <t>MX_LVL-02</t>
        </is>
      </c>
      <c r="B103" s="4" t="inlineStr">
        <is>
          <t>MX_LVL-02|AD28</t>
        </is>
      </c>
      <c r="C103" s="4" t="n">
        <v>5</v>
      </c>
      <c r="D103" s="4" t="n">
        <v>1</v>
      </c>
      <c r="E103" s="4" t="inlineStr">
        <is>
          <t>xám</t>
        </is>
      </c>
      <c r="F103" s="4" t="inlineStr">
        <is>
          <t>B</t>
        </is>
      </c>
      <c r="G103" s="4" t="inlineStr">
        <is>
          <t>HNB055</t>
        </is>
      </c>
    </row>
    <row r="104">
      <c r="A104" s="4" t="inlineStr">
        <is>
          <t>MX_LVL-02</t>
        </is>
      </c>
      <c r="B104" s="4" t="inlineStr">
        <is>
          <t>MX_LVL-02|AD28</t>
        </is>
      </c>
      <c r="C104" s="4" t="n">
        <v>6</v>
      </c>
      <c r="D104" s="4" t="n">
        <v>1</v>
      </c>
      <c r="E104" s="4" t="inlineStr">
        <is>
          <t>trắng</t>
        </is>
      </c>
      <c r="F104" s="4" t="inlineStr">
        <is>
          <t>B</t>
        </is>
      </c>
      <c r="G104" s="4" t="inlineStr">
        <is>
          <t>HNB055</t>
        </is>
      </c>
    </row>
    <row r="105">
      <c r="A105" s="4" t="inlineStr">
        <is>
          <t>MX_LVL-02</t>
        </is>
      </c>
      <c r="B105" s="4" t="inlineStr">
        <is>
          <t>MX_LVL-02|AD28</t>
        </is>
      </c>
      <c r="C105" s="4" t="n">
        <v>7</v>
      </c>
      <c r="D105" s="4" t="n">
        <v>2</v>
      </c>
      <c r="E105" s="4" t="inlineStr">
        <is>
          <t>xanh dương</t>
        </is>
      </c>
      <c r="F105" s="4" t="inlineStr">
        <is>
          <t>A</t>
        </is>
      </c>
      <c r="G105" s="4" t="inlineStr"/>
    </row>
    <row r="106">
      <c r="A106" s="4" t="inlineStr">
        <is>
          <t>MX_LVL-02</t>
        </is>
      </c>
      <c r="B106" s="4" t="inlineStr">
        <is>
          <t>MX_LVL-02|AD28</t>
        </is>
      </c>
      <c r="C106" s="4" t="n">
        <v>8</v>
      </c>
      <c r="D106" s="4" t="n">
        <v>2</v>
      </c>
      <c r="E106" s="4" t="inlineStr">
        <is>
          <t>cam</t>
        </is>
      </c>
      <c r="F106" s="4" t="inlineStr">
        <is>
          <t>A</t>
        </is>
      </c>
      <c r="G106" s="4" t="inlineStr"/>
    </row>
    <row r="107">
      <c r="A107" s="4" t="inlineStr">
        <is>
          <t>MX_LVL-02</t>
        </is>
      </c>
      <c r="B107" s="4" t="inlineStr">
        <is>
          <t>MX_LVL-02|AD28</t>
        </is>
      </c>
      <c r="C107" s="4" t="n">
        <v>9</v>
      </c>
      <c r="D107" s="4" t="n">
        <v>2</v>
      </c>
      <c r="E107" s="4" t="inlineStr">
        <is>
          <t>xanh lá</t>
        </is>
      </c>
      <c r="F107" s="4" t="inlineStr">
        <is>
          <t>A</t>
        </is>
      </c>
      <c r="G107" s="4" t="inlineStr"/>
    </row>
    <row r="108">
      <c r="A108" s="4" t="inlineStr">
        <is>
          <t>MX_LVL-02</t>
        </is>
      </c>
      <c r="B108" s="4" t="inlineStr">
        <is>
          <t>MX_LVL-02|AD28</t>
        </is>
      </c>
      <c r="C108" s="4" t="n">
        <v>10</v>
      </c>
      <c r="D108" s="4" t="n">
        <v>2</v>
      </c>
      <c r="E108" s="4" t="inlineStr">
        <is>
          <t>nâu</t>
        </is>
      </c>
      <c r="F108" s="4" t="inlineStr">
        <is>
          <t>A</t>
        </is>
      </c>
      <c r="G108" s="4" t="inlineStr"/>
    </row>
    <row r="109">
      <c r="A109" s="4" t="inlineStr">
        <is>
          <t>MX_LVL-02</t>
        </is>
      </c>
      <c r="B109" s="4" t="inlineStr">
        <is>
          <t>MX_LVL-02|AD28</t>
        </is>
      </c>
      <c r="C109" s="4" t="n">
        <v>11</v>
      </c>
      <c r="D109" s="4" t="n">
        <v>2</v>
      </c>
      <c r="E109" s="4" t="inlineStr">
        <is>
          <t>xám</t>
        </is>
      </c>
      <c r="F109" s="4" t="inlineStr">
        <is>
          <t>A</t>
        </is>
      </c>
      <c r="G109" s="4" t="inlineStr"/>
    </row>
    <row r="110">
      <c r="A110" s="4" t="inlineStr">
        <is>
          <t>MX_LVL-02</t>
        </is>
      </c>
      <c r="B110" s="4" t="inlineStr">
        <is>
          <t>MX_LVL-02|AD28</t>
        </is>
      </c>
      <c r="C110" s="4" t="n">
        <v>12</v>
      </c>
      <c r="D110" s="4" t="n">
        <v>2</v>
      </c>
      <c r="E110" s="4" t="inlineStr">
        <is>
          <t>trắng</t>
        </is>
      </c>
      <c r="F110" s="4" t="inlineStr">
        <is>
          <t>A</t>
        </is>
      </c>
      <c r="G110" s="4" t="inlineStr"/>
    </row>
    <row r="111">
      <c r="A111" s="4" t="inlineStr">
        <is>
          <t>MX_LVL-02</t>
        </is>
      </c>
      <c r="B111" s="4" t="inlineStr">
        <is>
          <t>MX_LVL-02|AQ28</t>
        </is>
      </c>
      <c r="C111" s="4" t="n">
        <v>1</v>
      </c>
      <c r="D111" s="4" t="n">
        <v>1</v>
      </c>
      <c r="E111" s="4" t="inlineStr">
        <is>
          <t>xanh dương</t>
        </is>
      </c>
      <c r="F111" s="4" t="inlineStr">
        <is>
          <t>B</t>
        </is>
      </c>
      <c r="G111" s="4" t="inlineStr"/>
    </row>
    <row r="112">
      <c r="A112" s="4" t="inlineStr">
        <is>
          <t>MX_LVL-02</t>
        </is>
      </c>
      <c r="B112" s="4" t="inlineStr">
        <is>
          <t>MX_LVL-02|AQ28</t>
        </is>
      </c>
      <c r="C112" s="4" t="n">
        <v>2</v>
      </c>
      <c r="D112" s="4" t="n">
        <v>1</v>
      </c>
      <c r="E112" s="4" t="inlineStr">
        <is>
          <t>cam</t>
        </is>
      </c>
      <c r="F112" s="4" t="inlineStr">
        <is>
          <t>B</t>
        </is>
      </c>
      <c r="G112" s="4" t="inlineStr"/>
    </row>
    <row r="113">
      <c r="A113" s="4" t="inlineStr">
        <is>
          <t>MX_LVL-02</t>
        </is>
      </c>
      <c r="B113" s="4" t="inlineStr">
        <is>
          <t>MX_LVL-02|AQ28</t>
        </is>
      </c>
      <c r="C113" s="4" t="n">
        <v>3</v>
      </c>
      <c r="D113" s="4" t="n">
        <v>1</v>
      </c>
      <c r="E113" s="4" t="inlineStr">
        <is>
          <t>xanh lá</t>
        </is>
      </c>
      <c r="F113" s="4" t="inlineStr"/>
      <c r="G113" s="4" t="inlineStr"/>
    </row>
    <row r="114">
      <c r="A114" s="4" t="inlineStr">
        <is>
          <t>MX_LVL-02</t>
        </is>
      </c>
      <c r="B114" s="4" t="inlineStr">
        <is>
          <t>MX_LVL-02|AQ28</t>
        </is>
      </c>
      <c r="C114" s="4" t="n">
        <v>4</v>
      </c>
      <c r="D114" s="4" t="n">
        <v>1</v>
      </c>
      <c r="E114" s="4" t="inlineStr">
        <is>
          <t>nâu</t>
        </is>
      </c>
      <c r="F114" s="4" t="inlineStr"/>
      <c r="G114" s="4" t="inlineStr"/>
    </row>
    <row r="115">
      <c r="A115" s="4" t="inlineStr">
        <is>
          <t>MX_LVL-02</t>
        </is>
      </c>
      <c r="B115" s="4" t="inlineStr">
        <is>
          <t>MX_LVL-02|AQ28</t>
        </is>
      </c>
      <c r="C115" s="4" t="n">
        <v>5</v>
      </c>
      <c r="D115" s="4" t="n">
        <v>1</v>
      </c>
      <c r="E115" s="4" t="inlineStr">
        <is>
          <t>xám</t>
        </is>
      </c>
      <c r="F115" s="4" t="inlineStr"/>
      <c r="G115" s="4" t="inlineStr"/>
    </row>
    <row r="116">
      <c r="A116" s="4" t="inlineStr">
        <is>
          <t>MX_LVL-02</t>
        </is>
      </c>
      <c r="B116" s="4" t="inlineStr">
        <is>
          <t>MX_LVL-02|AQ28</t>
        </is>
      </c>
      <c r="C116" s="4" t="n">
        <v>6</v>
      </c>
      <c r="D116" s="4" t="n">
        <v>1</v>
      </c>
      <c r="E116" s="4" t="inlineStr">
        <is>
          <t>trắng</t>
        </is>
      </c>
      <c r="F116" s="4" t="inlineStr"/>
      <c r="G116" s="4" t="inlineStr"/>
    </row>
    <row r="117">
      <c r="A117" s="4" t="inlineStr">
        <is>
          <t>MX_LVL-02</t>
        </is>
      </c>
      <c r="B117" s="4" t="inlineStr">
        <is>
          <t>MX_LVL-02|AQ28</t>
        </is>
      </c>
      <c r="C117" s="4" t="n">
        <v>7</v>
      </c>
      <c r="D117" s="4" t="n">
        <v>2</v>
      </c>
      <c r="E117" s="4" t="inlineStr">
        <is>
          <t>xanh dương</t>
        </is>
      </c>
      <c r="F117" s="4" t="inlineStr"/>
      <c r="G117" s="4" t="inlineStr"/>
    </row>
    <row r="118">
      <c r="A118" s="4" t="inlineStr">
        <is>
          <t>MX_LVL-02</t>
        </is>
      </c>
      <c r="B118" s="4" t="inlineStr">
        <is>
          <t>MX_LVL-02|AQ28</t>
        </is>
      </c>
      <c r="C118" s="4" t="n">
        <v>8</v>
      </c>
      <c r="D118" s="4" t="n">
        <v>2</v>
      </c>
      <c r="E118" s="4" t="inlineStr">
        <is>
          <t>cam</t>
        </is>
      </c>
      <c r="F118" s="4" t="inlineStr"/>
      <c r="G118" s="4" t="inlineStr"/>
    </row>
    <row r="119">
      <c r="A119" s="4" t="inlineStr">
        <is>
          <t>MX_LVL-02</t>
        </is>
      </c>
      <c r="B119" s="4" t="inlineStr">
        <is>
          <t>MX_LVL-02|AA31</t>
        </is>
      </c>
      <c r="C119" s="4" t="n">
        <v>1</v>
      </c>
      <c r="D119" s="4" t="n">
        <v>1</v>
      </c>
      <c r="E119" s="4" t="inlineStr">
        <is>
          <t>xanh dương</t>
        </is>
      </c>
      <c r="F119" s="4" t="inlineStr">
        <is>
          <t>D</t>
        </is>
      </c>
      <c r="G119" s="4" t="inlineStr"/>
    </row>
    <row r="120">
      <c r="A120" s="4" t="inlineStr">
        <is>
          <t>MX_LVL-02</t>
        </is>
      </c>
      <c r="B120" s="4" t="inlineStr">
        <is>
          <t>MX_LVL-02|AA31</t>
        </is>
      </c>
      <c r="C120" s="4" t="n">
        <v>2</v>
      </c>
      <c r="D120" s="4" t="n">
        <v>1</v>
      </c>
      <c r="E120" s="4" t="inlineStr">
        <is>
          <t>cam</t>
        </is>
      </c>
      <c r="F120" s="4" t="inlineStr">
        <is>
          <t>D</t>
        </is>
      </c>
      <c r="G120" s="4" t="inlineStr"/>
    </row>
    <row r="121">
      <c r="A121" s="4" t="inlineStr">
        <is>
          <t>MX_LVL-02</t>
        </is>
      </c>
      <c r="B121" s="4" t="inlineStr">
        <is>
          <t>MX_LVL-02|AA31</t>
        </is>
      </c>
      <c r="C121" s="4" t="n">
        <v>3</v>
      </c>
      <c r="D121" s="4" t="n">
        <v>1</v>
      </c>
      <c r="E121" s="4" t="inlineStr">
        <is>
          <t>xanh lá</t>
        </is>
      </c>
      <c r="F121" s="4" t="inlineStr"/>
      <c r="G121" s="4" t="inlineStr"/>
    </row>
    <row r="122">
      <c r="A122" s="4" t="inlineStr">
        <is>
          <t>MX_LVL-02</t>
        </is>
      </c>
      <c r="B122" s="4" t="inlineStr">
        <is>
          <t>MX_LVL-02|AA31</t>
        </is>
      </c>
      <c r="C122" s="4" t="n">
        <v>4</v>
      </c>
      <c r="D122" s="4" t="n">
        <v>1</v>
      </c>
      <c r="E122" s="4" t="inlineStr">
        <is>
          <t>nâu</t>
        </is>
      </c>
      <c r="F122" s="4" t="inlineStr"/>
      <c r="G122" s="4" t="inlineStr"/>
    </row>
    <row r="123">
      <c r="A123" s="4" t="inlineStr">
        <is>
          <t>MX_LVL-02</t>
        </is>
      </c>
      <c r="B123" s="4" t="inlineStr">
        <is>
          <t>MX_LVL-02|AA31</t>
        </is>
      </c>
      <c r="C123" s="4" t="n">
        <v>5</v>
      </c>
      <c r="D123" s="4" t="n">
        <v>1</v>
      </c>
      <c r="E123" s="4" t="inlineStr">
        <is>
          <t>xám</t>
        </is>
      </c>
      <c r="F123" s="4" t="inlineStr"/>
      <c r="G123" s="4" t="inlineStr"/>
    </row>
    <row r="124">
      <c r="A124" s="4" t="inlineStr">
        <is>
          <t>MX_LVL-02</t>
        </is>
      </c>
      <c r="B124" s="4" t="inlineStr">
        <is>
          <t>MX_LVL-02|AA31</t>
        </is>
      </c>
      <c r="C124" s="4" t="n">
        <v>6</v>
      </c>
      <c r="D124" s="4" t="n">
        <v>1</v>
      </c>
      <c r="E124" s="4" t="inlineStr">
        <is>
          <t>trắng</t>
        </is>
      </c>
      <c r="F124" s="4" t="inlineStr"/>
      <c r="G124" s="4" t="inlineStr"/>
    </row>
    <row r="125">
      <c r="A125" s="4" t="inlineStr">
        <is>
          <t>MX_LVL-02</t>
        </is>
      </c>
      <c r="B125" s="4" t="inlineStr">
        <is>
          <t>MX_LVL-02|AA31</t>
        </is>
      </c>
      <c r="C125" s="4" t="n">
        <v>7</v>
      </c>
      <c r="D125" s="4" t="n">
        <v>2</v>
      </c>
      <c r="E125" s="4" t="inlineStr">
        <is>
          <t>xanh dương</t>
        </is>
      </c>
      <c r="F125" s="4" t="inlineStr"/>
      <c r="G125" s="4" t="inlineStr"/>
    </row>
    <row r="126">
      <c r="A126" s="4" t="inlineStr">
        <is>
          <t>MX_LVL-02</t>
        </is>
      </c>
      <c r="B126" s="4" t="inlineStr">
        <is>
          <t>MX_LVL-02|AA31</t>
        </is>
      </c>
      <c r="C126" s="4" t="n">
        <v>8</v>
      </c>
      <c r="D126" s="4" t="n">
        <v>2</v>
      </c>
      <c r="E126" s="4" t="inlineStr">
        <is>
          <t>cam</t>
        </is>
      </c>
      <c r="F126" s="4" t="inlineStr"/>
      <c r="G126" s="4" t="inlineStr"/>
    </row>
    <row r="127">
      <c r="A127" s="4" t="inlineStr">
        <is>
          <t>MX_LVL-02</t>
        </is>
      </c>
      <c r="B127" s="4" t="inlineStr">
        <is>
          <t>MX_LVL-02|AD41</t>
        </is>
      </c>
      <c r="C127" s="4" t="n">
        <v>1</v>
      </c>
      <c r="D127" s="4" t="n">
        <v>1</v>
      </c>
      <c r="E127" s="4" t="inlineStr">
        <is>
          <t>xanh dương</t>
        </is>
      </c>
      <c r="F127" s="4" t="inlineStr">
        <is>
          <t>A</t>
        </is>
      </c>
      <c r="G127" s="4" t="inlineStr">
        <is>
          <t>HNB075</t>
        </is>
      </c>
    </row>
    <row r="128">
      <c r="A128" s="4" t="inlineStr">
        <is>
          <t>MX_LVL-02</t>
        </is>
      </c>
      <c r="B128" s="4" t="inlineStr">
        <is>
          <t>MX_LVL-02|AD41</t>
        </is>
      </c>
      <c r="C128" s="4" t="n">
        <v>2</v>
      </c>
      <c r="D128" s="4" t="n">
        <v>1</v>
      </c>
      <c r="E128" s="4" t="inlineStr">
        <is>
          <t>cam</t>
        </is>
      </c>
      <c r="F128" s="4" t="inlineStr">
        <is>
          <t>A</t>
        </is>
      </c>
      <c r="G128" s="4" t="inlineStr">
        <is>
          <t>HNB075</t>
        </is>
      </c>
    </row>
    <row r="129">
      <c r="A129" s="4" t="inlineStr">
        <is>
          <t>MX_LVL-02</t>
        </is>
      </c>
      <c r="B129" s="4" t="inlineStr">
        <is>
          <t>MX_LVL-02|AD41</t>
        </is>
      </c>
      <c r="C129" s="4" t="n">
        <v>3</v>
      </c>
      <c r="D129" s="4" t="n">
        <v>1</v>
      </c>
      <c r="E129" s="4" t="inlineStr">
        <is>
          <t>xanh lá</t>
        </is>
      </c>
      <c r="F129" s="4" t="inlineStr">
        <is>
          <t>D</t>
        </is>
      </c>
      <c r="G129" s="4" t="inlineStr">
        <is>
          <t>HNB073</t>
        </is>
      </c>
    </row>
    <row r="130">
      <c r="A130" s="4" t="inlineStr">
        <is>
          <t>MX_LVL-02</t>
        </is>
      </c>
      <c r="B130" s="4" t="inlineStr">
        <is>
          <t>MX_LVL-02|AD41</t>
        </is>
      </c>
      <c r="C130" s="4" t="n">
        <v>4</v>
      </c>
      <c r="D130" s="4" t="n">
        <v>1</v>
      </c>
      <c r="E130" s="4" t="inlineStr">
        <is>
          <t>nâu</t>
        </is>
      </c>
      <c r="F130" s="4" t="inlineStr">
        <is>
          <t>D</t>
        </is>
      </c>
      <c r="G130" s="4" t="inlineStr">
        <is>
          <t>HNB073</t>
        </is>
      </c>
    </row>
    <row r="131">
      <c r="A131" s="4" t="inlineStr">
        <is>
          <t>MX_LVL-02</t>
        </is>
      </c>
      <c r="B131" s="4" t="inlineStr">
        <is>
          <t>MX_LVL-02|AD41</t>
        </is>
      </c>
      <c r="C131" s="4" t="n">
        <v>5</v>
      </c>
      <c r="D131" s="4" t="n">
        <v>1</v>
      </c>
      <c r="E131" s="4" t="inlineStr">
        <is>
          <t>xám</t>
        </is>
      </c>
      <c r="F131" s="4" t="inlineStr">
        <is>
          <t>C</t>
        </is>
      </c>
      <c r="G131" s="4" t="inlineStr">
        <is>
          <t>HNB065</t>
        </is>
      </c>
    </row>
    <row r="132">
      <c r="A132" s="4" t="inlineStr">
        <is>
          <t>MX_LVL-02</t>
        </is>
      </c>
      <c r="B132" s="4" t="inlineStr">
        <is>
          <t>MX_LVL-02|AD41</t>
        </is>
      </c>
      <c r="C132" s="4" t="n">
        <v>6</v>
      </c>
      <c r="D132" s="4" t="n">
        <v>1</v>
      </c>
      <c r="E132" s="4" t="inlineStr">
        <is>
          <t>trắng</t>
        </is>
      </c>
      <c r="F132" s="4" t="inlineStr">
        <is>
          <t>C</t>
        </is>
      </c>
      <c r="G132" s="4" t="inlineStr">
        <is>
          <t>HNB065</t>
        </is>
      </c>
    </row>
    <row r="133">
      <c r="A133" s="4" t="inlineStr">
        <is>
          <t>MX_LVL-02</t>
        </is>
      </c>
      <c r="B133" s="4" t="inlineStr">
        <is>
          <t>MX_LVL-02|AD41</t>
        </is>
      </c>
      <c r="C133" s="4" t="n">
        <v>7</v>
      </c>
      <c r="D133" s="4" t="n">
        <v>2</v>
      </c>
      <c r="E133" s="4" t="inlineStr">
        <is>
          <t>xanh dương</t>
        </is>
      </c>
      <c r="F133" s="4" t="inlineStr">
        <is>
          <t>A</t>
        </is>
      </c>
      <c r="G133" s="4" t="inlineStr"/>
    </row>
    <row r="134">
      <c r="A134" s="4" t="inlineStr">
        <is>
          <t>MX_LVL-02</t>
        </is>
      </c>
      <c r="B134" s="4" t="inlineStr">
        <is>
          <t>MX_LVL-02|AD41</t>
        </is>
      </c>
      <c r="C134" s="4" t="n">
        <v>8</v>
      </c>
      <c r="D134" s="4" t="n">
        <v>2</v>
      </c>
      <c r="E134" s="4" t="inlineStr">
        <is>
          <t>cam</t>
        </is>
      </c>
      <c r="F134" s="4" t="inlineStr">
        <is>
          <t>A</t>
        </is>
      </c>
      <c r="G134" s="4" t="inlineStr"/>
    </row>
    <row r="135">
      <c r="A135" s="4" t="inlineStr">
        <is>
          <t>MX_LVL-02</t>
        </is>
      </c>
      <c r="B135" s="4" t="inlineStr">
        <is>
          <t>MX_LVL-02|AD41</t>
        </is>
      </c>
      <c r="C135" s="4" t="n">
        <v>9</v>
      </c>
      <c r="D135" s="4" t="n">
        <v>2</v>
      </c>
      <c r="E135" s="4" t="inlineStr">
        <is>
          <t>xanh lá</t>
        </is>
      </c>
      <c r="F135" s="4" t="inlineStr">
        <is>
          <t>A</t>
        </is>
      </c>
      <c r="G135" s="4" t="inlineStr"/>
    </row>
    <row r="136">
      <c r="A136" s="4" t="inlineStr">
        <is>
          <t>MX_LVL-02</t>
        </is>
      </c>
      <c r="B136" s="4" t="inlineStr">
        <is>
          <t>MX_LVL-02|AD41</t>
        </is>
      </c>
      <c r="C136" s="4" t="n">
        <v>10</v>
      </c>
      <c r="D136" s="4" t="n">
        <v>2</v>
      </c>
      <c r="E136" s="4" t="inlineStr">
        <is>
          <t>nâu</t>
        </is>
      </c>
      <c r="F136" s="4" t="inlineStr">
        <is>
          <t>A</t>
        </is>
      </c>
      <c r="G136" s="4" t="inlineStr"/>
    </row>
    <row r="137">
      <c r="A137" s="4" t="inlineStr">
        <is>
          <t>MX_LVL-02</t>
        </is>
      </c>
      <c r="B137" s="4" t="inlineStr">
        <is>
          <t>MX_LVL-02|AD41</t>
        </is>
      </c>
      <c r="C137" s="4" t="n">
        <v>11</v>
      </c>
      <c r="D137" s="4" t="n">
        <v>2</v>
      </c>
      <c r="E137" s="4" t="inlineStr">
        <is>
          <t>xám</t>
        </is>
      </c>
      <c r="F137" s="4" t="inlineStr">
        <is>
          <t>A</t>
        </is>
      </c>
      <c r="G137" s="4" t="inlineStr"/>
    </row>
    <row r="138">
      <c r="A138" s="4" t="inlineStr">
        <is>
          <t>MX_LVL-02</t>
        </is>
      </c>
      <c r="B138" s="4" t="inlineStr">
        <is>
          <t>MX_LVL-02|AD41</t>
        </is>
      </c>
      <c r="C138" s="4" t="n">
        <v>12</v>
      </c>
      <c r="D138" s="4" t="n">
        <v>2</v>
      </c>
      <c r="E138" s="4" t="inlineStr">
        <is>
          <t>trắng</t>
        </is>
      </c>
      <c r="F138" s="4" t="inlineStr">
        <is>
          <t>A</t>
        </is>
      </c>
      <c r="G138" s="4" t="inlineStr"/>
    </row>
    <row r="139">
      <c r="A139" s="4" t="inlineStr">
        <is>
          <t>MX_LVL-02</t>
        </is>
      </c>
      <c r="B139" s="4" t="inlineStr">
        <is>
          <t>MX_LVL-02|AQ41</t>
        </is>
      </c>
      <c r="C139" s="4" t="n">
        <v>1</v>
      </c>
      <c r="D139" s="4" t="n">
        <v>1</v>
      </c>
      <c r="E139" s="4" t="inlineStr">
        <is>
          <t>xanh dương</t>
        </is>
      </c>
      <c r="F139" s="4" t="inlineStr">
        <is>
          <t>C</t>
        </is>
      </c>
      <c r="G139" s="4" t="inlineStr"/>
    </row>
    <row r="140">
      <c r="A140" s="4" t="inlineStr">
        <is>
          <t>MX_LVL-02</t>
        </is>
      </c>
      <c r="B140" s="4" t="inlineStr">
        <is>
          <t>MX_LVL-02|AQ41</t>
        </is>
      </c>
      <c r="C140" s="4" t="n">
        <v>2</v>
      </c>
      <c r="D140" s="4" t="n">
        <v>1</v>
      </c>
      <c r="E140" s="4" t="inlineStr">
        <is>
          <t>cam</t>
        </is>
      </c>
      <c r="F140" s="4" t="inlineStr">
        <is>
          <t>C</t>
        </is>
      </c>
      <c r="G140" s="4" t="inlineStr"/>
    </row>
    <row r="141">
      <c r="A141" s="4" t="inlineStr">
        <is>
          <t>MX_LVL-02</t>
        </is>
      </c>
      <c r="B141" s="4" t="inlineStr">
        <is>
          <t>MX_LVL-02|AQ41</t>
        </is>
      </c>
      <c r="C141" s="4" t="n">
        <v>3</v>
      </c>
      <c r="D141" s="4" t="n">
        <v>1</v>
      </c>
      <c r="E141" s="4" t="inlineStr">
        <is>
          <t>xanh lá</t>
        </is>
      </c>
      <c r="F141" s="4" t="inlineStr"/>
      <c r="G141" s="4" t="inlineStr"/>
    </row>
    <row r="142">
      <c r="A142" s="4" t="inlineStr">
        <is>
          <t>MX_LVL-02</t>
        </is>
      </c>
      <c r="B142" s="4" t="inlineStr">
        <is>
          <t>MX_LVL-02|AQ41</t>
        </is>
      </c>
      <c r="C142" s="4" t="n">
        <v>4</v>
      </c>
      <c r="D142" s="4" t="n">
        <v>1</v>
      </c>
      <c r="E142" s="4" t="inlineStr">
        <is>
          <t>nâu</t>
        </is>
      </c>
      <c r="F142" s="4" t="inlineStr"/>
      <c r="G142" s="4" t="inlineStr"/>
    </row>
    <row r="143">
      <c r="A143" s="4" t="inlineStr">
        <is>
          <t>MX_LVL-02</t>
        </is>
      </c>
      <c r="B143" s="4" t="inlineStr">
        <is>
          <t>MX_LVL-02|AQ41</t>
        </is>
      </c>
      <c r="C143" s="4" t="n">
        <v>5</v>
      </c>
      <c r="D143" s="4" t="n">
        <v>1</v>
      </c>
      <c r="E143" s="4" t="inlineStr">
        <is>
          <t>xám</t>
        </is>
      </c>
      <c r="F143" s="4" t="inlineStr"/>
      <c r="G143" s="4" t="inlineStr"/>
    </row>
    <row r="144">
      <c r="A144" s="4" t="inlineStr">
        <is>
          <t>MX_LVL-02</t>
        </is>
      </c>
      <c r="B144" s="4" t="inlineStr">
        <is>
          <t>MX_LVL-02|AQ41</t>
        </is>
      </c>
      <c r="C144" s="4" t="n">
        <v>6</v>
      </c>
      <c r="D144" s="4" t="n">
        <v>1</v>
      </c>
      <c r="E144" s="4" t="inlineStr">
        <is>
          <t>trắng</t>
        </is>
      </c>
      <c r="F144" s="4" t="inlineStr"/>
      <c r="G144" s="4" t="inlineStr"/>
    </row>
    <row r="145">
      <c r="A145" s="4" t="inlineStr">
        <is>
          <t>MX_LVL-02</t>
        </is>
      </c>
      <c r="B145" s="4" t="inlineStr">
        <is>
          <t>MX_LVL-02|AQ41</t>
        </is>
      </c>
      <c r="C145" s="4" t="n">
        <v>7</v>
      </c>
      <c r="D145" s="4" t="n">
        <v>2</v>
      </c>
      <c r="E145" s="4" t="inlineStr">
        <is>
          <t>xanh dương</t>
        </is>
      </c>
      <c r="F145" s="4" t="inlineStr"/>
      <c r="G145" s="4" t="inlineStr"/>
    </row>
    <row r="146">
      <c r="A146" s="4" t="inlineStr">
        <is>
          <t>MX_LVL-02</t>
        </is>
      </c>
      <c r="B146" s="4" t="inlineStr">
        <is>
          <t>MX_LVL-02|AQ41</t>
        </is>
      </c>
      <c r="C146" s="4" t="n">
        <v>8</v>
      </c>
      <c r="D146" s="4" t="n">
        <v>2</v>
      </c>
      <c r="E146" s="4" t="inlineStr">
        <is>
          <t>cam</t>
        </is>
      </c>
      <c r="F146" s="4" t="inlineStr"/>
      <c r="G146" s="4" t="inlineStr"/>
    </row>
    <row r="147">
      <c r="A147" s="4" t="inlineStr">
        <is>
          <t>MX_LVL-03</t>
        </is>
      </c>
      <c r="B147" s="4" t="inlineStr">
        <is>
          <t>MX_LVL-03|AD48</t>
        </is>
      </c>
      <c r="C147" s="4" t="n">
        <v>1</v>
      </c>
      <c r="D147" s="4" t="n">
        <v>1</v>
      </c>
      <c r="E147" s="4" t="inlineStr">
        <is>
          <t>xanh dương</t>
        </is>
      </c>
      <c r="F147" s="4" t="inlineStr">
        <is>
          <t>B</t>
        </is>
      </c>
      <c r="G147" s="4" t="inlineStr">
        <is>
          <t>HNB075</t>
        </is>
      </c>
    </row>
    <row r="148">
      <c r="A148" s="4" t="inlineStr">
        <is>
          <t>MX_LVL-03</t>
        </is>
      </c>
      <c r="B148" s="4" t="inlineStr">
        <is>
          <t>MX_LVL-03|AD48</t>
        </is>
      </c>
      <c r="C148" s="4" t="n">
        <v>2</v>
      </c>
      <c r="D148" s="4" t="n">
        <v>1</v>
      </c>
      <c r="E148" s="4" t="inlineStr">
        <is>
          <t>cam</t>
        </is>
      </c>
      <c r="F148" s="4" t="inlineStr">
        <is>
          <t>B</t>
        </is>
      </c>
      <c r="G148" s="4" t="inlineStr">
        <is>
          <t>HNB075</t>
        </is>
      </c>
    </row>
    <row r="149">
      <c r="A149" s="4" t="inlineStr">
        <is>
          <t>MX_LVL-03</t>
        </is>
      </c>
      <c r="B149" s="4" t="inlineStr">
        <is>
          <t>MX_LVL-03|AD48</t>
        </is>
      </c>
      <c r="C149" s="4" t="n">
        <v>3</v>
      </c>
      <c r="D149" s="4" t="n">
        <v>1</v>
      </c>
      <c r="E149" s="4" t="inlineStr">
        <is>
          <t>xanh lá</t>
        </is>
      </c>
      <c r="F149" s="4" t="inlineStr">
        <is>
          <t>B</t>
        </is>
      </c>
      <c r="G149" s="4" t="inlineStr">
        <is>
          <t>HNB073</t>
        </is>
      </c>
    </row>
    <row r="150">
      <c r="A150" s="4" t="inlineStr">
        <is>
          <t>MX_LVL-03</t>
        </is>
      </c>
      <c r="B150" s="4" t="inlineStr">
        <is>
          <t>MX_LVL-03|AD48</t>
        </is>
      </c>
      <c r="C150" s="4" t="n">
        <v>4</v>
      </c>
      <c r="D150" s="4" t="n">
        <v>1</v>
      </c>
      <c r="E150" s="4" t="inlineStr">
        <is>
          <t>nâu</t>
        </is>
      </c>
      <c r="F150" s="4" t="inlineStr">
        <is>
          <t>B</t>
        </is>
      </c>
      <c r="G150" s="4" t="inlineStr">
        <is>
          <t>HNB073</t>
        </is>
      </c>
    </row>
    <row r="151">
      <c r="A151" s="4" t="inlineStr">
        <is>
          <t>MX_LVL-03</t>
        </is>
      </c>
      <c r="B151" s="4" t="inlineStr">
        <is>
          <t>MX_LVL-03|AD48</t>
        </is>
      </c>
      <c r="C151" s="4" t="n">
        <v>5</v>
      </c>
      <c r="D151" s="4" t="n">
        <v>1</v>
      </c>
      <c r="E151" s="4" t="inlineStr">
        <is>
          <t>xám</t>
        </is>
      </c>
      <c r="F151" s="4" t="inlineStr">
        <is>
          <t>E</t>
        </is>
      </c>
      <c r="G151" s="4" t="inlineStr">
        <is>
          <t>HNB094</t>
        </is>
      </c>
    </row>
    <row r="152">
      <c r="A152" s="4" t="inlineStr">
        <is>
          <t>MX_LVL-03</t>
        </is>
      </c>
      <c r="B152" s="4" t="inlineStr">
        <is>
          <t>MX_LVL-03|AD48</t>
        </is>
      </c>
      <c r="C152" s="4" t="n">
        <v>6</v>
      </c>
      <c r="D152" s="4" t="n">
        <v>1</v>
      </c>
      <c r="E152" s="4" t="inlineStr">
        <is>
          <t>trắng</t>
        </is>
      </c>
      <c r="F152" s="4" t="inlineStr">
        <is>
          <t>E</t>
        </is>
      </c>
      <c r="G152" s="4" t="inlineStr">
        <is>
          <t>HNB094</t>
        </is>
      </c>
    </row>
    <row r="153">
      <c r="A153" s="4" t="inlineStr">
        <is>
          <t>MX_LVL-03</t>
        </is>
      </c>
      <c r="B153" s="4" t="inlineStr">
        <is>
          <t>MX_LVL-03|AD48</t>
        </is>
      </c>
      <c r="C153" s="4" t="n">
        <v>7</v>
      </c>
      <c r="D153" s="4" t="n">
        <v>2</v>
      </c>
      <c r="E153" s="4" t="inlineStr">
        <is>
          <t>xanh dương</t>
        </is>
      </c>
      <c r="F153" s="4" t="inlineStr">
        <is>
          <t>D</t>
        </is>
      </c>
      <c r="G153" s="4" t="inlineStr"/>
    </row>
    <row r="154">
      <c r="A154" s="4" t="inlineStr">
        <is>
          <t>MX_LVL-03</t>
        </is>
      </c>
      <c r="B154" s="4" t="inlineStr">
        <is>
          <t>MX_LVL-03|AD48</t>
        </is>
      </c>
      <c r="C154" s="4" t="n">
        <v>8</v>
      </c>
      <c r="D154" s="4" t="n">
        <v>2</v>
      </c>
      <c r="E154" s="4" t="inlineStr">
        <is>
          <t>cam</t>
        </is>
      </c>
      <c r="F154" s="4" t="inlineStr">
        <is>
          <t>D</t>
        </is>
      </c>
      <c r="G154" s="4" t="inlineStr"/>
    </row>
    <row r="155">
      <c r="A155" s="4" t="inlineStr">
        <is>
          <t>MX_LVL-03</t>
        </is>
      </c>
      <c r="B155" s="4" t="inlineStr">
        <is>
          <t>MX_LVL-03|AD48</t>
        </is>
      </c>
      <c r="C155" s="4" t="n">
        <v>9</v>
      </c>
      <c r="D155" s="4" t="n">
        <v>2</v>
      </c>
      <c r="E155" s="4" t="inlineStr">
        <is>
          <t>xanh lá</t>
        </is>
      </c>
      <c r="F155" s="4" t="inlineStr">
        <is>
          <t>D</t>
        </is>
      </c>
      <c r="G155" s="4" t="inlineStr"/>
    </row>
    <row r="156">
      <c r="A156" s="4" t="inlineStr">
        <is>
          <t>MX_LVL-03</t>
        </is>
      </c>
      <c r="B156" s="4" t="inlineStr">
        <is>
          <t>MX_LVL-03|AD48</t>
        </is>
      </c>
      <c r="C156" s="4" t="n">
        <v>10</v>
      </c>
      <c r="D156" s="4" t="n">
        <v>2</v>
      </c>
      <c r="E156" s="4" t="inlineStr">
        <is>
          <t>nâu</t>
        </is>
      </c>
      <c r="F156" s="4" t="inlineStr">
        <is>
          <t>D</t>
        </is>
      </c>
      <c r="G156" s="4" t="inlineStr"/>
    </row>
    <row r="157">
      <c r="A157" s="4" t="inlineStr">
        <is>
          <t>MX_LVL-03</t>
        </is>
      </c>
      <c r="B157" s="4" t="inlineStr">
        <is>
          <t>MX_LVL-03|AD48</t>
        </is>
      </c>
      <c r="C157" s="4" t="n">
        <v>11</v>
      </c>
      <c r="D157" s="4" t="n">
        <v>2</v>
      </c>
      <c r="E157" s="4" t="inlineStr">
        <is>
          <t>xám</t>
        </is>
      </c>
      <c r="F157" s="4" t="inlineStr"/>
      <c r="G157" s="4" t="inlineStr"/>
    </row>
    <row r="158">
      <c r="A158" s="4" t="inlineStr">
        <is>
          <t>MX_LVL-03</t>
        </is>
      </c>
      <c r="B158" s="4" t="inlineStr">
        <is>
          <t>MX_LVL-03|AD48</t>
        </is>
      </c>
      <c r="C158" s="4" t="n">
        <v>12</v>
      </c>
      <c r="D158" s="4" t="n">
        <v>2</v>
      </c>
      <c r="E158" s="4" t="inlineStr">
        <is>
          <t>trắng</t>
        </is>
      </c>
      <c r="F158" s="4" t="inlineStr"/>
      <c r="G158" s="4" t="inlineStr"/>
    </row>
    <row r="159">
      <c r="A159" s="4" t="inlineStr">
        <is>
          <t>MX_LVL-03</t>
        </is>
      </c>
      <c r="B159" s="4" t="inlineStr">
        <is>
          <t>MX_LVL-03|AQ48</t>
        </is>
      </c>
      <c r="C159" s="4" t="n">
        <v>1</v>
      </c>
      <c r="D159" s="4" t="n">
        <v>1</v>
      </c>
      <c r="E159" s="4" t="inlineStr">
        <is>
          <t>xanh dương</t>
        </is>
      </c>
      <c r="F159" s="4" t="inlineStr">
        <is>
          <t>F</t>
        </is>
      </c>
      <c r="G159" s="4" t="inlineStr">
        <is>
          <t>HNB094</t>
        </is>
      </c>
    </row>
    <row r="160">
      <c r="A160" s="4" t="inlineStr">
        <is>
          <t>MX_LVL-03</t>
        </is>
      </c>
      <c r="B160" s="4" t="inlineStr">
        <is>
          <t>MX_LVL-03|AQ48</t>
        </is>
      </c>
      <c r="C160" s="4" t="n">
        <v>2</v>
      </c>
      <c r="D160" s="4" t="n">
        <v>1</v>
      </c>
      <c r="E160" s="4" t="inlineStr">
        <is>
          <t>cam</t>
        </is>
      </c>
      <c r="F160" s="4" t="inlineStr">
        <is>
          <t>F</t>
        </is>
      </c>
      <c r="G160" s="4" t="inlineStr">
        <is>
          <t>HNB094</t>
        </is>
      </c>
    </row>
    <row r="161">
      <c r="A161" s="4" t="inlineStr">
        <is>
          <t>MX_LVL-03</t>
        </is>
      </c>
      <c r="B161" s="4" t="inlineStr">
        <is>
          <t>MX_LVL-03|AQ48</t>
        </is>
      </c>
      <c r="C161" s="4" t="n">
        <v>3</v>
      </c>
      <c r="D161" s="4" t="n">
        <v>1</v>
      </c>
      <c r="E161" s="4" t="inlineStr">
        <is>
          <t>xanh lá</t>
        </is>
      </c>
      <c r="F161" s="4" t="inlineStr">
        <is>
          <t>E</t>
        </is>
      </c>
      <c r="G161" s="4" t="inlineStr">
        <is>
          <t>HNB094</t>
        </is>
      </c>
    </row>
    <row r="162">
      <c r="A162" s="4" t="inlineStr">
        <is>
          <t>MX_LVL-03</t>
        </is>
      </c>
      <c r="B162" s="4" t="inlineStr">
        <is>
          <t>MX_LVL-03|AQ48</t>
        </is>
      </c>
      <c r="C162" s="4" t="n">
        <v>4</v>
      </c>
      <c r="D162" s="4" t="n">
        <v>1</v>
      </c>
      <c r="E162" s="4" t="inlineStr">
        <is>
          <t>nâu</t>
        </is>
      </c>
      <c r="F162" s="4" t="inlineStr">
        <is>
          <t>E</t>
        </is>
      </c>
      <c r="G162" s="4" t="inlineStr">
        <is>
          <t>HNB094</t>
        </is>
      </c>
    </row>
    <row r="163">
      <c r="A163" s="4" t="inlineStr">
        <is>
          <t>MX_LVL-03</t>
        </is>
      </c>
      <c r="B163" s="4" t="inlineStr">
        <is>
          <t>MX_LVL-03|AQ48</t>
        </is>
      </c>
      <c r="C163" s="4" t="n">
        <v>5</v>
      </c>
      <c r="D163" s="4" t="n">
        <v>1</v>
      </c>
      <c r="E163" s="4" t="inlineStr">
        <is>
          <t>xám</t>
        </is>
      </c>
      <c r="F163" s="4" t="inlineStr">
        <is>
          <t>C</t>
        </is>
      </c>
      <c r="G163" s="4" t="inlineStr">
        <is>
          <t>HNB094</t>
        </is>
      </c>
    </row>
    <row r="164">
      <c r="A164" s="4" t="inlineStr">
        <is>
          <t>MX_LVL-03</t>
        </is>
      </c>
      <c r="B164" s="4" t="inlineStr">
        <is>
          <t>MX_LVL-03|AQ48</t>
        </is>
      </c>
      <c r="C164" s="4" t="n">
        <v>6</v>
      </c>
      <c r="D164" s="4" t="n">
        <v>1</v>
      </c>
      <c r="E164" s="4" t="inlineStr">
        <is>
          <t>trắng</t>
        </is>
      </c>
      <c r="F164" s="4" t="inlineStr">
        <is>
          <t>C</t>
        </is>
      </c>
      <c r="G164" s="4" t="inlineStr">
        <is>
          <t>HNB094</t>
        </is>
      </c>
    </row>
    <row r="165">
      <c r="A165" s="4" t="inlineStr">
        <is>
          <t>MX_LVL-03</t>
        </is>
      </c>
      <c r="B165" s="4" t="inlineStr">
        <is>
          <t>MX_LVL-03|AQ48</t>
        </is>
      </c>
      <c r="C165" s="4" t="n">
        <v>7</v>
      </c>
      <c r="D165" s="4" t="n">
        <v>2</v>
      </c>
      <c r="E165" s="4" t="inlineStr">
        <is>
          <t>xanh dương</t>
        </is>
      </c>
      <c r="F165" s="4" t="inlineStr"/>
      <c r="G165" s="4" t="inlineStr"/>
    </row>
    <row r="166">
      <c r="A166" s="4" t="inlineStr">
        <is>
          <t>MX_LVL-03</t>
        </is>
      </c>
      <c r="B166" s="4" t="inlineStr">
        <is>
          <t>MX_LVL-03|AQ48</t>
        </is>
      </c>
      <c r="C166" s="4" t="n">
        <v>8</v>
      </c>
      <c r="D166" s="4" t="n">
        <v>2</v>
      </c>
      <c r="E166" s="4" t="inlineStr">
        <is>
          <t>cam</t>
        </is>
      </c>
      <c r="F166" s="4" t="inlineStr"/>
      <c r="G166" s="4" t="inlineStr"/>
    </row>
    <row r="167">
      <c r="A167" s="4" t="inlineStr">
        <is>
          <t>MX_LVL-03</t>
        </is>
      </c>
      <c r="B167" s="4" t="inlineStr">
        <is>
          <t>MX_LVL-03|AQ48</t>
        </is>
      </c>
      <c r="C167" s="4" t="n">
        <v>9</v>
      </c>
      <c r="D167" s="4" t="n">
        <v>2</v>
      </c>
      <c r="E167" s="4" t="inlineStr">
        <is>
          <t>xanh lá</t>
        </is>
      </c>
      <c r="F167" s="4" t="inlineStr"/>
      <c r="G167" s="4" t="inlineStr"/>
    </row>
    <row r="168">
      <c r="A168" s="4" t="inlineStr">
        <is>
          <t>MX_LVL-03</t>
        </is>
      </c>
      <c r="B168" s="4" t="inlineStr">
        <is>
          <t>MX_LVL-03|AQ48</t>
        </is>
      </c>
      <c r="C168" s="4" t="n">
        <v>10</v>
      </c>
      <c r="D168" s="4" t="n">
        <v>2</v>
      </c>
      <c r="E168" s="4" t="inlineStr">
        <is>
          <t>nâu</t>
        </is>
      </c>
      <c r="F168" s="4" t="inlineStr"/>
      <c r="G168" s="4" t="inlineStr"/>
    </row>
    <row r="169">
      <c r="A169" s="4" t="inlineStr">
        <is>
          <t>MX_LVL-03</t>
        </is>
      </c>
      <c r="B169" s="4" t="inlineStr">
        <is>
          <t>MX_LVL-03|AQ48</t>
        </is>
      </c>
      <c r="C169" s="4" t="n">
        <v>11</v>
      </c>
      <c r="D169" s="4" t="n">
        <v>2</v>
      </c>
      <c r="E169" s="4" t="inlineStr">
        <is>
          <t>xám</t>
        </is>
      </c>
      <c r="F169" s="4" t="inlineStr"/>
      <c r="G169" s="4" t="inlineStr"/>
    </row>
    <row r="170">
      <c r="A170" s="4" t="inlineStr">
        <is>
          <t>MX_LVL-03</t>
        </is>
      </c>
      <c r="B170" s="4" t="inlineStr">
        <is>
          <t>MX_LVL-03|AQ48</t>
        </is>
      </c>
      <c r="C170" s="4" t="n">
        <v>12</v>
      </c>
      <c r="D170" s="4" t="n">
        <v>2</v>
      </c>
      <c r="E170" s="4" t="inlineStr">
        <is>
          <t>trắng</t>
        </is>
      </c>
      <c r="F170" s="4" t="inlineStr"/>
      <c r="G170" s="4" t="inlineStr"/>
    </row>
    <row r="171">
      <c r="A171" s="4" t="inlineStr">
        <is>
          <t>MX_LVL-03</t>
        </is>
      </c>
      <c r="B171" s="4" t="inlineStr">
        <is>
          <t>MX_LVL-03|AD61</t>
        </is>
      </c>
      <c r="C171" s="4" t="n">
        <v>1</v>
      </c>
      <c r="D171" s="4" t="n">
        <v>1</v>
      </c>
      <c r="E171" s="4" t="inlineStr">
        <is>
          <t>xanh dương</t>
        </is>
      </c>
      <c r="F171" s="4" t="inlineStr">
        <is>
          <t>A</t>
        </is>
      </c>
      <c r="G171" s="4" t="inlineStr"/>
    </row>
    <row r="172">
      <c r="A172" s="4" t="inlineStr">
        <is>
          <t>MX_LVL-03</t>
        </is>
      </c>
      <c r="B172" s="4" t="inlineStr">
        <is>
          <t>MX_LVL-03|AD61</t>
        </is>
      </c>
      <c r="C172" s="4" t="n">
        <v>2</v>
      </c>
      <c r="D172" s="4" t="n">
        <v>1</v>
      </c>
      <c r="E172" s="4" t="inlineStr">
        <is>
          <t>cam</t>
        </is>
      </c>
      <c r="F172" s="4" t="inlineStr">
        <is>
          <t>A</t>
        </is>
      </c>
      <c r="G172" s="4" t="inlineStr"/>
    </row>
    <row r="173">
      <c r="A173" s="4" t="inlineStr">
        <is>
          <t>MX_LVL-03</t>
        </is>
      </c>
      <c r="B173" s="4" t="inlineStr">
        <is>
          <t>MX_LVL-03|AD61</t>
        </is>
      </c>
      <c r="C173" s="4" t="n">
        <v>3</v>
      </c>
      <c r="D173" s="4" t="n">
        <v>1</v>
      </c>
      <c r="E173" s="4" t="inlineStr">
        <is>
          <t>xanh lá</t>
        </is>
      </c>
      <c r="F173" s="4" t="inlineStr">
        <is>
          <t>A</t>
        </is>
      </c>
      <c r="G173" s="4" t="inlineStr">
        <is>
          <t>HNB066</t>
        </is>
      </c>
    </row>
    <row r="174">
      <c r="A174" s="4" t="inlineStr">
        <is>
          <t>MX_LVL-03</t>
        </is>
      </c>
      <c r="B174" s="4" t="inlineStr">
        <is>
          <t>MX_LVL-03|AD61</t>
        </is>
      </c>
      <c r="C174" s="4" t="n">
        <v>4</v>
      </c>
      <c r="D174" s="4" t="n">
        <v>1</v>
      </c>
      <c r="E174" s="4" t="inlineStr">
        <is>
          <t>nâu</t>
        </is>
      </c>
      <c r="F174" s="4" t="inlineStr">
        <is>
          <t>A</t>
        </is>
      </c>
      <c r="G174" s="4" t="inlineStr">
        <is>
          <t>HNB066</t>
        </is>
      </c>
    </row>
    <row r="175">
      <c r="A175" s="4" t="inlineStr">
        <is>
          <t>MX_LVL-03</t>
        </is>
      </c>
      <c r="B175" s="4" t="inlineStr">
        <is>
          <t>MX_LVL-03|AD61</t>
        </is>
      </c>
      <c r="C175" s="4" t="n">
        <v>5</v>
      </c>
      <c r="D175" s="4" t="n">
        <v>1</v>
      </c>
      <c r="E175" s="4" t="inlineStr">
        <is>
          <t>xám</t>
        </is>
      </c>
      <c r="F175" s="4" t="inlineStr">
        <is>
          <t>A</t>
        </is>
      </c>
      <c r="G175" s="4" t="inlineStr">
        <is>
          <t>HNB005</t>
        </is>
      </c>
    </row>
    <row r="176">
      <c r="A176" s="4" t="inlineStr">
        <is>
          <t>MX_LVL-03</t>
        </is>
      </c>
      <c r="B176" s="4" t="inlineStr">
        <is>
          <t>MX_LVL-03|AD61</t>
        </is>
      </c>
      <c r="C176" s="4" t="n">
        <v>6</v>
      </c>
      <c r="D176" s="4" t="n">
        <v>1</v>
      </c>
      <c r="E176" s="4" t="inlineStr">
        <is>
          <t>trắng</t>
        </is>
      </c>
      <c r="F176" s="4" t="inlineStr">
        <is>
          <t>A</t>
        </is>
      </c>
      <c r="G176" s="4" t="inlineStr">
        <is>
          <t>HNB005</t>
        </is>
      </c>
    </row>
    <row r="177">
      <c r="A177" s="4" t="inlineStr">
        <is>
          <t>MX_LVL-03</t>
        </is>
      </c>
      <c r="B177" s="4" t="inlineStr">
        <is>
          <t>MX_LVL-03|AD61</t>
        </is>
      </c>
      <c r="C177" s="4" t="n">
        <v>7</v>
      </c>
      <c r="D177" s="4" t="n">
        <v>2</v>
      </c>
      <c r="E177" s="4" t="inlineStr">
        <is>
          <t>xanh dương</t>
        </is>
      </c>
      <c r="F177" s="4" t="inlineStr">
        <is>
          <t>D</t>
        </is>
      </c>
      <c r="G177" s="4" t="inlineStr"/>
    </row>
    <row r="178">
      <c r="A178" s="4" t="inlineStr">
        <is>
          <t>MX_LVL-03</t>
        </is>
      </c>
      <c r="B178" s="4" t="inlineStr">
        <is>
          <t>MX_LVL-03|AD61</t>
        </is>
      </c>
      <c r="C178" s="4" t="n">
        <v>8</v>
      </c>
      <c r="D178" s="4" t="n">
        <v>2</v>
      </c>
      <c r="E178" s="4" t="inlineStr">
        <is>
          <t>cam</t>
        </is>
      </c>
      <c r="F178" s="4" t="inlineStr">
        <is>
          <t>D</t>
        </is>
      </c>
      <c r="G178" s="4" t="inlineStr"/>
    </row>
    <row r="179">
      <c r="A179" s="4" t="inlineStr">
        <is>
          <t>MX_LVL-03</t>
        </is>
      </c>
      <c r="B179" s="4" t="inlineStr">
        <is>
          <t>MX_LVL-03|AD61</t>
        </is>
      </c>
      <c r="C179" s="4" t="n">
        <v>9</v>
      </c>
      <c r="D179" s="4" t="n">
        <v>2</v>
      </c>
      <c r="E179" s="4" t="inlineStr">
        <is>
          <t>xanh lá</t>
        </is>
      </c>
      <c r="F179" s="4" t="inlineStr">
        <is>
          <t>D</t>
        </is>
      </c>
      <c r="G179" s="4" t="inlineStr"/>
    </row>
    <row r="180">
      <c r="A180" s="4" t="inlineStr">
        <is>
          <t>MX_LVL-03</t>
        </is>
      </c>
      <c r="B180" s="4" t="inlineStr">
        <is>
          <t>MX_LVL-03|AD61</t>
        </is>
      </c>
      <c r="C180" s="4" t="n">
        <v>10</v>
      </c>
      <c r="D180" s="4" t="n">
        <v>2</v>
      </c>
      <c r="E180" s="4" t="inlineStr">
        <is>
          <t>nâu</t>
        </is>
      </c>
      <c r="F180" s="4" t="inlineStr">
        <is>
          <t>D</t>
        </is>
      </c>
      <c r="G180" s="4" t="inlineStr"/>
    </row>
    <row r="181">
      <c r="A181" s="4" t="inlineStr">
        <is>
          <t>MX_LVL-03</t>
        </is>
      </c>
      <c r="B181" s="4" t="inlineStr">
        <is>
          <t>MX_LVL-03|AD61</t>
        </is>
      </c>
      <c r="C181" s="4" t="n">
        <v>11</v>
      </c>
      <c r="D181" s="4" t="n">
        <v>2</v>
      </c>
      <c r="E181" s="4" t="inlineStr">
        <is>
          <t>xám</t>
        </is>
      </c>
      <c r="F181" s="4" t="inlineStr">
        <is>
          <t>F</t>
        </is>
      </c>
      <c r="G181" s="4" t="inlineStr">
        <is>
          <t>HNB094</t>
        </is>
      </c>
    </row>
    <row r="182">
      <c r="A182" s="4" t="inlineStr">
        <is>
          <t>MX_LVL-03</t>
        </is>
      </c>
      <c r="B182" s="4" t="inlineStr">
        <is>
          <t>MX_LVL-03|AD61</t>
        </is>
      </c>
      <c r="C182" s="4" t="n">
        <v>12</v>
      </c>
      <c r="D182" s="4" t="n">
        <v>2</v>
      </c>
      <c r="E182" s="4" t="inlineStr">
        <is>
          <t>trắng</t>
        </is>
      </c>
      <c r="F182" s="4" t="inlineStr">
        <is>
          <t>F</t>
        </is>
      </c>
      <c r="G182" s="4" t="inlineStr">
        <is>
          <t>HNB094</t>
        </is>
      </c>
    </row>
    <row r="183">
      <c r="A183" s="4" t="inlineStr">
        <is>
          <t>MX_LVL-03</t>
        </is>
      </c>
      <c r="B183" s="4" t="inlineStr">
        <is>
          <t>MX_LVL-03|AQ61</t>
        </is>
      </c>
      <c r="C183" s="4" t="n">
        <v>1</v>
      </c>
      <c r="D183" s="4" t="n">
        <v>1</v>
      </c>
      <c r="E183" s="4" t="inlineStr">
        <is>
          <t>xanh dương</t>
        </is>
      </c>
      <c r="F183" s="4" t="inlineStr">
        <is>
          <t>B</t>
        </is>
      </c>
      <c r="G183" s="4" t="inlineStr">
        <is>
          <t>HNB075</t>
        </is>
      </c>
    </row>
    <row r="184">
      <c r="A184" s="4" t="inlineStr">
        <is>
          <t>MX_LVL-03</t>
        </is>
      </c>
      <c r="B184" s="4" t="inlineStr">
        <is>
          <t>MX_LVL-03|AQ61</t>
        </is>
      </c>
      <c r="C184" s="4" t="n">
        <v>2</v>
      </c>
      <c r="D184" s="4" t="n">
        <v>1</v>
      </c>
      <c r="E184" s="4" t="inlineStr">
        <is>
          <t>cam</t>
        </is>
      </c>
      <c r="F184" s="4" t="inlineStr">
        <is>
          <t>B</t>
        </is>
      </c>
      <c r="G184" s="4" t="inlineStr">
        <is>
          <t>HNB075</t>
        </is>
      </c>
    </row>
    <row r="185">
      <c r="A185" s="4" t="inlineStr">
        <is>
          <t>MX_LVL-03</t>
        </is>
      </c>
      <c r="B185" s="4" t="inlineStr">
        <is>
          <t>MX_LVL-03|AQ61</t>
        </is>
      </c>
      <c r="C185" s="4" t="n">
        <v>3</v>
      </c>
      <c r="D185" s="4" t="n">
        <v>1</v>
      </c>
      <c r="E185" s="4" t="inlineStr">
        <is>
          <t>xanh lá</t>
        </is>
      </c>
      <c r="F185" s="4" t="inlineStr">
        <is>
          <t>B</t>
        </is>
      </c>
      <c r="G185" s="4" t="inlineStr">
        <is>
          <t>HNB073</t>
        </is>
      </c>
    </row>
    <row r="186">
      <c r="A186" s="4" t="inlineStr">
        <is>
          <t>MX_LVL-03</t>
        </is>
      </c>
      <c r="B186" s="4" t="inlineStr">
        <is>
          <t>MX_LVL-03|AQ61</t>
        </is>
      </c>
      <c r="C186" s="4" t="n">
        <v>4</v>
      </c>
      <c r="D186" s="4" t="n">
        <v>1</v>
      </c>
      <c r="E186" s="4" t="inlineStr">
        <is>
          <t>nâu</t>
        </is>
      </c>
      <c r="F186" s="4" t="inlineStr">
        <is>
          <t>B</t>
        </is>
      </c>
      <c r="G186" s="4" t="inlineStr">
        <is>
          <t>HNB073</t>
        </is>
      </c>
    </row>
    <row r="187">
      <c r="A187" s="4" t="inlineStr">
        <is>
          <t>MX_LVL-03</t>
        </is>
      </c>
      <c r="B187" s="4" t="inlineStr">
        <is>
          <t>MX_LVL-03|AQ61</t>
        </is>
      </c>
      <c r="C187" s="4" t="n">
        <v>5</v>
      </c>
      <c r="D187" s="4" t="n">
        <v>1</v>
      </c>
      <c r="E187" s="4" t="inlineStr">
        <is>
          <t>xám</t>
        </is>
      </c>
      <c r="F187" s="4" t="inlineStr">
        <is>
          <t>C</t>
        </is>
      </c>
      <c r="G187" s="4" t="inlineStr">
        <is>
          <t>HNB094</t>
        </is>
      </c>
    </row>
    <row r="188">
      <c r="A188" s="4" t="inlineStr">
        <is>
          <t>MX_LVL-03</t>
        </is>
      </c>
      <c r="B188" s="4" t="inlineStr">
        <is>
          <t>MX_LVL-03|AQ61</t>
        </is>
      </c>
      <c r="C188" s="4" t="n">
        <v>6</v>
      </c>
      <c r="D188" s="4" t="n">
        <v>1</v>
      </c>
      <c r="E188" s="4" t="inlineStr">
        <is>
          <t>trắng</t>
        </is>
      </c>
      <c r="F188" s="4" t="inlineStr">
        <is>
          <t>C</t>
        </is>
      </c>
      <c r="G188" s="4" t="inlineStr">
        <is>
          <t>HNB094</t>
        </is>
      </c>
    </row>
    <row r="189">
      <c r="A189" s="4" t="inlineStr">
        <is>
          <t>MX_LVL-03</t>
        </is>
      </c>
      <c r="B189" s="4" t="inlineStr">
        <is>
          <t>MX_LVL-03|AQ61</t>
        </is>
      </c>
      <c r="C189" s="4" t="n">
        <v>7</v>
      </c>
      <c r="D189" s="4" t="n">
        <v>2</v>
      </c>
      <c r="E189" s="4" t="inlineStr">
        <is>
          <t>xanh dương</t>
        </is>
      </c>
      <c r="F189" s="4" t="inlineStr">
        <is>
          <t>A</t>
        </is>
      </c>
      <c r="G189" s="4" t="inlineStr"/>
    </row>
    <row r="190">
      <c r="A190" s="4" t="inlineStr">
        <is>
          <t>MX_LVL-03</t>
        </is>
      </c>
      <c r="B190" s="4" t="inlineStr">
        <is>
          <t>MX_LVL-03|AQ61</t>
        </is>
      </c>
      <c r="C190" s="4" t="n">
        <v>8</v>
      </c>
      <c r="D190" s="4" t="n">
        <v>2</v>
      </c>
      <c r="E190" s="4" t="inlineStr">
        <is>
          <t>cam</t>
        </is>
      </c>
      <c r="F190" s="4" t="inlineStr">
        <is>
          <t>A</t>
        </is>
      </c>
      <c r="G190" s="4" t="inlineStr"/>
    </row>
    <row r="191">
      <c r="A191" s="4" t="inlineStr">
        <is>
          <t>MX_LVL-03</t>
        </is>
      </c>
      <c r="B191" s="4" t="inlineStr">
        <is>
          <t>MX_LVL-03|AQ61</t>
        </is>
      </c>
      <c r="C191" s="4" t="n">
        <v>9</v>
      </c>
      <c r="D191" s="4" t="n">
        <v>2</v>
      </c>
      <c r="E191" s="4" t="inlineStr">
        <is>
          <t>xanh lá</t>
        </is>
      </c>
      <c r="F191" s="4" t="inlineStr">
        <is>
          <t>A</t>
        </is>
      </c>
      <c r="G191" s="4" t="inlineStr">
        <is>
          <t>HNB066</t>
        </is>
      </c>
    </row>
    <row r="192">
      <c r="A192" s="4" t="inlineStr">
        <is>
          <t>MX_LVL-03</t>
        </is>
      </c>
      <c r="B192" s="4" t="inlineStr">
        <is>
          <t>MX_LVL-03|AQ61</t>
        </is>
      </c>
      <c r="C192" s="4" t="n">
        <v>10</v>
      </c>
      <c r="D192" s="4" t="n">
        <v>2</v>
      </c>
      <c r="E192" s="4" t="inlineStr">
        <is>
          <t>nâu</t>
        </is>
      </c>
      <c r="F192" s="4" t="inlineStr">
        <is>
          <t>A</t>
        </is>
      </c>
      <c r="G192" s="4" t="inlineStr">
        <is>
          <t>HNB066</t>
        </is>
      </c>
    </row>
    <row r="193">
      <c r="A193" s="4" t="inlineStr">
        <is>
          <t>MX_LVL-03</t>
        </is>
      </c>
      <c r="B193" s="4" t="inlineStr">
        <is>
          <t>MX_LVL-03|AQ61</t>
        </is>
      </c>
      <c r="C193" s="4" t="n">
        <v>11</v>
      </c>
      <c r="D193" s="4" t="n">
        <v>2</v>
      </c>
      <c r="E193" s="4" t="inlineStr">
        <is>
          <t>xám</t>
        </is>
      </c>
      <c r="F193" s="4" t="inlineStr">
        <is>
          <t>A</t>
        </is>
      </c>
      <c r="G193" s="4" t="inlineStr">
        <is>
          <t>HNB005</t>
        </is>
      </c>
    </row>
    <row r="194">
      <c r="A194" s="4" t="inlineStr">
        <is>
          <t>MX_LVL-03</t>
        </is>
      </c>
      <c r="B194" s="4" t="inlineStr">
        <is>
          <t>MX_LVL-03|AQ61</t>
        </is>
      </c>
      <c r="C194" s="4" t="n">
        <v>12</v>
      </c>
      <c r="D194" s="4" t="n">
        <v>2</v>
      </c>
      <c r="E194" s="4" t="inlineStr">
        <is>
          <t>trắng</t>
        </is>
      </c>
      <c r="F194" s="4" t="inlineStr">
        <is>
          <t>A</t>
        </is>
      </c>
      <c r="G194" s="4" t="inlineStr">
        <is>
          <t>HNB005</t>
        </is>
      </c>
    </row>
    <row r="195">
      <c r="A195" s="4" t="inlineStr">
        <is>
          <t>MX_HTP-01</t>
        </is>
      </c>
      <c r="B195" s="4" t="inlineStr">
        <is>
          <t>MX_HTP-01|CE48</t>
        </is>
      </c>
      <c r="C195" s="4" t="n">
        <v>1</v>
      </c>
      <c r="D195" s="4" t="n">
        <v>1</v>
      </c>
      <c r="E195" s="4" t="inlineStr">
        <is>
          <t>xanh dương</t>
        </is>
      </c>
      <c r="F195" s="4" t="inlineStr">
        <is>
          <t>A</t>
        </is>
      </c>
      <c r="G195" s="4" t="inlineStr">
        <is>
          <t>HNB075</t>
        </is>
      </c>
    </row>
    <row r="196">
      <c r="A196" s="4" t="inlineStr">
        <is>
          <t>MX_HTP-01</t>
        </is>
      </c>
      <c r="B196" s="4" t="inlineStr">
        <is>
          <t>MX_HTP-01|CE48</t>
        </is>
      </c>
      <c r="C196" s="4" t="n">
        <v>2</v>
      </c>
      <c r="D196" s="4" t="n">
        <v>1</v>
      </c>
      <c r="E196" s="4" t="inlineStr">
        <is>
          <t>cam</t>
        </is>
      </c>
      <c r="F196" s="4" t="inlineStr">
        <is>
          <t>A</t>
        </is>
      </c>
      <c r="G196" s="4" t="inlineStr">
        <is>
          <t>HNB075</t>
        </is>
      </c>
    </row>
    <row r="197">
      <c r="A197" s="4" t="inlineStr">
        <is>
          <t>MX_HTP-01</t>
        </is>
      </c>
      <c r="B197" s="4" t="inlineStr">
        <is>
          <t>MX_HTP-01|CE48</t>
        </is>
      </c>
      <c r="C197" s="4" t="n">
        <v>3</v>
      </c>
      <c r="D197" s="4" t="n">
        <v>1</v>
      </c>
      <c r="E197" s="4" t="inlineStr">
        <is>
          <t>xanh lá</t>
        </is>
      </c>
      <c r="F197" s="4" t="inlineStr">
        <is>
          <t>A</t>
        </is>
      </c>
      <c r="G197" s="4" t="inlineStr">
        <is>
          <t>HNB073</t>
        </is>
      </c>
    </row>
    <row r="198">
      <c r="A198" s="4" t="inlineStr">
        <is>
          <t>MX_HTP-01</t>
        </is>
      </c>
      <c r="B198" s="4" t="inlineStr">
        <is>
          <t>MX_HTP-01|CE48</t>
        </is>
      </c>
      <c r="C198" s="4" t="n">
        <v>4</v>
      </c>
      <c r="D198" s="4" t="n">
        <v>1</v>
      </c>
      <c r="E198" s="4" t="inlineStr">
        <is>
          <t>nâu</t>
        </is>
      </c>
      <c r="F198" s="4" t="inlineStr">
        <is>
          <t>A</t>
        </is>
      </c>
      <c r="G198" s="4" t="inlineStr">
        <is>
          <t>HNB073</t>
        </is>
      </c>
    </row>
    <row r="199">
      <c r="A199" s="4" t="inlineStr">
        <is>
          <t>MX_HTP-01</t>
        </is>
      </c>
      <c r="B199" s="4" t="inlineStr">
        <is>
          <t>MX_HTP-01|CE48</t>
        </is>
      </c>
      <c r="C199" s="4" t="n">
        <v>5</v>
      </c>
      <c r="D199" s="4" t="n">
        <v>1</v>
      </c>
      <c r="E199" s="4" t="inlineStr">
        <is>
          <t>xám</t>
        </is>
      </c>
      <c r="F199" s="4" t="inlineStr">
        <is>
          <t>A</t>
        </is>
      </c>
      <c r="G199" s="4" t="inlineStr">
        <is>
          <t>HNB094</t>
        </is>
      </c>
    </row>
    <row r="200">
      <c r="A200" s="4" t="inlineStr">
        <is>
          <t>MX_HTP-01</t>
        </is>
      </c>
      <c r="B200" s="4" t="inlineStr">
        <is>
          <t>MX_HTP-01|CE48</t>
        </is>
      </c>
      <c r="C200" s="4" t="n">
        <v>6</v>
      </c>
      <c r="D200" s="4" t="n">
        <v>1</v>
      </c>
      <c r="E200" s="4" t="inlineStr">
        <is>
          <t>trắng</t>
        </is>
      </c>
      <c r="F200" s="4" t="inlineStr">
        <is>
          <t>A</t>
        </is>
      </c>
      <c r="G200" s="4" t="inlineStr">
        <is>
          <t>HNB094</t>
        </is>
      </c>
    </row>
    <row r="201">
      <c r="A201" s="4" t="inlineStr">
        <is>
          <t>MX_HTP-01</t>
        </is>
      </c>
      <c r="B201" s="4" t="inlineStr">
        <is>
          <t>MX_HTP-01|CE48</t>
        </is>
      </c>
      <c r="C201" s="4" t="n">
        <v>7</v>
      </c>
      <c r="D201" s="4" t="n">
        <v>2</v>
      </c>
      <c r="E201" s="4" t="inlineStr">
        <is>
          <t>xanh dương</t>
        </is>
      </c>
      <c r="F201" s="4" t="inlineStr">
        <is>
          <t>A</t>
        </is>
      </c>
      <c r="G201" s="4" t="inlineStr"/>
    </row>
    <row r="202">
      <c r="A202" s="4" t="inlineStr">
        <is>
          <t>MX_HTP-01</t>
        </is>
      </c>
      <c r="B202" s="4" t="inlineStr">
        <is>
          <t>MX_HTP-01|CE48</t>
        </is>
      </c>
      <c r="C202" s="4" t="n">
        <v>8</v>
      </c>
      <c r="D202" s="4" t="n">
        <v>2</v>
      </c>
      <c r="E202" s="4" t="inlineStr">
        <is>
          <t>cam</t>
        </is>
      </c>
      <c r="F202" s="4" t="inlineStr">
        <is>
          <t>A</t>
        </is>
      </c>
      <c r="G202" s="4" t="inlineStr"/>
    </row>
    <row r="203">
      <c r="A203" s="4" t="inlineStr">
        <is>
          <t>MX_HTP-01</t>
        </is>
      </c>
      <c r="B203" s="4" t="inlineStr">
        <is>
          <t>MX_HTP-01|CE48</t>
        </is>
      </c>
      <c r="C203" s="4" t="n">
        <v>9</v>
      </c>
      <c r="D203" s="4" t="n">
        <v>2</v>
      </c>
      <c r="E203" s="4" t="inlineStr">
        <is>
          <t>xanh lá</t>
        </is>
      </c>
      <c r="F203" s="4" t="inlineStr">
        <is>
          <t>B</t>
        </is>
      </c>
      <c r="G203" s="4" t="inlineStr">
        <is>
          <t>HNB066</t>
        </is>
      </c>
    </row>
    <row r="204">
      <c r="A204" s="4" t="inlineStr">
        <is>
          <t>MX_HTP-01</t>
        </is>
      </c>
      <c r="B204" s="4" t="inlineStr">
        <is>
          <t>MX_HTP-01|CE48</t>
        </is>
      </c>
      <c r="C204" s="4" t="n">
        <v>10</v>
      </c>
      <c r="D204" s="4" t="n">
        <v>2</v>
      </c>
      <c r="E204" s="4" t="inlineStr">
        <is>
          <t>nâu</t>
        </is>
      </c>
      <c r="F204" s="4" t="inlineStr">
        <is>
          <t>B</t>
        </is>
      </c>
      <c r="G204" s="4" t="inlineStr">
        <is>
          <t>HNB066</t>
        </is>
      </c>
    </row>
    <row r="205">
      <c r="A205" s="4" t="inlineStr">
        <is>
          <t>MX_HTP-01</t>
        </is>
      </c>
      <c r="B205" s="4" t="inlineStr">
        <is>
          <t>MX_HTP-01|CE48</t>
        </is>
      </c>
      <c r="C205" s="4" t="n">
        <v>11</v>
      </c>
      <c r="D205" s="4" t="n">
        <v>2</v>
      </c>
      <c r="E205" s="4" t="inlineStr">
        <is>
          <t>xám</t>
        </is>
      </c>
      <c r="F205" s="4" t="inlineStr">
        <is>
          <t>A</t>
        </is>
      </c>
      <c r="G205" s="4" t="inlineStr">
        <is>
          <t>HNB005</t>
        </is>
      </c>
    </row>
    <row r="206">
      <c r="A206" s="4" t="inlineStr">
        <is>
          <t>MX_HTP-01</t>
        </is>
      </c>
      <c r="B206" s="4" t="inlineStr">
        <is>
          <t>MX_HTP-01|CE48</t>
        </is>
      </c>
      <c r="C206" s="4" t="n">
        <v>12</v>
      </c>
      <c r="D206" s="4" t="n">
        <v>2</v>
      </c>
      <c r="E206" s="4" t="inlineStr">
        <is>
          <t>trắng</t>
        </is>
      </c>
      <c r="F206" s="4" t="inlineStr">
        <is>
          <t>A</t>
        </is>
      </c>
      <c r="G206" s="4" t="inlineStr">
        <is>
          <t>HNB005</t>
        </is>
      </c>
    </row>
    <row r="207">
      <c r="A207" s="4" t="inlineStr">
        <is>
          <t>MX_HTP-01</t>
        </is>
      </c>
      <c r="B207" s="4" t="inlineStr">
        <is>
          <t>MX_HTP-01|CR48</t>
        </is>
      </c>
      <c r="C207" s="4" t="n">
        <v>1</v>
      </c>
      <c r="D207" s="4" t="n">
        <v>1</v>
      </c>
      <c r="E207" s="4" t="inlineStr">
        <is>
          <t>xanh dương</t>
        </is>
      </c>
      <c r="F207" s="4" t="inlineStr">
        <is>
          <t>B</t>
        </is>
      </c>
      <c r="G207" s="4" t="inlineStr">
        <is>
          <t>HNB066</t>
        </is>
      </c>
    </row>
    <row r="208">
      <c r="A208" s="4" t="inlineStr">
        <is>
          <t>MX_HTP-01</t>
        </is>
      </c>
      <c r="B208" s="4" t="inlineStr">
        <is>
          <t>MX_HTP-01|CR48</t>
        </is>
      </c>
      <c r="C208" s="4" t="n">
        <v>2</v>
      </c>
      <c r="D208" s="4" t="n">
        <v>1</v>
      </c>
      <c r="E208" s="4" t="inlineStr">
        <is>
          <t>cam</t>
        </is>
      </c>
      <c r="F208" s="4" t="inlineStr">
        <is>
          <t>B</t>
        </is>
      </c>
      <c r="G208" s="4" t="inlineStr">
        <is>
          <t>HNB066</t>
        </is>
      </c>
    </row>
    <row r="209">
      <c r="A209" s="4" t="inlineStr">
        <is>
          <t>MX_HTP-01</t>
        </is>
      </c>
      <c r="B209" s="4" t="inlineStr">
        <is>
          <t>MX_HTP-01|CR48</t>
        </is>
      </c>
      <c r="C209" s="4" t="n">
        <v>3</v>
      </c>
      <c r="D209" s="4" t="n">
        <v>1</v>
      </c>
      <c r="E209" s="4" t="inlineStr">
        <is>
          <t>xanh lá</t>
        </is>
      </c>
      <c r="F209" s="4" t="inlineStr"/>
      <c r="G209" s="4" t="inlineStr"/>
    </row>
    <row r="210">
      <c r="A210" s="4" t="inlineStr">
        <is>
          <t>MX_HTP-01</t>
        </is>
      </c>
      <c r="B210" s="4" t="inlineStr">
        <is>
          <t>MX_HTP-01|CR48</t>
        </is>
      </c>
      <c r="C210" s="4" t="n">
        <v>4</v>
      </c>
      <c r="D210" s="4" t="n">
        <v>1</v>
      </c>
      <c r="E210" s="4" t="inlineStr">
        <is>
          <t>nâu</t>
        </is>
      </c>
      <c r="F210" s="4" t="inlineStr"/>
      <c r="G210" s="4" t="inlineStr"/>
    </row>
    <row r="211">
      <c r="A211" s="4" t="inlineStr">
        <is>
          <t>MX_HTP-01</t>
        </is>
      </c>
      <c r="B211" s="4" t="inlineStr">
        <is>
          <t>MX_HTP-01|CR48</t>
        </is>
      </c>
      <c r="C211" s="4" t="n">
        <v>5</v>
      </c>
      <c r="D211" s="4" t="n">
        <v>1</v>
      </c>
      <c r="E211" s="4" t="inlineStr">
        <is>
          <t>xám</t>
        </is>
      </c>
      <c r="F211" s="4" t="inlineStr"/>
      <c r="G211" s="4" t="inlineStr"/>
    </row>
    <row r="212">
      <c r="A212" s="4" t="inlineStr">
        <is>
          <t>MX_HTP-01</t>
        </is>
      </c>
      <c r="B212" s="4" t="inlineStr">
        <is>
          <t>MX_HTP-01|CR48</t>
        </is>
      </c>
      <c r="C212" s="4" t="n">
        <v>6</v>
      </c>
      <c r="D212" s="4" t="n">
        <v>1</v>
      </c>
      <c r="E212" s="4" t="inlineStr">
        <is>
          <t>trắng</t>
        </is>
      </c>
      <c r="F212" s="4" t="inlineStr"/>
      <c r="G212" s="4" t="inlineStr"/>
    </row>
    <row r="213">
      <c r="A213" s="4" t="inlineStr">
        <is>
          <t>MX_HTP-01</t>
        </is>
      </c>
      <c r="B213" s="4" t="inlineStr">
        <is>
          <t>MX_HTP-01|CR48</t>
        </is>
      </c>
      <c r="C213" s="4" t="n">
        <v>7</v>
      </c>
      <c r="D213" s="4" t="n">
        <v>2</v>
      </c>
      <c r="E213" s="4" t="inlineStr">
        <is>
          <t>xanh dương</t>
        </is>
      </c>
      <c r="F213" s="4" t="inlineStr"/>
      <c r="G213" s="4" t="inlineStr"/>
    </row>
    <row r="214">
      <c r="A214" s="4" t="inlineStr">
        <is>
          <t>MX_HTP-01</t>
        </is>
      </c>
      <c r="B214" s="4" t="inlineStr">
        <is>
          <t>MX_HTP-01|CR48</t>
        </is>
      </c>
      <c r="C214" s="4" t="n">
        <v>8</v>
      </c>
      <c r="D214" s="4" t="n">
        <v>2</v>
      </c>
      <c r="E214" s="4" t="inlineStr">
        <is>
          <t>cam</t>
        </is>
      </c>
      <c r="F214" s="4" t="inlineStr"/>
      <c r="G214" s="4" t="inlineStr"/>
    </row>
    <row r="215">
      <c r="A215" s="4" t="inlineStr">
        <is>
          <t>MX_HTP-01</t>
        </is>
      </c>
      <c r="B215" s="4" t="inlineStr">
        <is>
          <t>MX_HTP-01|CE61</t>
        </is>
      </c>
      <c r="C215" s="4" t="n">
        <v>1</v>
      </c>
      <c r="D215" s="4" t="n">
        <v>1</v>
      </c>
      <c r="E215" s="4" t="inlineStr">
        <is>
          <t>xanh dương</t>
        </is>
      </c>
      <c r="F215" s="4" t="inlineStr">
        <is>
          <t>A</t>
        </is>
      </c>
      <c r="G215" s="4" t="inlineStr">
        <is>
          <t>HNB075</t>
        </is>
      </c>
    </row>
    <row r="216">
      <c r="A216" s="4" t="inlineStr">
        <is>
          <t>MX_HTP-01</t>
        </is>
      </c>
      <c r="B216" s="4" t="inlineStr">
        <is>
          <t>MX_HTP-01|CE61</t>
        </is>
      </c>
      <c r="C216" s="4" t="n">
        <v>2</v>
      </c>
      <c r="D216" s="4" t="n">
        <v>1</v>
      </c>
      <c r="E216" s="4" t="inlineStr">
        <is>
          <t>cam</t>
        </is>
      </c>
      <c r="F216" s="4" t="inlineStr">
        <is>
          <t>A</t>
        </is>
      </c>
      <c r="G216" s="4" t="inlineStr">
        <is>
          <t>HNB075</t>
        </is>
      </c>
    </row>
    <row r="217">
      <c r="A217" s="4" t="inlineStr">
        <is>
          <t>MX_HTP-01</t>
        </is>
      </c>
      <c r="B217" s="4" t="inlineStr">
        <is>
          <t>MX_HTP-01|CE61</t>
        </is>
      </c>
      <c r="C217" s="4" t="n">
        <v>3</v>
      </c>
      <c r="D217" s="4" t="n">
        <v>1</v>
      </c>
      <c r="E217" s="4" t="inlineStr">
        <is>
          <t>xanh lá</t>
        </is>
      </c>
      <c r="F217" s="4" t="inlineStr">
        <is>
          <t>A</t>
        </is>
      </c>
      <c r="G217" s="4" t="inlineStr">
        <is>
          <t>HNB073</t>
        </is>
      </c>
    </row>
    <row r="218">
      <c r="A218" s="4" t="inlineStr">
        <is>
          <t>MX_HTP-01</t>
        </is>
      </c>
      <c r="B218" s="4" t="inlineStr">
        <is>
          <t>MX_HTP-01|CE61</t>
        </is>
      </c>
      <c r="C218" s="4" t="n">
        <v>4</v>
      </c>
      <c r="D218" s="4" t="n">
        <v>1</v>
      </c>
      <c r="E218" s="4" t="inlineStr">
        <is>
          <t>nâu</t>
        </is>
      </c>
      <c r="F218" s="4" t="inlineStr">
        <is>
          <t>A</t>
        </is>
      </c>
      <c r="G218" s="4" t="inlineStr">
        <is>
          <t>HNB073</t>
        </is>
      </c>
    </row>
    <row r="219">
      <c r="A219" s="4" t="inlineStr">
        <is>
          <t>MX_HTP-01</t>
        </is>
      </c>
      <c r="B219" s="4" t="inlineStr">
        <is>
          <t>MX_HTP-01|CE61</t>
        </is>
      </c>
      <c r="C219" s="4" t="n">
        <v>5</v>
      </c>
      <c r="D219" s="4" t="n">
        <v>1</v>
      </c>
      <c r="E219" s="4" t="inlineStr">
        <is>
          <t>xám</t>
        </is>
      </c>
      <c r="F219" s="4" t="inlineStr">
        <is>
          <t>A</t>
        </is>
      </c>
      <c r="G219" s="4" t="inlineStr">
        <is>
          <t>HNB094</t>
        </is>
      </c>
    </row>
    <row r="220">
      <c r="A220" s="4" t="inlineStr">
        <is>
          <t>MX_HTP-01</t>
        </is>
      </c>
      <c r="B220" s="4" t="inlineStr">
        <is>
          <t>MX_HTP-01|CE61</t>
        </is>
      </c>
      <c r="C220" s="4" t="n">
        <v>6</v>
      </c>
      <c r="D220" s="4" t="n">
        <v>1</v>
      </c>
      <c r="E220" s="4" t="inlineStr">
        <is>
          <t>trắng</t>
        </is>
      </c>
      <c r="F220" s="4" t="inlineStr">
        <is>
          <t>A</t>
        </is>
      </c>
      <c r="G220" s="4" t="inlineStr">
        <is>
          <t>HNB094</t>
        </is>
      </c>
    </row>
    <row r="221">
      <c r="A221" s="4" t="inlineStr">
        <is>
          <t>MX_HTP-01</t>
        </is>
      </c>
      <c r="B221" s="4" t="inlineStr">
        <is>
          <t>MX_HTP-01|CE61</t>
        </is>
      </c>
      <c r="C221" s="4" t="n">
        <v>7</v>
      </c>
      <c r="D221" s="4" t="n">
        <v>2</v>
      </c>
      <c r="E221" s="4" t="inlineStr">
        <is>
          <t>xanh dương</t>
        </is>
      </c>
      <c r="F221" s="4" t="inlineStr">
        <is>
          <t>A</t>
        </is>
      </c>
      <c r="G221" s="4" t="inlineStr"/>
    </row>
    <row r="222">
      <c r="A222" s="4" t="inlineStr">
        <is>
          <t>MX_HTP-01</t>
        </is>
      </c>
      <c r="B222" s="4" t="inlineStr">
        <is>
          <t>MX_HTP-01|CE61</t>
        </is>
      </c>
      <c r="C222" s="4" t="n">
        <v>8</v>
      </c>
      <c r="D222" s="4" t="n">
        <v>2</v>
      </c>
      <c r="E222" s="4" t="inlineStr">
        <is>
          <t>cam</t>
        </is>
      </c>
      <c r="F222" s="4" t="inlineStr">
        <is>
          <t>A</t>
        </is>
      </c>
      <c r="G222" s="4" t="inlineStr"/>
    </row>
    <row r="223">
      <c r="A223" s="4" t="inlineStr">
        <is>
          <t>MX_HTP-01</t>
        </is>
      </c>
      <c r="B223" s="4" t="inlineStr">
        <is>
          <t>MX_HTP-01|CE61</t>
        </is>
      </c>
      <c r="C223" s="4" t="n">
        <v>9</v>
      </c>
      <c r="D223" s="4" t="n">
        <v>2</v>
      </c>
      <c r="E223" s="4" t="inlineStr">
        <is>
          <t>xanh lá</t>
        </is>
      </c>
      <c r="F223" s="4" t="inlineStr"/>
      <c r="G223" s="4" t="inlineStr"/>
    </row>
    <row r="224">
      <c r="A224" s="4" t="inlineStr">
        <is>
          <t>MX_HTP-01</t>
        </is>
      </c>
      <c r="B224" s="4" t="inlineStr">
        <is>
          <t>MX_HTP-01|CE61</t>
        </is>
      </c>
      <c r="C224" s="4" t="n">
        <v>10</v>
      </c>
      <c r="D224" s="4" t="n">
        <v>2</v>
      </c>
      <c r="E224" s="4" t="inlineStr">
        <is>
          <t>nâu</t>
        </is>
      </c>
      <c r="F224" s="4" t="inlineStr"/>
      <c r="G224" s="4" t="inlineStr"/>
    </row>
    <row r="225">
      <c r="A225" s="4" t="inlineStr">
        <is>
          <t>MX_HTP-01</t>
        </is>
      </c>
      <c r="B225" s="4" t="inlineStr">
        <is>
          <t>MX_HTP-01|CE61</t>
        </is>
      </c>
      <c r="C225" s="4" t="n">
        <v>11</v>
      </c>
      <c r="D225" s="4" t="n">
        <v>2</v>
      </c>
      <c r="E225" s="4" t="inlineStr">
        <is>
          <t>xám</t>
        </is>
      </c>
      <c r="F225" s="4" t="inlineStr">
        <is>
          <t>A</t>
        </is>
      </c>
      <c r="G225" s="4" t="inlineStr">
        <is>
          <t>HNB005</t>
        </is>
      </c>
    </row>
    <row r="226">
      <c r="A226" s="4" t="inlineStr">
        <is>
          <t>MX_HTP-01</t>
        </is>
      </c>
      <c r="B226" s="4" t="inlineStr">
        <is>
          <t>MX_HTP-01|CE61</t>
        </is>
      </c>
      <c r="C226" s="4" t="n">
        <v>12</v>
      </c>
      <c r="D226" s="4" t="n">
        <v>2</v>
      </c>
      <c r="E226" s="4" t="inlineStr">
        <is>
          <t>trắng</t>
        </is>
      </c>
      <c r="F226" s="4" t="inlineStr">
        <is>
          <t>A</t>
        </is>
      </c>
      <c r="G226" s="4" t="inlineStr">
        <is>
          <t>HNB005</t>
        </is>
      </c>
    </row>
    <row r="227">
      <c r="A227" s="4" t="inlineStr">
        <is>
          <t>MX_LVL-04</t>
        </is>
      </c>
      <c r="B227" s="4" t="inlineStr">
        <is>
          <t>MX_LVL-04|AD67</t>
        </is>
      </c>
      <c r="C227" s="4" t="n">
        <v>1</v>
      </c>
      <c r="D227" s="4" t="n">
        <v>1</v>
      </c>
      <c r="E227" s="4" t="inlineStr">
        <is>
          <t>xanh dương</t>
        </is>
      </c>
      <c r="F227" s="4" t="inlineStr">
        <is>
          <t>A</t>
        </is>
      </c>
      <c r="G227" s="4" t="inlineStr"/>
    </row>
    <row r="228">
      <c r="A228" s="4" t="inlineStr">
        <is>
          <t>MX_LVL-04</t>
        </is>
      </c>
      <c r="B228" s="4" t="inlineStr">
        <is>
          <t>MX_LVL-04|AD67</t>
        </is>
      </c>
      <c r="C228" s="4" t="n">
        <v>2</v>
      </c>
      <c r="D228" s="4" t="n">
        <v>1</v>
      </c>
      <c r="E228" s="4" t="inlineStr">
        <is>
          <t>cam</t>
        </is>
      </c>
      <c r="F228" s="4" t="inlineStr">
        <is>
          <t>A</t>
        </is>
      </c>
      <c r="G228" s="4" t="inlineStr"/>
    </row>
    <row r="229">
      <c r="A229" s="4" t="inlineStr">
        <is>
          <t>MX_LVL-04</t>
        </is>
      </c>
      <c r="B229" s="4" t="inlineStr">
        <is>
          <t>MX_LVL-04|AD67</t>
        </is>
      </c>
      <c r="C229" s="4" t="n">
        <v>3</v>
      </c>
      <c r="D229" s="4" t="n">
        <v>1</v>
      </c>
      <c r="E229" s="4" t="inlineStr">
        <is>
          <t>xanh lá</t>
        </is>
      </c>
      <c r="F229" s="4" t="inlineStr">
        <is>
          <t>A</t>
        </is>
      </c>
      <c r="G229" s="4" t="inlineStr">
        <is>
          <t>HNB066</t>
        </is>
      </c>
    </row>
    <row r="230">
      <c r="A230" s="4" t="inlineStr">
        <is>
          <t>MX_LVL-04</t>
        </is>
      </c>
      <c r="B230" s="4" t="inlineStr">
        <is>
          <t>MX_LVL-04|AD67</t>
        </is>
      </c>
      <c r="C230" s="4" t="n">
        <v>4</v>
      </c>
      <c r="D230" s="4" t="n">
        <v>1</v>
      </c>
      <c r="E230" s="4" t="inlineStr">
        <is>
          <t>nâu</t>
        </is>
      </c>
      <c r="F230" s="4" t="inlineStr">
        <is>
          <t>A</t>
        </is>
      </c>
      <c r="G230" s="4" t="inlineStr">
        <is>
          <t>HNB066</t>
        </is>
      </c>
    </row>
    <row r="231">
      <c r="A231" s="4" t="inlineStr">
        <is>
          <t>MX_LVL-04</t>
        </is>
      </c>
      <c r="B231" s="4" t="inlineStr">
        <is>
          <t>MX_LVL-04|AD67</t>
        </is>
      </c>
      <c r="C231" s="4" t="n">
        <v>5</v>
      </c>
      <c r="D231" s="4" t="n">
        <v>1</v>
      </c>
      <c r="E231" s="4" t="inlineStr">
        <is>
          <t>xám</t>
        </is>
      </c>
      <c r="F231" s="4" t="inlineStr">
        <is>
          <t>A</t>
        </is>
      </c>
      <c r="G231" s="4" t="inlineStr">
        <is>
          <t>HNB005</t>
        </is>
      </c>
    </row>
    <row r="232">
      <c r="A232" s="4" t="inlineStr">
        <is>
          <t>MX_LVL-04</t>
        </is>
      </c>
      <c r="B232" s="4" t="inlineStr">
        <is>
          <t>MX_LVL-04|AD67</t>
        </is>
      </c>
      <c r="C232" s="4" t="n">
        <v>6</v>
      </c>
      <c r="D232" s="4" t="n">
        <v>1</v>
      </c>
      <c r="E232" s="4" t="inlineStr">
        <is>
          <t>trắng</t>
        </is>
      </c>
      <c r="F232" s="4" t="inlineStr">
        <is>
          <t>A</t>
        </is>
      </c>
      <c r="G232" s="4" t="inlineStr">
        <is>
          <t>HNB005</t>
        </is>
      </c>
    </row>
    <row r="233">
      <c r="A233" s="4" t="inlineStr">
        <is>
          <t>MX_LVL-04</t>
        </is>
      </c>
      <c r="B233" s="4" t="inlineStr">
        <is>
          <t>MX_LVL-04|AD67</t>
        </is>
      </c>
      <c r="C233" s="4" t="n">
        <v>7</v>
      </c>
      <c r="D233" s="4" t="n">
        <v>2</v>
      </c>
      <c r="E233" s="4" t="inlineStr">
        <is>
          <t>xanh dương</t>
        </is>
      </c>
      <c r="F233" s="4" t="inlineStr">
        <is>
          <t>A</t>
        </is>
      </c>
      <c r="G233" s="4" t="inlineStr"/>
    </row>
    <row r="234">
      <c r="A234" s="4" t="inlineStr">
        <is>
          <t>MX_LVL-04</t>
        </is>
      </c>
      <c r="B234" s="4" t="inlineStr">
        <is>
          <t>MX_LVL-04|AD67</t>
        </is>
      </c>
      <c r="C234" s="4" t="n">
        <v>8</v>
      </c>
      <c r="D234" s="4" t="n">
        <v>2</v>
      </c>
      <c r="E234" s="4" t="inlineStr">
        <is>
          <t>cam</t>
        </is>
      </c>
      <c r="F234" s="4" t="inlineStr">
        <is>
          <t>A</t>
        </is>
      </c>
      <c r="G234" s="4" t="inlineStr"/>
    </row>
    <row r="235">
      <c r="A235" s="4" t="inlineStr">
        <is>
          <t>MX_LVL-04</t>
        </is>
      </c>
      <c r="B235" s="4" t="inlineStr">
        <is>
          <t>MX_LVL-04|AD67</t>
        </is>
      </c>
      <c r="C235" s="4" t="n">
        <v>9</v>
      </c>
      <c r="D235" s="4" t="n">
        <v>2</v>
      </c>
      <c r="E235" s="4" t="inlineStr">
        <is>
          <t>xanh lá</t>
        </is>
      </c>
      <c r="F235" s="4" t="inlineStr">
        <is>
          <t>A</t>
        </is>
      </c>
      <c r="G235" s="4" t="inlineStr"/>
    </row>
    <row r="236">
      <c r="A236" s="4" t="inlineStr">
        <is>
          <t>MX_LVL-04</t>
        </is>
      </c>
      <c r="B236" s="4" t="inlineStr">
        <is>
          <t>MX_LVL-04|AD67</t>
        </is>
      </c>
      <c r="C236" s="4" t="n">
        <v>10</v>
      </c>
      <c r="D236" s="4" t="n">
        <v>2</v>
      </c>
      <c r="E236" s="4" t="inlineStr">
        <is>
          <t>nâu</t>
        </is>
      </c>
      <c r="F236" s="4" t="inlineStr">
        <is>
          <t>A</t>
        </is>
      </c>
      <c r="G236" s="4" t="inlineStr"/>
    </row>
    <row r="237">
      <c r="A237" s="4" t="inlineStr">
        <is>
          <t>MX_LVL-04</t>
        </is>
      </c>
      <c r="B237" s="4" t="inlineStr">
        <is>
          <t>MX_LVL-04|AD67</t>
        </is>
      </c>
      <c r="C237" s="4" t="n">
        <v>11</v>
      </c>
      <c r="D237" s="4" t="n">
        <v>2</v>
      </c>
      <c r="E237" s="4" t="inlineStr">
        <is>
          <t>xám</t>
        </is>
      </c>
      <c r="F237" s="4" t="inlineStr">
        <is>
          <t>B</t>
        </is>
      </c>
      <c r="G237" s="4" t="inlineStr">
        <is>
          <t>HNB094</t>
        </is>
      </c>
    </row>
    <row r="238">
      <c r="A238" s="4" t="inlineStr">
        <is>
          <t>MX_LVL-04</t>
        </is>
      </c>
      <c r="B238" s="4" t="inlineStr">
        <is>
          <t>MX_LVL-04|AD67</t>
        </is>
      </c>
      <c r="C238" s="4" t="n">
        <v>12</v>
      </c>
      <c r="D238" s="4" t="n">
        <v>2</v>
      </c>
      <c r="E238" s="4" t="inlineStr">
        <is>
          <t>trắng</t>
        </is>
      </c>
      <c r="F238" s="4" t="inlineStr">
        <is>
          <t>B</t>
        </is>
      </c>
      <c r="G238" s="4" t="inlineStr">
        <is>
          <t>HNB094</t>
        </is>
      </c>
    </row>
    <row r="239">
      <c r="A239" s="4" t="inlineStr">
        <is>
          <t>MX_LVL-04</t>
        </is>
      </c>
      <c r="B239" s="4" t="inlineStr">
        <is>
          <t>MX_LVL-04|AA70</t>
        </is>
      </c>
      <c r="C239" s="4" t="n">
        <v>1</v>
      </c>
      <c r="D239" s="4" t="n">
        <v>1</v>
      </c>
      <c r="E239" s="4" t="inlineStr">
        <is>
          <t>xanh dương</t>
        </is>
      </c>
      <c r="F239" s="4" t="inlineStr">
        <is>
          <t>B</t>
        </is>
      </c>
      <c r="G239" s="4" t="inlineStr">
        <is>
          <t>HNB094</t>
        </is>
      </c>
    </row>
    <row r="240">
      <c r="A240" s="4" t="inlineStr">
        <is>
          <t>MX_LVL-04</t>
        </is>
      </c>
      <c r="B240" s="4" t="inlineStr">
        <is>
          <t>MX_LVL-04|AA70</t>
        </is>
      </c>
      <c r="C240" s="4" t="n">
        <v>2</v>
      </c>
      <c r="D240" s="4" t="n">
        <v>1</v>
      </c>
      <c r="E240" s="4" t="inlineStr">
        <is>
          <t>cam</t>
        </is>
      </c>
      <c r="F240" s="4" t="inlineStr">
        <is>
          <t>B</t>
        </is>
      </c>
      <c r="G240" s="4" t="inlineStr">
        <is>
          <t>HNB094</t>
        </is>
      </c>
    </row>
    <row r="241">
      <c r="A241" s="4" t="inlineStr">
        <is>
          <t>MX_LVL-04</t>
        </is>
      </c>
      <c r="B241" s="4" t="inlineStr">
        <is>
          <t>MX_LVL-04|AA70</t>
        </is>
      </c>
      <c r="C241" s="4" t="n">
        <v>3</v>
      </c>
      <c r="D241" s="4" t="n">
        <v>1</v>
      </c>
      <c r="E241" s="4" t="inlineStr">
        <is>
          <t>xanh lá</t>
        </is>
      </c>
      <c r="F241" s="4" t="inlineStr"/>
      <c r="G241" s="4" t="inlineStr"/>
    </row>
    <row r="242">
      <c r="A242" s="4" t="inlineStr">
        <is>
          <t>MX_LVL-04</t>
        </is>
      </c>
      <c r="B242" s="4" t="inlineStr">
        <is>
          <t>MX_LVL-04|AA70</t>
        </is>
      </c>
      <c r="C242" s="4" t="n">
        <v>4</v>
      </c>
      <c r="D242" s="4" t="n">
        <v>1</v>
      </c>
      <c r="E242" s="4" t="inlineStr">
        <is>
          <t>nâu</t>
        </is>
      </c>
      <c r="F242" s="4" t="inlineStr"/>
      <c r="G242" s="4" t="inlineStr"/>
    </row>
    <row r="243">
      <c r="A243" s="4" t="inlineStr">
        <is>
          <t>MX_LVL-04</t>
        </is>
      </c>
      <c r="B243" s="4" t="inlineStr">
        <is>
          <t>MX_LVL-04|AA70</t>
        </is>
      </c>
      <c r="C243" s="4" t="n">
        <v>5</v>
      </c>
      <c r="D243" s="4" t="n">
        <v>1</v>
      </c>
      <c r="E243" s="4" t="inlineStr">
        <is>
          <t>xám</t>
        </is>
      </c>
      <c r="F243" s="4" t="inlineStr"/>
      <c r="G243" s="4" t="inlineStr"/>
    </row>
    <row r="244">
      <c r="A244" s="4" t="inlineStr">
        <is>
          <t>MX_LVL-04</t>
        </is>
      </c>
      <c r="B244" s="4" t="inlineStr">
        <is>
          <t>MX_LVL-04|AA70</t>
        </is>
      </c>
      <c r="C244" s="4" t="n">
        <v>6</v>
      </c>
      <c r="D244" s="4" t="n">
        <v>1</v>
      </c>
      <c r="E244" s="4" t="inlineStr">
        <is>
          <t>trắng</t>
        </is>
      </c>
      <c r="F244" s="4" t="inlineStr"/>
      <c r="G244" s="4" t="inlineStr"/>
    </row>
    <row r="245">
      <c r="A245" s="4" t="inlineStr">
        <is>
          <t>MX_LVL-04</t>
        </is>
      </c>
      <c r="B245" s="4" t="inlineStr">
        <is>
          <t>MX_LVL-04|AA70</t>
        </is>
      </c>
      <c r="C245" s="4" t="n">
        <v>7</v>
      </c>
      <c r="D245" s="4" t="n">
        <v>2</v>
      </c>
      <c r="E245" s="4" t="inlineStr">
        <is>
          <t>xanh dương</t>
        </is>
      </c>
      <c r="F245" s="4" t="inlineStr"/>
      <c r="G245" s="4" t="inlineStr"/>
    </row>
    <row r="246">
      <c r="A246" s="4" t="inlineStr">
        <is>
          <t>MX_LVL-04</t>
        </is>
      </c>
      <c r="B246" s="4" t="inlineStr">
        <is>
          <t>MX_LVL-04|AA70</t>
        </is>
      </c>
      <c r="C246" s="4" t="n">
        <v>8</v>
      </c>
      <c r="D246" s="4" t="n">
        <v>2</v>
      </c>
      <c r="E246" s="4" t="inlineStr">
        <is>
          <t>cam</t>
        </is>
      </c>
      <c r="F246" s="4" t="inlineStr"/>
      <c r="G246" s="4" t="inlineStr"/>
    </row>
    <row r="247">
      <c r="A247" s="4" t="inlineStr">
        <is>
          <t>MX_LVL-04</t>
        </is>
      </c>
      <c r="B247" s="4" t="inlineStr">
        <is>
          <t>MX_LVL-04|AR70</t>
        </is>
      </c>
      <c r="C247" s="4" t="n">
        <v>1</v>
      </c>
      <c r="D247" s="4" t="n">
        <v>1</v>
      </c>
      <c r="E247" s="4" t="inlineStr">
        <is>
          <t>xanh dương</t>
        </is>
      </c>
      <c r="F247" s="4" t="inlineStr">
        <is>
          <t>C</t>
        </is>
      </c>
      <c r="G247" s="4" t="inlineStr"/>
    </row>
    <row r="248">
      <c r="A248" s="4" t="inlineStr">
        <is>
          <t>MX_LVL-04</t>
        </is>
      </c>
      <c r="B248" s="4" t="inlineStr">
        <is>
          <t>MX_LVL-04|AR70</t>
        </is>
      </c>
      <c r="C248" s="4" t="n">
        <v>2</v>
      </c>
      <c r="D248" s="4" t="n">
        <v>1</v>
      </c>
      <c r="E248" s="4" t="inlineStr">
        <is>
          <t>cam</t>
        </is>
      </c>
      <c r="F248" s="4" t="inlineStr">
        <is>
          <t>C</t>
        </is>
      </c>
      <c r="G248" s="4" t="inlineStr"/>
    </row>
    <row r="249">
      <c r="A249" s="4" t="inlineStr">
        <is>
          <t>MX_LVL-04</t>
        </is>
      </c>
      <c r="B249" s="4" t="inlineStr">
        <is>
          <t>MX_LVL-04|AR70</t>
        </is>
      </c>
      <c r="C249" s="4" t="n">
        <v>3</v>
      </c>
      <c r="D249" s="4" t="n">
        <v>1</v>
      </c>
      <c r="E249" s="4" t="inlineStr">
        <is>
          <t>xanh lá</t>
        </is>
      </c>
      <c r="F249" s="4" t="inlineStr"/>
      <c r="G249" s="4" t="inlineStr"/>
    </row>
    <row r="250">
      <c r="A250" s="4" t="inlineStr">
        <is>
          <t>MX_LVL-04</t>
        </is>
      </c>
      <c r="B250" s="4" t="inlineStr">
        <is>
          <t>MX_LVL-04|AR70</t>
        </is>
      </c>
      <c r="C250" s="4" t="n">
        <v>4</v>
      </c>
      <c r="D250" s="4" t="n">
        <v>1</v>
      </c>
      <c r="E250" s="4" t="inlineStr">
        <is>
          <t>nâu</t>
        </is>
      </c>
      <c r="F250" s="4" t="inlineStr"/>
      <c r="G250" s="4" t="inlineStr"/>
    </row>
    <row r="251">
      <c r="A251" s="4" t="inlineStr">
        <is>
          <t>MX_LVL-04</t>
        </is>
      </c>
      <c r="B251" s="4" t="inlineStr">
        <is>
          <t>MX_LVL-04|AR70</t>
        </is>
      </c>
      <c r="C251" s="4" t="n">
        <v>5</v>
      </c>
      <c r="D251" s="4" t="n">
        <v>1</v>
      </c>
      <c r="E251" s="4" t="inlineStr">
        <is>
          <t>xám</t>
        </is>
      </c>
      <c r="F251" s="4" t="inlineStr"/>
      <c r="G251" s="4" t="inlineStr"/>
    </row>
    <row r="252">
      <c r="A252" s="4" t="inlineStr">
        <is>
          <t>MX_LVL-04</t>
        </is>
      </c>
      <c r="B252" s="4" t="inlineStr">
        <is>
          <t>MX_LVL-04|AR70</t>
        </is>
      </c>
      <c r="C252" s="4" t="n">
        <v>6</v>
      </c>
      <c r="D252" s="4" t="n">
        <v>1</v>
      </c>
      <c r="E252" s="4" t="inlineStr">
        <is>
          <t>trắng</t>
        </is>
      </c>
      <c r="F252" s="4" t="inlineStr"/>
      <c r="G252" s="4" t="inlineStr"/>
    </row>
    <row r="253">
      <c r="A253" s="4" t="inlineStr">
        <is>
          <t>MX_LVL-04</t>
        </is>
      </c>
      <c r="B253" s="4" t="inlineStr">
        <is>
          <t>MX_LVL-04|AD80</t>
        </is>
      </c>
      <c r="C253" s="4" t="n">
        <v>1</v>
      </c>
      <c r="D253" s="4" t="n">
        <v>1</v>
      </c>
      <c r="E253" s="4" t="inlineStr">
        <is>
          <t>xanh dương</t>
        </is>
      </c>
      <c r="F253" s="4" t="inlineStr">
        <is>
          <t>A</t>
        </is>
      </c>
      <c r="G253" s="4" t="inlineStr"/>
    </row>
    <row r="254">
      <c r="A254" s="4" t="inlineStr">
        <is>
          <t>MX_LVL-04</t>
        </is>
      </c>
      <c r="B254" s="4" t="inlineStr">
        <is>
          <t>MX_LVL-04|AD80</t>
        </is>
      </c>
      <c r="C254" s="4" t="n">
        <v>2</v>
      </c>
      <c r="D254" s="4" t="n">
        <v>1</v>
      </c>
      <c r="E254" s="4" t="inlineStr">
        <is>
          <t>cam</t>
        </is>
      </c>
      <c r="F254" s="4" t="inlineStr">
        <is>
          <t>A</t>
        </is>
      </c>
      <c r="G254" s="4" t="inlineStr"/>
    </row>
    <row r="255">
      <c r="A255" s="4" t="inlineStr">
        <is>
          <t>MX_LVL-04</t>
        </is>
      </c>
      <c r="B255" s="4" t="inlineStr">
        <is>
          <t>MX_LVL-04|AD80</t>
        </is>
      </c>
      <c r="C255" s="4" t="n">
        <v>3</v>
      </c>
      <c r="D255" s="4" t="n">
        <v>1</v>
      </c>
      <c r="E255" s="4" t="inlineStr">
        <is>
          <t>xanh lá</t>
        </is>
      </c>
      <c r="F255" s="4" t="inlineStr">
        <is>
          <t>A</t>
        </is>
      </c>
      <c r="G255" s="4" t="inlineStr">
        <is>
          <t>HNB066</t>
        </is>
      </c>
    </row>
    <row r="256">
      <c r="A256" s="4" t="inlineStr">
        <is>
          <t>MX_LVL-04</t>
        </is>
      </c>
      <c r="B256" s="4" t="inlineStr">
        <is>
          <t>MX_LVL-04|AD80</t>
        </is>
      </c>
      <c r="C256" s="4" t="n">
        <v>4</v>
      </c>
      <c r="D256" s="4" t="n">
        <v>1</v>
      </c>
      <c r="E256" s="4" t="inlineStr">
        <is>
          <t>nâu</t>
        </is>
      </c>
      <c r="F256" s="4" t="inlineStr">
        <is>
          <t>A</t>
        </is>
      </c>
      <c r="G256" s="4" t="inlineStr">
        <is>
          <t>HNB066</t>
        </is>
      </c>
    </row>
    <row r="257">
      <c r="A257" s="4" t="inlineStr">
        <is>
          <t>MX_LVL-04</t>
        </is>
      </c>
      <c r="B257" s="4" t="inlineStr">
        <is>
          <t>MX_LVL-04|AD80</t>
        </is>
      </c>
      <c r="C257" s="4" t="n">
        <v>5</v>
      </c>
      <c r="D257" s="4" t="n">
        <v>1</v>
      </c>
      <c r="E257" s="4" t="inlineStr">
        <is>
          <t>xám</t>
        </is>
      </c>
      <c r="F257" s="4" t="inlineStr">
        <is>
          <t>A</t>
        </is>
      </c>
      <c r="G257" s="4" t="inlineStr">
        <is>
          <t>HNB005</t>
        </is>
      </c>
    </row>
    <row r="258">
      <c r="A258" s="4" t="inlineStr">
        <is>
          <t>MX_LVL-04</t>
        </is>
      </c>
      <c r="B258" s="4" t="inlineStr">
        <is>
          <t>MX_LVL-04|AD80</t>
        </is>
      </c>
      <c r="C258" s="4" t="n">
        <v>6</v>
      </c>
      <c r="D258" s="4" t="n">
        <v>1</v>
      </c>
      <c r="E258" s="4" t="inlineStr">
        <is>
          <t>trắng</t>
        </is>
      </c>
      <c r="F258" s="4" t="inlineStr">
        <is>
          <t>A</t>
        </is>
      </c>
      <c r="G258" s="4" t="inlineStr">
        <is>
          <t>HNB005</t>
        </is>
      </c>
    </row>
    <row r="259">
      <c r="A259" s="4" t="inlineStr">
        <is>
          <t>MX_LVL-04</t>
        </is>
      </c>
      <c r="B259" s="4" t="inlineStr">
        <is>
          <t>MX_LVL-04|AD80</t>
        </is>
      </c>
      <c r="C259" s="4" t="n">
        <v>7</v>
      </c>
      <c r="D259" s="4" t="n">
        <v>2</v>
      </c>
      <c r="E259" s="4" t="inlineStr">
        <is>
          <t>xanh dương</t>
        </is>
      </c>
      <c r="F259" s="4" t="inlineStr">
        <is>
          <t>C</t>
        </is>
      </c>
      <c r="G259" s="4" t="inlineStr">
        <is>
          <t>LACG43</t>
        </is>
      </c>
    </row>
    <row r="260">
      <c r="A260" s="4" t="inlineStr">
        <is>
          <t>MX_LVL-04</t>
        </is>
      </c>
      <c r="B260" s="4" t="inlineStr">
        <is>
          <t>MX_LVL-04|AD80</t>
        </is>
      </c>
      <c r="C260" s="4" t="n">
        <v>8</v>
      </c>
      <c r="D260" s="4" t="n">
        <v>2</v>
      </c>
      <c r="E260" s="4" t="inlineStr">
        <is>
          <t>cam</t>
        </is>
      </c>
      <c r="F260" s="4" t="inlineStr">
        <is>
          <t>C</t>
        </is>
      </c>
      <c r="G260" s="4" t="inlineStr">
        <is>
          <t>LACG43</t>
        </is>
      </c>
    </row>
    <row r="261">
      <c r="A261" s="4" t="inlineStr">
        <is>
          <t>MX_LVL-04</t>
        </is>
      </c>
      <c r="B261" s="4" t="inlineStr">
        <is>
          <t>MX_LVL-04|AD80</t>
        </is>
      </c>
      <c r="C261" s="4" t="n">
        <v>9</v>
      </c>
      <c r="D261" s="4" t="n">
        <v>2</v>
      </c>
      <c r="E261" s="4" t="inlineStr">
        <is>
          <t>xanh lá</t>
        </is>
      </c>
      <c r="F261" s="4" t="inlineStr">
        <is>
          <t>A</t>
        </is>
      </c>
      <c r="G261" s="4" t="inlineStr"/>
    </row>
    <row r="262">
      <c r="A262" s="4" t="inlineStr">
        <is>
          <t>MX_LVL-04</t>
        </is>
      </c>
      <c r="B262" s="4" t="inlineStr">
        <is>
          <t>MX_LVL-04|AD80</t>
        </is>
      </c>
      <c r="C262" s="4" t="n">
        <v>10</v>
      </c>
      <c r="D262" s="4" t="n">
        <v>2</v>
      </c>
      <c r="E262" s="4" t="inlineStr">
        <is>
          <t>nâu</t>
        </is>
      </c>
      <c r="F262" s="4" t="inlineStr">
        <is>
          <t>A</t>
        </is>
      </c>
      <c r="G262" s="4" t="inlineStr"/>
    </row>
    <row r="263">
      <c r="A263" s="4" t="inlineStr">
        <is>
          <t>MX_LVL-04</t>
        </is>
      </c>
      <c r="B263" s="4" t="inlineStr">
        <is>
          <t>MX_LVL-04|AD80</t>
        </is>
      </c>
      <c r="C263" s="4" t="n">
        <v>11</v>
      </c>
      <c r="D263" s="4" t="n">
        <v>2</v>
      </c>
      <c r="E263" s="4" t="inlineStr">
        <is>
          <t>xám</t>
        </is>
      </c>
      <c r="F263" s="4" t="inlineStr"/>
      <c r="G263" s="4" t="inlineStr"/>
    </row>
    <row r="264">
      <c r="A264" s="4" t="inlineStr">
        <is>
          <t>MX_LVL-04</t>
        </is>
      </c>
      <c r="B264" s="4" t="inlineStr">
        <is>
          <t>MX_LVL-04|AD80</t>
        </is>
      </c>
      <c r="C264" s="4" t="n">
        <v>12</v>
      </c>
      <c r="D264" s="4" t="n">
        <v>2</v>
      </c>
      <c r="E264" s="4" t="inlineStr">
        <is>
          <t>trắng</t>
        </is>
      </c>
      <c r="F264" s="4" t="inlineStr"/>
      <c r="G264" s="4" t="inlineStr"/>
    </row>
    <row r="265">
      <c r="A265" s="4" t="inlineStr">
        <is>
          <t>MX_HTP-02</t>
        </is>
      </c>
      <c r="B265" s="4" t="inlineStr">
        <is>
          <t>MX_HTP-02|CE68</t>
        </is>
      </c>
      <c r="C265" s="4" t="n">
        <v>1</v>
      </c>
      <c r="D265" s="4" t="n">
        <v>1</v>
      </c>
      <c r="E265" s="4" t="inlineStr">
        <is>
          <t>xanh dương</t>
        </is>
      </c>
      <c r="F265" s="4" t="inlineStr">
        <is>
          <t>A</t>
        </is>
      </c>
      <c r="G265" s="4" t="inlineStr">
        <is>
          <t>HNB075</t>
        </is>
      </c>
    </row>
    <row r="266">
      <c r="A266" s="4" t="inlineStr">
        <is>
          <t>MX_HTP-02</t>
        </is>
      </c>
      <c r="B266" s="4" t="inlineStr">
        <is>
          <t>MX_HTP-02|CE68</t>
        </is>
      </c>
      <c r="C266" s="4" t="n">
        <v>2</v>
      </c>
      <c r="D266" s="4" t="n">
        <v>1</v>
      </c>
      <c r="E266" s="4" t="inlineStr">
        <is>
          <t>cam</t>
        </is>
      </c>
      <c r="F266" s="4" t="inlineStr">
        <is>
          <t>A</t>
        </is>
      </c>
      <c r="G266" s="4" t="inlineStr">
        <is>
          <t>HNB075</t>
        </is>
      </c>
    </row>
    <row r="267">
      <c r="A267" s="4" t="inlineStr">
        <is>
          <t>MX_HTP-02</t>
        </is>
      </c>
      <c r="B267" s="4" t="inlineStr">
        <is>
          <t>MX_HTP-02|CE68</t>
        </is>
      </c>
      <c r="C267" s="4" t="n">
        <v>3</v>
      </c>
      <c r="D267" s="4" t="n">
        <v>1</v>
      </c>
      <c r="E267" s="4" t="inlineStr">
        <is>
          <t>xanh lá</t>
        </is>
      </c>
      <c r="F267" s="4" t="inlineStr">
        <is>
          <t>A</t>
        </is>
      </c>
      <c r="G267" s="4" t="inlineStr">
        <is>
          <t>HNB073</t>
        </is>
      </c>
    </row>
    <row r="268">
      <c r="A268" s="4" t="inlineStr">
        <is>
          <t>MX_HTP-02</t>
        </is>
      </c>
      <c r="B268" s="4" t="inlineStr">
        <is>
          <t>MX_HTP-02|CE68</t>
        </is>
      </c>
      <c r="C268" s="4" t="n">
        <v>4</v>
      </c>
      <c r="D268" s="4" t="n">
        <v>1</v>
      </c>
      <c r="E268" s="4" t="inlineStr">
        <is>
          <t>nâu</t>
        </is>
      </c>
      <c r="F268" s="4" t="inlineStr">
        <is>
          <t>A</t>
        </is>
      </c>
      <c r="G268" s="4" t="inlineStr">
        <is>
          <t>HNB073</t>
        </is>
      </c>
    </row>
    <row r="269">
      <c r="A269" s="4" t="inlineStr">
        <is>
          <t>MX_HTP-02</t>
        </is>
      </c>
      <c r="B269" s="4" t="inlineStr">
        <is>
          <t>MX_HTP-02|CE68</t>
        </is>
      </c>
      <c r="C269" s="4" t="n">
        <v>5</v>
      </c>
      <c r="D269" s="4" t="n">
        <v>1</v>
      </c>
      <c r="E269" s="4" t="inlineStr">
        <is>
          <t>xám</t>
        </is>
      </c>
      <c r="F269" s="4" t="inlineStr">
        <is>
          <t>A</t>
        </is>
      </c>
      <c r="G269" s="4" t="inlineStr">
        <is>
          <t>HNB094</t>
        </is>
      </c>
    </row>
    <row r="270">
      <c r="A270" s="4" t="inlineStr">
        <is>
          <t>MX_HTP-02</t>
        </is>
      </c>
      <c r="B270" s="4" t="inlineStr">
        <is>
          <t>MX_HTP-02|CE68</t>
        </is>
      </c>
      <c r="C270" s="4" t="n">
        <v>6</v>
      </c>
      <c r="D270" s="4" t="n">
        <v>1</v>
      </c>
      <c r="E270" s="4" t="inlineStr">
        <is>
          <t>trắng</t>
        </is>
      </c>
      <c r="F270" s="4" t="inlineStr">
        <is>
          <t>A</t>
        </is>
      </c>
      <c r="G270" s="4" t="inlineStr">
        <is>
          <t>HNB094</t>
        </is>
      </c>
    </row>
    <row r="271">
      <c r="A271" s="4" t="inlineStr">
        <is>
          <t>MX_HTP-02</t>
        </is>
      </c>
      <c r="B271" s="4" t="inlineStr">
        <is>
          <t>MX_HTP-02|CE68</t>
        </is>
      </c>
      <c r="C271" s="4" t="n">
        <v>7</v>
      </c>
      <c r="D271" s="4" t="n">
        <v>2</v>
      </c>
      <c r="E271" s="4" t="inlineStr">
        <is>
          <t>xanh dương</t>
        </is>
      </c>
      <c r="F271" s="4" t="inlineStr">
        <is>
          <t>A</t>
        </is>
      </c>
      <c r="G271" s="4" t="inlineStr"/>
    </row>
    <row r="272">
      <c r="A272" s="4" t="inlineStr">
        <is>
          <t>MX_HTP-02</t>
        </is>
      </c>
      <c r="B272" s="4" t="inlineStr">
        <is>
          <t>MX_HTP-02|CE68</t>
        </is>
      </c>
      <c r="C272" s="4" t="n">
        <v>8</v>
      </c>
      <c r="D272" s="4" t="n">
        <v>2</v>
      </c>
      <c r="E272" s="4" t="inlineStr">
        <is>
          <t>cam</t>
        </is>
      </c>
      <c r="F272" s="4" t="inlineStr">
        <is>
          <t>A</t>
        </is>
      </c>
      <c r="G272" s="4" t="inlineStr"/>
    </row>
    <row r="273">
      <c r="A273" s="4" t="inlineStr">
        <is>
          <t>MX_HTP-02</t>
        </is>
      </c>
      <c r="B273" s="4" t="inlineStr">
        <is>
          <t>MX_HTP-02|CE68</t>
        </is>
      </c>
      <c r="C273" s="4" t="n">
        <v>9</v>
      </c>
      <c r="D273" s="4" t="n">
        <v>2</v>
      </c>
      <c r="E273" s="4" t="inlineStr">
        <is>
          <t>xanh lá</t>
        </is>
      </c>
      <c r="F273" s="4" t="inlineStr"/>
      <c r="G273" s="4" t="inlineStr"/>
    </row>
    <row r="274">
      <c r="A274" s="4" t="inlineStr">
        <is>
          <t>MX_HTP-02</t>
        </is>
      </c>
      <c r="B274" s="4" t="inlineStr">
        <is>
          <t>MX_HTP-02|CE68</t>
        </is>
      </c>
      <c r="C274" s="4" t="n">
        <v>10</v>
      </c>
      <c r="D274" s="4" t="n">
        <v>2</v>
      </c>
      <c r="E274" s="4" t="inlineStr">
        <is>
          <t>nâu</t>
        </is>
      </c>
      <c r="F274" s="4" t="inlineStr"/>
      <c r="G274" s="4" t="inlineStr"/>
    </row>
    <row r="275">
      <c r="A275" s="4" t="inlineStr">
        <is>
          <t>MX_HTP-02</t>
        </is>
      </c>
      <c r="B275" s="4" t="inlineStr">
        <is>
          <t>MX_HTP-02|CE68</t>
        </is>
      </c>
      <c r="C275" s="4" t="n">
        <v>11</v>
      </c>
      <c r="D275" s="4" t="n">
        <v>2</v>
      </c>
      <c r="E275" s="4" t="inlineStr">
        <is>
          <t>xám</t>
        </is>
      </c>
      <c r="F275" s="4" t="inlineStr">
        <is>
          <t>B</t>
        </is>
      </c>
      <c r="G275" s="4" t="inlineStr">
        <is>
          <t>HNB005</t>
        </is>
      </c>
    </row>
    <row r="276">
      <c r="A276" s="4" t="inlineStr">
        <is>
          <t>MX_HTP-02</t>
        </is>
      </c>
      <c r="B276" s="4" t="inlineStr">
        <is>
          <t>MX_HTP-02|CE68</t>
        </is>
      </c>
      <c r="C276" s="4" t="n">
        <v>12</v>
      </c>
      <c r="D276" s="4" t="n">
        <v>2</v>
      </c>
      <c r="E276" s="4" t="inlineStr">
        <is>
          <t>trắng</t>
        </is>
      </c>
      <c r="F276" s="4" t="inlineStr">
        <is>
          <t>B</t>
        </is>
      </c>
      <c r="G276" s="4" t="inlineStr">
        <is>
          <t>HNB005</t>
        </is>
      </c>
    </row>
    <row r="277">
      <c r="A277" s="4" t="inlineStr">
        <is>
          <t>MX_HTP-02</t>
        </is>
      </c>
      <c r="B277" s="4" t="inlineStr">
        <is>
          <t>MX_HTP-02|CB71</t>
        </is>
      </c>
      <c r="C277" s="4" t="n">
        <v>1</v>
      </c>
      <c r="D277" s="4" t="n">
        <v>1</v>
      </c>
      <c r="E277" s="4" t="inlineStr">
        <is>
          <t>xanh dương</t>
        </is>
      </c>
      <c r="F277" s="4" t="inlineStr">
        <is>
          <t>C</t>
        </is>
      </c>
      <c r="G277" s="4" t="inlineStr"/>
    </row>
    <row r="278">
      <c r="A278" s="4" t="inlineStr">
        <is>
          <t>MX_HTP-02</t>
        </is>
      </c>
      <c r="B278" s="4" t="inlineStr">
        <is>
          <t>MX_HTP-02|CB71</t>
        </is>
      </c>
      <c r="C278" s="4" t="n">
        <v>2</v>
      </c>
      <c r="D278" s="4" t="n">
        <v>1</v>
      </c>
      <c r="E278" s="4" t="inlineStr">
        <is>
          <t>cam</t>
        </is>
      </c>
      <c r="F278" s="4" t="inlineStr">
        <is>
          <t>C</t>
        </is>
      </c>
      <c r="G278" s="4" t="inlineStr"/>
    </row>
    <row r="279">
      <c r="A279" s="4" t="inlineStr">
        <is>
          <t>MX_HTP-02</t>
        </is>
      </c>
      <c r="B279" s="4" t="inlineStr">
        <is>
          <t>MX_HTP-02|CB71</t>
        </is>
      </c>
      <c r="C279" s="4" t="n">
        <v>3</v>
      </c>
      <c r="D279" s="4" t="n">
        <v>1</v>
      </c>
      <c r="E279" s="4" t="inlineStr">
        <is>
          <t>xanh lá</t>
        </is>
      </c>
      <c r="F279" s="4" t="inlineStr"/>
      <c r="G279" s="4" t="inlineStr"/>
    </row>
    <row r="280">
      <c r="A280" s="4" t="inlineStr">
        <is>
          <t>MX_HTP-02</t>
        </is>
      </c>
      <c r="B280" s="4" t="inlineStr">
        <is>
          <t>MX_HTP-02|CB71</t>
        </is>
      </c>
      <c r="C280" s="4" t="n">
        <v>4</v>
      </c>
      <c r="D280" s="4" t="n">
        <v>1</v>
      </c>
      <c r="E280" s="4" t="inlineStr">
        <is>
          <t>nâu</t>
        </is>
      </c>
      <c r="F280" s="4" t="inlineStr"/>
      <c r="G280" s="4" t="inlineStr"/>
    </row>
    <row r="281">
      <c r="A281" s="4" t="inlineStr">
        <is>
          <t>MX_HTP-02</t>
        </is>
      </c>
      <c r="B281" s="4" t="inlineStr">
        <is>
          <t>MX_HTP-02|CB71</t>
        </is>
      </c>
      <c r="C281" s="4" t="n">
        <v>5</v>
      </c>
      <c r="D281" s="4" t="n">
        <v>1</v>
      </c>
      <c r="E281" s="4" t="inlineStr">
        <is>
          <t>xám</t>
        </is>
      </c>
      <c r="F281" s="4" t="inlineStr"/>
      <c r="G281" s="4" t="inlineStr"/>
    </row>
    <row r="282">
      <c r="A282" s="4" t="inlineStr">
        <is>
          <t>MX_HTP-02</t>
        </is>
      </c>
      <c r="B282" s="4" t="inlineStr">
        <is>
          <t>MX_HTP-02|CB71</t>
        </is>
      </c>
      <c r="C282" s="4" t="n">
        <v>6</v>
      </c>
      <c r="D282" s="4" t="n">
        <v>1</v>
      </c>
      <c r="E282" s="4" t="inlineStr">
        <is>
          <t>trắng</t>
        </is>
      </c>
      <c r="F282" s="4" t="inlineStr"/>
      <c r="G282" s="4" t="inlineStr"/>
    </row>
    <row r="283">
      <c r="A283" s="4" t="inlineStr">
        <is>
          <t>MX_HTP-02</t>
        </is>
      </c>
      <c r="B283" s="4" t="inlineStr">
        <is>
          <t>MX_HTP-02|CB71</t>
        </is>
      </c>
      <c r="C283" s="4" t="n">
        <v>7</v>
      </c>
      <c r="D283" s="4" t="n">
        <v>2</v>
      </c>
      <c r="E283" s="4" t="inlineStr">
        <is>
          <t>xanh dương</t>
        </is>
      </c>
      <c r="F283" s="4" t="inlineStr"/>
      <c r="G283" s="4" t="inlineStr"/>
    </row>
    <row r="284">
      <c r="A284" s="4" t="inlineStr">
        <is>
          <t>MX_HTP-02</t>
        </is>
      </c>
      <c r="B284" s="4" t="inlineStr">
        <is>
          <t>MX_HTP-02|CB71</t>
        </is>
      </c>
      <c r="C284" s="4" t="n">
        <v>8</v>
      </c>
      <c r="D284" s="4" t="n">
        <v>2</v>
      </c>
      <c r="E284" s="4" t="inlineStr">
        <is>
          <t>cam</t>
        </is>
      </c>
      <c r="F284" s="4" t="inlineStr"/>
      <c r="G284" s="4" t="inlineStr"/>
    </row>
    <row r="285">
      <c r="A285" s="4" t="inlineStr">
        <is>
          <t>MX_HTP-02</t>
        </is>
      </c>
      <c r="B285" s="4" t="inlineStr">
        <is>
          <t>MX_HTP-02|CE81</t>
        </is>
      </c>
      <c r="C285" s="4" t="n">
        <v>1</v>
      </c>
      <c r="D285" s="4" t="n">
        <v>1</v>
      </c>
      <c r="E285" s="4" t="inlineStr">
        <is>
          <t>xanh dương</t>
        </is>
      </c>
      <c r="F285" s="4" t="inlineStr">
        <is>
          <t>A</t>
        </is>
      </c>
      <c r="G285" s="4" t="inlineStr">
        <is>
          <t>HNB075</t>
        </is>
      </c>
    </row>
    <row r="286">
      <c r="A286" s="4" t="inlineStr">
        <is>
          <t>MX_HTP-02</t>
        </is>
      </c>
      <c r="B286" s="4" t="inlineStr">
        <is>
          <t>MX_HTP-02|CE81</t>
        </is>
      </c>
      <c r="C286" s="4" t="n">
        <v>2</v>
      </c>
      <c r="D286" s="4" t="n">
        <v>1</v>
      </c>
      <c r="E286" s="4" t="inlineStr">
        <is>
          <t>cam</t>
        </is>
      </c>
      <c r="F286" s="4" t="inlineStr">
        <is>
          <t>A</t>
        </is>
      </c>
      <c r="G286" s="4" t="inlineStr">
        <is>
          <t>HNB075</t>
        </is>
      </c>
    </row>
    <row r="287">
      <c r="A287" s="4" t="inlineStr">
        <is>
          <t>MX_HTP-02</t>
        </is>
      </c>
      <c r="B287" s="4" t="inlineStr">
        <is>
          <t>MX_HTP-02|CE81</t>
        </is>
      </c>
      <c r="C287" s="4" t="n">
        <v>3</v>
      </c>
      <c r="D287" s="4" t="n">
        <v>1</v>
      </c>
      <c r="E287" s="4" t="inlineStr">
        <is>
          <t>xanh lá</t>
        </is>
      </c>
      <c r="F287" s="4" t="inlineStr">
        <is>
          <t>A</t>
        </is>
      </c>
      <c r="G287" s="4" t="inlineStr">
        <is>
          <t>HNB073</t>
        </is>
      </c>
    </row>
    <row r="288">
      <c r="A288" s="4" t="inlineStr">
        <is>
          <t>MX_HTP-02</t>
        </is>
      </c>
      <c r="B288" s="4" t="inlineStr">
        <is>
          <t>MX_HTP-02|CE81</t>
        </is>
      </c>
      <c r="C288" s="4" t="n">
        <v>4</v>
      </c>
      <c r="D288" s="4" t="n">
        <v>1</v>
      </c>
      <c r="E288" s="4" t="inlineStr">
        <is>
          <t>nâu</t>
        </is>
      </c>
      <c r="F288" s="4" t="inlineStr">
        <is>
          <t>A</t>
        </is>
      </c>
      <c r="G288" s="4" t="inlineStr">
        <is>
          <t>HNB073</t>
        </is>
      </c>
    </row>
    <row r="289">
      <c r="A289" s="4" t="inlineStr">
        <is>
          <t>MX_HTP-02</t>
        </is>
      </c>
      <c r="B289" s="4" t="inlineStr">
        <is>
          <t>MX_HTP-02|CE81</t>
        </is>
      </c>
      <c r="C289" s="4" t="n">
        <v>5</v>
      </c>
      <c r="D289" s="4" t="n">
        <v>1</v>
      </c>
      <c r="E289" s="4" t="inlineStr">
        <is>
          <t>xám</t>
        </is>
      </c>
      <c r="F289" s="4" t="inlineStr">
        <is>
          <t>A</t>
        </is>
      </c>
      <c r="G289" s="4" t="inlineStr">
        <is>
          <t>HNB094</t>
        </is>
      </c>
    </row>
    <row r="290">
      <c r="A290" s="4" t="inlineStr">
        <is>
          <t>MX_HTP-02</t>
        </is>
      </c>
      <c r="B290" s="4" t="inlineStr">
        <is>
          <t>MX_HTP-02|CE81</t>
        </is>
      </c>
      <c r="C290" s="4" t="n">
        <v>6</v>
      </c>
      <c r="D290" s="4" t="n">
        <v>1</v>
      </c>
      <c r="E290" s="4" t="inlineStr">
        <is>
          <t>trắng</t>
        </is>
      </c>
      <c r="F290" s="4" t="inlineStr">
        <is>
          <t>A</t>
        </is>
      </c>
      <c r="G290" s="4" t="inlineStr">
        <is>
          <t>HNB094</t>
        </is>
      </c>
    </row>
    <row r="291">
      <c r="A291" s="4" t="inlineStr">
        <is>
          <t>MX_HTP-02</t>
        </is>
      </c>
      <c r="B291" s="4" t="inlineStr">
        <is>
          <t>MX_HTP-02|CE81</t>
        </is>
      </c>
      <c r="C291" s="4" t="n">
        <v>7</v>
      </c>
      <c r="D291" s="4" t="n">
        <v>2</v>
      </c>
      <c r="E291" s="4" t="inlineStr">
        <is>
          <t>xanh dương</t>
        </is>
      </c>
      <c r="F291" s="4" t="inlineStr">
        <is>
          <t>A</t>
        </is>
      </c>
      <c r="G291" s="4" t="inlineStr"/>
    </row>
    <row r="292">
      <c r="A292" s="4" t="inlineStr">
        <is>
          <t>MX_HTP-02</t>
        </is>
      </c>
      <c r="B292" s="4" t="inlineStr">
        <is>
          <t>MX_HTP-02|CE81</t>
        </is>
      </c>
      <c r="C292" s="4" t="n">
        <v>8</v>
      </c>
      <c r="D292" s="4" t="n">
        <v>2</v>
      </c>
      <c r="E292" s="4" t="inlineStr">
        <is>
          <t>cam</t>
        </is>
      </c>
      <c r="F292" s="4" t="inlineStr">
        <is>
          <t>A</t>
        </is>
      </c>
      <c r="G292" s="4" t="inlineStr"/>
    </row>
    <row r="293">
      <c r="A293" s="4" t="inlineStr">
        <is>
          <t>MX_HTP-02</t>
        </is>
      </c>
      <c r="B293" s="4" t="inlineStr">
        <is>
          <t>MX_HTP-02|CE81</t>
        </is>
      </c>
      <c r="C293" s="4" t="n">
        <v>9</v>
      </c>
      <c r="D293" s="4" t="n">
        <v>2</v>
      </c>
      <c r="E293" s="4" t="inlineStr">
        <is>
          <t>xanh lá</t>
        </is>
      </c>
      <c r="F293" s="4" t="inlineStr">
        <is>
          <t>C</t>
        </is>
      </c>
      <c r="G293" s="4" t="inlineStr">
        <is>
          <t>HNB038</t>
        </is>
      </c>
    </row>
    <row r="294">
      <c r="A294" s="4" t="inlineStr">
        <is>
          <t>MX_HTP-02</t>
        </is>
      </c>
      <c r="B294" s="4" t="inlineStr">
        <is>
          <t>MX_HTP-02|CE81</t>
        </is>
      </c>
      <c r="C294" s="4" t="n">
        <v>10</v>
      </c>
      <c r="D294" s="4" t="n">
        <v>2</v>
      </c>
      <c r="E294" s="4" t="inlineStr">
        <is>
          <t>nâu</t>
        </is>
      </c>
      <c r="F294" s="4" t="inlineStr">
        <is>
          <t>C</t>
        </is>
      </c>
      <c r="G294" s="4" t="inlineStr">
        <is>
          <t>HNB038</t>
        </is>
      </c>
    </row>
    <row r="295">
      <c r="A295" s="4" t="inlineStr">
        <is>
          <t>MX_HTP-02</t>
        </is>
      </c>
      <c r="B295" s="4" t="inlineStr">
        <is>
          <t>MX_HTP-02|CE81</t>
        </is>
      </c>
      <c r="C295" s="4" t="n">
        <v>11</v>
      </c>
      <c r="D295" s="4" t="n">
        <v>2</v>
      </c>
      <c r="E295" s="4" t="inlineStr">
        <is>
          <t>xám</t>
        </is>
      </c>
      <c r="F295" s="4" t="inlineStr"/>
      <c r="G295" s="4" t="inlineStr"/>
    </row>
    <row r="296">
      <c r="A296" s="4" t="inlineStr">
        <is>
          <t>MX_HTP-02</t>
        </is>
      </c>
      <c r="B296" s="4" t="inlineStr">
        <is>
          <t>MX_HTP-02|CE81</t>
        </is>
      </c>
      <c r="C296" s="4" t="n">
        <v>12</v>
      </c>
      <c r="D296" s="4" t="n">
        <v>2</v>
      </c>
      <c r="E296" s="4" t="inlineStr">
        <is>
          <t>trắng</t>
        </is>
      </c>
      <c r="F296" s="4" t="inlineStr"/>
      <c r="G296" s="4" t="inlineStr"/>
    </row>
    <row r="297">
      <c r="A297" s="4" t="inlineStr">
        <is>
          <t>MX_HTP-02</t>
        </is>
      </c>
      <c r="B297" s="4" t="inlineStr">
        <is>
          <t>MX_HTP-02|CR81</t>
        </is>
      </c>
      <c r="C297" s="4" t="n">
        <v>1</v>
      </c>
      <c r="D297" s="4" t="n">
        <v>1</v>
      </c>
      <c r="E297" s="4" t="inlineStr">
        <is>
          <t>xanh dương</t>
        </is>
      </c>
      <c r="F297" s="4" t="inlineStr">
        <is>
          <t>B</t>
        </is>
      </c>
      <c r="G297" s="4" t="inlineStr">
        <is>
          <t>HNB005</t>
        </is>
      </c>
    </row>
    <row r="298">
      <c r="A298" s="4" t="inlineStr">
        <is>
          <t>MX_HTP-02</t>
        </is>
      </c>
      <c r="B298" s="4" t="inlineStr">
        <is>
          <t>MX_HTP-02|CR81</t>
        </is>
      </c>
      <c r="C298" s="4" t="n">
        <v>2</v>
      </c>
      <c r="D298" s="4" t="n">
        <v>1</v>
      </c>
      <c r="E298" s="4" t="inlineStr">
        <is>
          <t>cam</t>
        </is>
      </c>
      <c r="F298" s="4" t="inlineStr">
        <is>
          <t>B</t>
        </is>
      </c>
      <c r="G298" s="4" t="inlineStr">
        <is>
          <t>HNB005</t>
        </is>
      </c>
    </row>
    <row r="299">
      <c r="A299" s="4" t="inlineStr">
        <is>
          <t>MX_HTP-02</t>
        </is>
      </c>
      <c r="B299" s="4" t="inlineStr">
        <is>
          <t>MX_HTP-02|CR81</t>
        </is>
      </c>
      <c r="C299" s="4" t="n">
        <v>3</v>
      </c>
      <c r="D299" s="4" t="n">
        <v>1</v>
      </c>
      <c r="E299" s="4" t="inlineStr">
        <is>
          <t>xanh lá</t>
        </is>
      </c>
      <c r="F299" s="4" t="inlineStr"/>
      <c r="G299" s="4" t="inlineStr"/>
    </row>
    <row r="300">
      <c r="A300" s="4" t="inlineStr">
        <is>
          <t>MX_HTP-02</t>
        </is>
      </c>
      <c r="B300" s="4" t="inlineStr">
        <is>
          <t>MX_HTP-02|CR81</t>
        </is>
      </c>
      <c r="C300" s="4" t="n">
        <v>4</v>
      </c>
      <c r="D300" s="4" t="n">
        <v>1</v>
      </c>
      <c r="E300" s="4" t="inlineStr">
        <is>
          <t>nâu</t>
        </is>
      </c>
      <c r="F300" s="4" t="inlineStr"/>
      <c r="G300" s="4" t="inlineStr"/>
    </row>
    <row r="301">
      <c r="A301" s="4" t="inlineStr">
        <is>
          <t>MX_HTP-02</t>
        </is>
      </c>
      <c r="B301" s="4" t="inlineStr">
        <is>
          <t>MX_HTP-02|CR81</t>
        </is>
      </c>
      <c r="C301" s="4" t="n">
        <v>5</v>
      </c>
      <c r="D301" s="4" t="n">
        <v>1</v>
      </c>
      <c r="E301" s="4" t="inlineStr">
        <is>
          <t>xám</t>
        </is>
      </c>
      <c r="F301" s="4" t="inlineStr"/>
      <c r="G301" s="4" t="inlineStr"/>
    </row>
    <row r="302">
      <c r="A302" s="4" t="inlineStr">
        <is>
          <t>MX_HTP-02</t>
        </is>
      </c>
      <c r="B302" s="4" t="inlineStr">
        <is>
          <t>MX_HTP-02|CR81</t>
        </is>
      </c>
      <c r="C302" s="4" t="n">
        <v>6</v>
      </c>
      <c r="D302" s="4" t="n">
        <v>1</v>
      </c>
      <c r="E302" s="4" t="inlineStr">
        <is>
          <t>trắng</t>
        </is>
      </c>
      <c r="F302" s="4" t="inlineStr"/>
      <c r="G302" s="4" t="inlineStr"/>
    </row>
    <row r="303">
      <c r="A303" s="4" t="inlineStr">
        <is>
          <t>MX_HTP-02</t>
        </is>
      </c>
      <c r="B303" s="4" t="inlineStr">
        <is>
          <t>MX_HTP-02|CR81</t>
        </is>
      </c>
      <c r="C303" s="4" t="n">
        <v>7</v>
      </c>
      <c r="D303" s="4" t="n">
        <v>2</v>
      </c>
      <c r="E303" s="4" t="inlineStr">
        <is>
          <t>xanh dương</t>
        </is>
      </c>
      <c r="F303" s="4" t="inlineStr"/>
      <c r="G303" s="4" t="inlineStr"/>
    </row>
    <row r="304">
      <c r="A304" s="4" t="inlineStr">
        <is>
          <t>MX_HTP-02</t>
        </is>
      </c>
      <c r="B304" s="4" t="inlineStr">
        <is>
          <t>MX_HTP-02|CR81</t>
        </is>
      </c>
      <c r="C304" s="4" t="n">
        <v>8</v>
      </c>
      <c r="D304" s="4" t="n">
        <v>2</v>
      </c>
      <c r="E304" s="4" t="inlineStr">
        <is>
          <t>cam</t>
        </is>
      </c>
      <c r="F304" s="4" t="inlineStr"/>
      <c r="G304" s="4" t="inlineStr"/>
    </row>
    <row r="305">
      <c r="A305" s="4" t="inlineStr">
        <is>
          <t>MX_LVL-05</t>
        </is>
      </c>
      <c r="B305" s="4" t="inlineStr">
        <is>
          <t>MX_LVL-05|AD86</t>
        </is>
      </c>
      <c r="C305" s="4" t="n">
        <v>1</v>
      </c>
      <c r="D305" s="4" t="n">
        <v>1</v>
      </c>
      <c r="E305" s="4" t="inlineStr">
        <is>
          <t>xanh dương</t>
        </is>
      </c>
      <c r="F305" s="4" t="inlineStr">
        <is>
          <t>C</t>
        </is>
      </c>
      <c r="G305" s="4" t="inlineStr"/>
    </row>
    <row r="306">
      <c r="A306" s="4" t="inlineStr">
        <is>
          <t>MX_LVL-05</t>
        </is>
      </c>
      <c r="B306" s="4" t="inlineStr">
        <is>
          <t>MX_LVL-05|AD86</t>
        </is>
      </c>
      <c r="C306" s="4" t="n">
        <v>2</v>
      </c>
      <c r="D306" s="4" t="n">
        <v>1</v>
      </c>
      <c r="E306" s="4" t="inlineStr">
        <is>
          <t>cam</t>
        </is>
      </c>
      <c r="F306" s="4" t="inlineStr">
        <is>
          <t>C</t>
        </is>
      </c>
      <c r="G306" s="4" t="inlineStr"/>
    </row>
    <row r="307">
      <c r="A307" s="4" t="inlineStr">
        <is>
          <t>MX_LVL-05</t>
        </is>
      </c>
      <c r="B307" s="4" t="inlineStr">
        <is>
          <t>MX_LVL-05|AD86</t>
        </is>
      </c>
      <c r="C307" s="4" t="n">
        <v>3</v>
      </c>
      <c r="D307" s="4" t="n">
        <v>1</v>
      </c>
      <c r="E307" s="4" t="inlineStr">
        <is>
          <t>xanh lá</t>
        </is>
      </c>
      <c r="F307" s="4" t="inlineStr">
        <is>
          <t>C</t>
        </is>
      </c>
      <c r="G307" s="4" t="inlineStr">
        <is>
          <t>HNB066</t>
        </is>
      </c>
    </row>
    <row r="308">
      <c r="A308" s="4" t="inlineStr">
        <is>
          <t>MX_LVL-05</t>
        </is>
      </c>
      <c r="B308" s="4" t="inlineStr">
        <is>
          <t>MX_LVL-05|AD86</t>
        </is>
      </c>
      <c r="C308" s="4" t="n">
        <v>4</v>
      </c>
      <c r="D308" s="4" t="n">
        <v>1</v>
      </c>
      <c r="E308" s="4" t="inlineStr">
        <is>
          <t>nâu</t>
        </is>
      </c>
      <c r="F308" s="4" t="inlineStr">
        <is>
          <t>C</t>
        </is>
      </c>
      <c r="G308" s="4" t="inlineStr">
        <is>
          <t>HNB066</t>
        </is>
      </c>
    </row>
    <row r="309">
      <c r="A309" s="4" t="inlineStr">
        <is>
          <t>MX_LVL-05</t>
        </is>
      </c>
      <c r="B309" s="4" t="inlineStr">
        <is>
          <t>MX_LVL-05|AD86</t>
        </is>
      </c>
      <c r="C309" s="4" t="n">
        <v>5</v>
      </c>
      <c r="D309" s="4" t="n">
        <v>1</v>
      </c>
      <c r="E309" s="4" t="inlineStr">
        <is>
          <t>xám</t>
        </is>
      </c>
      <c r="F309" s="4" t="inlineStr">
        <is>
          <t>C</t>
        </is>
      </c>
      <c r="G309" s="4" t="inlineStr">
        <is>
          <t>HNB005</t>
        </is>
      </c>
    </row>
    <row r="310">
      <c r="A310" s="4" t="inlineStr">
        <is>
          <t>MX_LVL-05</t>
        </is>
      </c>
      <c r="B310" s="4" t="inlineStr">
        <is>
          <t>MX_LVL-05|AD86</t>
        </is>
      </c>
      <c r="C310" s="4" t="n">
        <v>6</v>
      </c>
      <c r="D310" s="4" t="n">
        <v>1</v>
      </c>
      <c r="E310" s="4" t="inlineStr">
        <is>
          <t>trắng</t>
        </is>
      </c>
      <c r="F310" s="4" t="inlineStr">
        <is>
          <t>C</t>
        </is>
      </c>
      <c r="G310" s="4" t="inlineStr">
        <is>
          <t>HNB005</t>
        </is>
      </c>
    </row>
    <row r="311">
      <c r="A311" s="4" t="inlineStr">
        <is>
          <t>MX_LVL-05</t>
        </is>
      </c>
      <c r="B311" s="4" t="inlineStr">
        <is>
          <t>MX_LVL-05|AD86</t>
        </is>
      </c>
      <c r="C311" s="4" t="n">
        <v>7</v>
      </c>
      <c r="D311" s="4" t="n">
        <v>2</v>
      </c>
      <c r="E311" s="4" t="inlineStr">
        <is>
          <t>xanh dương</t>
        </is>
      </c>
      <c r="F311" s="4" t="inlineStr">
        <is>
          <t>B</t>
        </is>
      </c>
      <c r="G311" s="4" t="inlineStr">
        <is>
          <t>LACG43</t>
        </is>
      </c>
    </row>
    <row r="312">
      <c r="A312" s="4" t="inlineStr">
        <is>
          <t>MX_LVL-05</t>
        </is>
      </c>
      <c r="B312" s="4" t="inlineStr">
        <is>
          <t>MX_LVL-05|AD86</t>
        </is>
      </c>
      <c r="C312" s="4" t="n">
        <v>8</v>
      </c>
      <c r="D312" s="4" t="n">
        <v>2</v>
      </c>
      <c r="E312" s="4" t="inlineStr">
        <is>
          <t>cam</t>
        </is>
      </c>
      <c r="F312" s="4" t="inlineStr">
        <is>
          <t>B</t>
        </is>
      </c>
      <c r="G312" s="4" t="inlineStr">
        <is>
          <t>LACG43</t>
        </is>
      </c>
    </row>
    <row r="313">
      <c r="A313" s="4" t="inlineStr">
        <is>
          <t>MX_LVL-05</t>
        </is>
      </c>
      <c r="B313" s="4" t="inlineStr">
        <is>
          <t>MX_LVL-05|AD86</t>
        </is>
      </c>
      <c r="C313" s="4" t="n">
        <v>9</v>
      </c>
      <c r="D313" s="4" t="n">
        <v>2</v>
      </c>
      <c r="E313" s="4" t="inlineStr">
        <is>
          <t>xanh lá</t>
        </is>
      </c>
      <c r="F313" s="4" t="inlineStr">
        <is>
          <t>B</t>
        </is>
      </c>
      <c r="G313" s="4" t="inlineStr"/>
    </row>
    <row r="314">
      <c r="A314" s="4" t="inlineStr">
        <is>
          <t>MX_LVL-05</t>
        </is>
      </c>
      <c r="B314" s="4" t="inlineStr">
        <is>
          <t>MX_LVL-05|AD86</t>
        </is>
      </c>
      <c r="C314" s="4" t="n">
        <v>10</v>
      </c>
      <c r="D314" s="4" t="n">
        <v>2</v>
      </c>
      <c r="E314" s="4" t="inlineStr">
        <is>
          <t>nâu</t>
        </is>
      </c>
      <c r="F314" s="4" t="inlineStr">
        <is>
          <t>B</t>
        </is>
      </c>
      <c r="G314" s="4" t="inlineStr"/>
    </row>
    <row r="315">
      <c r="A315" s="4" t="inlineStr">
        <is>
          <t>MX_LVL-05</t>
        </is>
      </c>
      <c r="B315" s="4" t="inlineStr">
        <is>
          <t>MX_LVL-05|AD86</t>
        </is>
      </c>
      <c r="C315" s="4" t="n">
        <v>11</v>
      </c>
      <c r="D315" s="4" t="n">
        <v>2</v>
      </c>
      <c r="E315" s="4" t="inlineStr">
        <is>
          <t>xám</t>
        </is>
      </c>
      <c r="F315" s="4" t="inlineStr"/>
      <c r="G315" s="4" t="inlineStr"/>
    </row>
    <row r="316">
      <c r="A316" s="4" t="inlineStr">
        <is>
          <t>MX_LVL-05</t>
        </is>
      </c>
      <c r="B316" s="4" t="inlineStr">
        <is>
          <t>MX_LVL-05|AD86</t>
        </is>
      </c>
      <c r="C316" s="4" t="n">
        <v>12</v>
      </c>
      <c r="D316" s="4" t="n">
        <v>2</v>
      </c>
      <c r="E316" s="4" t="inlineStr">
        <is>
          <t>trắng</t>
        </is>
      </c>
      <c r="F316" s="4" t="inlineStr"/>
      <c r="G316" s="4" t="inlineStr"/>
    </row>
    <row r="317">
      <c r="A317" s="4" t="inlineStr">
        <is>
          <t>MX_LVL-05</t>
        </is>
      </c>
      <c r="B317" s="4" t="inlineStr">
        <is>
          <t>MX_LVL-05|AP86</t>
        </is>
      </c>
      <c r="C317" s="4" t="n">
        <v>1</v>
      </c>
      <c r="D317" s="4" t="n">
        <v>1</v>
      </c>
      <c r="E317" s="4" t="inlineStr">
        <is>
          <t>xanh dương</t>
        </is>
      </c>
      <c r="F317" s="4" t="inlineStr">
        <is>
          <t>D</t>
        </is>
      </c>
      <c r="G317" s="4" t="inlineStr">
        <is>
          <t>HNB091</t>
        </is>
      </c>
    </row>
    <row r="318">
      <c r="A318" s="4" t="inlineStr">
        <is>
          <t>MX_LVL-05</t>
        </is>
      </c>
      <c r="B318" s="4" t="inlineStr">
        <is>
          <t>MX_LVL-05|AP86</t>
        </is>
      </c>
      <c r="C318" s="4" t="n">
        <v>2</v>
      </c>
      <c r="D318" s="4" t="n">
        <v>1</v>
      </c>
      <c r="E318" s="4" t="inlineStr">
        <is>
          <t>cam</t>
        </is>
      </c>
      <c r="F318" s="4" t="inlineStr">
        <is>
          <t>D</t>
        </is>
      </c>
      <c r="G318" s="4" t="inlineStr">
        <is>
          <t>HNB091</t>
        </is>
      </c>
    </row>
    <row r="319">
      <c r="A319" s="4" t="inlineStr">
        <is>
          <t>MX_LVL-05</t>
        </is>
      </c>
      <c r="B319" s="4" t="inlineStr">
        <is>
          <t>MX_LVL-05|AP86</t>
        </is>
      </c>
      <c r="C319" s="4" t="n">
        <v>3</v>
      </c>
      <c r="D319" s="4" t="n">
        <v>1</v>
      </c>
      <c r="E319" s="4" t="inlineStr">
        <is>
          <t>xanh lá</t>
        </is>
      </c>
      <c r="F319" s="4" t="inlineStr">
        <is>
          <t>D</t>
        </is>
      </c>
      <c r="G319" s="4" t="inlineStr">
        <is>
          <t>HNB048</t>
        </is>
      </c>
    </row>
    <row r="320">
      <c r="A320" s="4" t="inlineStr">
        <is>
          <t>MX_LVL-05</t>
        </is>
      </c>
      <c r="B320" s="4" t="inlineStr">
        <is>
          <t>MX_LVL-05|AP86</t>
        </is>
      </c>
      <c r="C320" s="4" t="n">
        <v>4</v>
      </c>
      <c r="D320" s="4" t="n">
        <v>1</v>
      </c>
      <c r="E320" s="4" t="inlineStr">
        <is>
          <t>nâu</t>
        </is>
      </c>
      <c r="F320" s="4" t="inlineStr">
        <is>
          <t>D</t>
        </is>
      </c>
      <c r="G320" s="4" t="inlineStr">
        <is>
          <t>HNB048</t>
        </is>
      </c>
    </row>
    <row r="321">
      <c r="A321" s="4" t="inlineStr">
        <is>
          <t>MX_LVL-05</t>
        </is>
      </c>
      <c r="B321" s="4" t="inlineStr">
        <is>
          <t>MX_LVL-05|AP86</t>
        </is>
      </c>
      <c r="C321" s="4" t="n">
        <v>5</v>
      </c>
      <c r="D321" s="4" t="n">
        <v>1</v>
      </c>
      <c r="E321" s="4" t="inlineStr">
        <is>
          <t>xám</t>
        </is>
      </c>
      <c r="F321" s="4" t="inlineStr">
        <is>
          <t>D</t>
        </is>
      </c>
      <c r="G321" s="4" t="inlineStr"/>
    </row>
    <row r="322">
      <c r="A322" s="4" t="inlineStr">
        <is>
          <t>MX_LVL-05</t>
        </is>
      </c>
      <c r="B322" s="4" t="inlineStr">
        <is>
          <t>MX_LVL-05|AP86</t>
        </is>
      </c>
      <c r="C322" s="4" t="n">
        <v>6</v>
      </c>
      <c r="D322" s="4" t="n">
        <v>1</v>
      </c>
      <c r="E322" s="4" t="inlineStr">
        <is>
          <t>trắng</t>
        </is>
      </c>
      <c r="F322" s="4" t="inlineStr">
        <is>
          <t>D</t>
        </is>
      </c>
      <c r="G322" s="4" t="inlineStr"/>
    </row>
    <row r="323">
      <c r="A323" s="4" t="inlineStr">
        <is>
          <t>MX_LVL-05</t>
        </is>
      </c>
      <c r="B323" s="4" t="inlineStr">
        <is>
          <t>MX_LVL-05|AP86</t>
        </is>
      </c>
      <c r="C323" s="4" t="n">
        <v>7</v>
      </c>
      <c r="D323" s="4" t="n">
        <v>2</v>
      </c>
      <c r="E323" s="4" t="inlineStr">
        <is>
          <t>xanh dương</t>
        </is>
      </c>
      <c r="F323" s="4" t="inlineStr">
        <is>
          <t>C</t>
        </is>
      </c>
      <c r="G323" s="4" t="inlineStr"/>
    </row>
    <row r="324">
      <c r="A324" s="4" t="inlineStr">
        <is>
          <t>MX_LVL-05</t>
        </is>
      </c>
      <c r="B324" s="4" t="inlineStr">
        <is>
          <t>MX_LVL-05|AP86</t>
        </is>
      </c>
      <c r="C324" s="4" t="n">
        <v>8</v>
      </c>
      <c r="D324" s="4" t="n">
        <v>2</v>
      </c>
      <c r="E324" s="4" t="inlineStr">
        <is>
          <t>cam</t>
        </is>
      </c>
      <c r="F324" s="4" t="inlineStr">
        <is>
          <t>C</t>
        </is>
      </c>
      <c r="G324" s="4" t="inlineStr"/>
    </row>
    <row r="325">
      <c r="A325" s="4" t="inlineStr">
        <is>
          <t>MX_LVL-05</t>
        </is>
      </c>
      <c r="B325" s="4" t="inlineStr">
        <is>
          <t>MX_LVL-05|AP86</t>
        </is>
      </c>
      <c r="C325" s="4" t="n">
        <v>9</v>
      </c>
      <c r="D325" s="4" t="n">
        <v>2</v>
      </c>
      <c r="E325" s="4" t="inlineStr">
        <is>
          <t>xanh lá</t>
        </is>
      </c>
      <c r="F325" s="4" t="inlineStr">
        <is>
          <t>C</t>
        </is>
      </c>
      <c r="G325" s="4" t="inlineStr">
        <is>
          <t>HNB066</t>
        </is>
      </c>
    </row>
    <row r="326">
      <c r="A326" s="4" t="inlineStr">
        <is>
          <t>MX_LVL-05</t>
        </is>
      </c>
      <c r="B326" s="4" t="inlineStr">
        <is>
          <t>MX_LVL-05|AP86</t>
        </is>
      </c>
      <c r="C326" s="4" t="n">
        <v>10</v>
      </c>
      <c r="D326" s="4" t="n">
        <v>2</v>
      </c>
      <c r="E326" s="4" t="inlineStr">
        <is>
          <t>nâu</t>
        </is>
      </c>
      <c r="F326" s="4" t="inlineStr">
        <is>
          <t>C</t>
        </is>
      </c>
      <c r="G326" s="4" t="inlineStr">
        <is>
          <t>HNB066</t>
        </is>
      </c>
    </row>
    <row r="327">
      <c r="A327" s="4" t="inlineStr">
        <is>
          <t>MX_LVL-05</t>
        </is>
      </c>
      <c r="B327" s="4" t="inlineStr">
        <is>
          <t>MX_LVL-05|AP86</t>
        </is>
      </c>
      <c r="C327" s="4" t="n">
        <v>11</v>
      </c>
      <c r="D327" s="4" t="n">
        <v>2</v>
      </c>
      <c r="E327" s="4" t="inlineStr">
        <is>
          <t>xám</t>
        </is>
      </c>
      <c r="F327" s="4" t="inlineStr">
        <is>
          <t>C</t>
        </is>
      </c>
      <c r="G327" s="4" t="inlineStr">
        <is>
          <t>HNB005</t>
        </is>
      </c>
    </row>
    <row r="328">
      <c r="A328" s="4" t="inlineStr">
        <is>
          <t>MX_LVL-05</t>
        </is>
      </c>
      <c r="B328" s="4" t="inlineStr">
        <is>
          <t>MX_LVL-05|AP86</t>
        </is>
      </c>
      <c r="C328" s="4" t="n">
        <v>12</v>
      </c>
      <c r="D328" s="4" t="n">
        <v>2</v>
      </c>
      <c r="E328" s="4" t="inlineStr">
        <is>
          <t>trắng</t>
        </is>
      </c>
      <c r="F328" s="4" t="inlineStr">
        <is>
          <t>C</t>
        </is>
      </c>
      <c r="G328" s="4" t="inlineStr">
        <is>
          <t>HNB005</t>
        </is>
      </c>
    </row>
    <row r="329">
      <c r="A329" s="4" t="inlineStr">
        <is>
          <t>MX_LVL-05</t>
        </is>
      </c>
      <c r="B329" s="4" t="inlineStr">
        <is>
          <t>MX_LVL-05|AA89</t>
        </is>
      </c>
      <c r="C329" s="4" t="n">
        <v>1</v>
      </c>
      <c r="D329" s="4" t="n">
        <v>1</v>
      </c>
      <c r="E329" s="4" t="inlineStr">
        <is>
          <t>xanh dương</t>
        </is>
      </c>
      <c r="F329" s="4" t="inlineStr">
        <is>
          <t>A</t>
        </is>
      </c>
      <c r="G329" s="4" t="inlineStr">
        <is>
          <t>HNB012</t>
        </is>
      </c>
    </row>
    <row r="330">
      <c r="A330" s="4" t="inlineStr">
        <is>
          <t>MX_LVL-05</t>
        </is>
      </c>
      <c r="B330" s="4" t="inlineStr">
        <is>
          <t>MX_LVL-05|AA89</t>
        </is>
      </c>
      <c r="C330" s="4" t="n">
        <v>2</v>
      </c>
      <c r="D330" s="4" t="n">
        <v>1</v>
      </c>
      <c r="E330" s="4" t="inlineStr">
        <is>
          <t>cam</t>
        </is>
      </c>
      <c r="F330" s="4" t="inlineStr">
        <is>
          <t>A</t>
        </is>
      </c>
      <c r="G330" s="4" t="inlineStr">
        <is>
          <t>HNB012</t>
        </is>
      </c>
    </row>
    <row r="331">
      <c r="A331" s="4" t="inlineStr">
        <is>
          <t>MX_LVL-05</t>
        </is>
      </c>
      <c r="B331" s="4" t="inlineStr">
        <is>
          <t>MX_LVL-05|AA89</t>
        </is>
      </c>
      <c r="C331" s="4" t="n">
        <v>3</v>
      </c>
      <c r="D331" s="4" t="n">
        <v>1</v>
      </c>
      <c r="E331" s="4" t="inlineStr">
        <is>
          <t>xanh lá</t>
        </is>
      </c>
      <c r="F331" s="4" t="inlineStr">
        <is>
          <t>A</t>
        </is>
      </c>
      <c r="G331" s="4" t="inlineStr">
        <is>
          <t>HNB011</t>
        </is>
      </c>
    </row>
    <row r="332">
      <c r="A332" s="4" t="inlineStr">
        <is>
          <t>MX_LVL-05</t>
        </is>
      </c>
      <c r="B332" s="4" t="inlineStr">
        <is>
          <t>MX_LVL-05|AA89</t>
        </is>
      </c>
      <c r="C332" s="4" t="n">
        <v>4</v>
      </c>
      <c r="D332" s="4" t="n">
        <v>1</v>
      </c>
      <c r="E332" s="4" t="inlineStr">
        <is>
          <t>nâu</t>
        </is>
      </c>
      <c r="F332" s="4" t="inlineStr">
        <is>
          <t>A</t>
        </is>
      </c>
      <c r="G332" s="4" t="inlineStr">
        <is>
          <t>HNB011</t>
        </is>
      </c>
    </row>
    <row r="333">
      <c r="A333" s="4" t="inlineStr">
        <is>
          <t>MX_LVL-05</t>
        </is>
      </c>
      <c r="B333" s="4" t="inlineStr">
        <is>
          <t>MX_LVL-05|AA89</t>
        </is>
      </c>
      <c r="C333" s="4" t="n">
        <v>5</v>
      </c>
      <c r="D333" s="4" t="n">
        <v>1</v>
      </c>
      <c r="E333" s="4" t="inlineStr">
        <is>
          <t>xám</t>
        </is>
      </c>
      <c r="F333" s="4" t="inlineStr">
        <is>
          <t>A</t>
        </is>
      </c>
      <c r="G333" s="4" t="inlineStr">
        <is>
          <t>HNB055</t>
        </is>
      </c>
    </row>
    <row r="334">
      <c r="A334" s="4" t="inlineStr">
        <is>
          <t>MX_LVL-05</t>
        </is>
      </c>
      <c r="B334" s="4" t="inlineStr">
        <is>
          <t>MX_LVL-05|AA89</t>
        </is>
      </c>
      <c r="C334" s="4" t="n">
        <v>6</v>
      </c>
      <c r="D334" s="4" t="n">
        <v>1</v>
      </c>
      <c r="E334" s="4" t="inlineStr">
        <is>
          <t>trắng</t>
        </is>
      </c>
      <c r="F334" s="4" t="inlineStr">
        <is>
          <t>A</t>
        </is>
      </c>
      <c r="G334" s="4" t="inlineStr">
        <is>
          <t>HNB055</t>
        </is>
      </c>
    </row>
    <row r="335">
      <c r="A335" s="4" t="inlineStr">
        <is>
          <t>MX_LVL-05</t>
        </is>
      </c>
      <c r="B335" s="4" t="inlineStr">
        <is>
          <t>MX_LVL-05|AA89</t>
        </is>
      </c>
      <c r="C335" s="4" t="n">
        <v>7</v>
      </c>
      <c r="D335" s="4" t="n">
        <v>2</v>
      </c>
      <c r="E335" s="4" t="inlineStr">
        <is>
          <t>xanh dương</t>
        </is>
      </c>
      <c r="F335" s="4" t="inlineStr">
        <is>
          <t>E</t>
        </is>
      </c>
      <c r="G335" s="4" t="inlineStr"/>
    </row>
    <row r="336">
      <c r="A336" s="4" t="inlineStr">
        <is>
          <t>MX_LVL-05</t>
        </is>
      </c>
      <c r="B336" s="4" t="inlineStr">
        <is>
          <t>MX_LVL-05|AA89</t>
        </is>
      </c>
      <c r="C336" s="4" t="n">
        <v>8</v>
      </c>
      <c r="D336" s="4" t="n">
        <v>2</v>
      </c>
      <c r="E336" s="4" t="inlineStr">
        <is>
          <t>cam</t>
        </is>
      </c>
      <c r="F336" s="4" t="inlineStr">
        <is>
          <t>E</t>
        </is>
      </c>
      <c r="G336" s="4" t="inlineStr"/>
    </row>
    <row r="337">
      <c r="A337" s="4" t="inlineStr">
        <is>
          <t>MX_LVL-05</t>
        </is>
      </c>
      <c r="B337" s="4" t="inlineStr">
        <is>
          <t>MX_LVL-05|AA89</t>
        </is>
      </c>
      <c r="C337" s="4" t="n">
        <v>9</v>
      </c>
      <c r="D337" s="4" t="n">
        <v>2</v>
      </c>
      <c r="E337" s="4" t="inlineStr">
        <is>
          <t>xanh lá</t>
        </is>
      </c>
      <c r="F337" s="4" t="inlineStr">
        <is>
          <t>E</t>
        </is>
      </c>
      <c r="G337" s="4" t="inlineStr"/>
    </row>
    <row r="338">
      <c r="A338" s="4" t="inlineStr">
        <is>
          <t>MX_LVL-05</t>
        </is>
      </c>
      <c r="B338" s="4" t="inlineStr">
        <is>
          <t>MX_LVL-05|AA89</t>
        </is>
      </c>
      <c r="C338" s="4" t="n">
        <v>10</v>
      </c>
      <c r="D338" s="4" t="n">
        <v>2</v>
      </c>
      <c r="E338" s="4" t="inlineStr">
        <is>
          <t>nâu</t>
        </is>
      </c>
      <c r="F338" s="4" t="inlineStr">
        <is>
          <t>E</t>
        </is>
      </c>
      <c r="G338" s="4" t="inlineStr"/>
    </row>
    <row r="339">
      <c r="A339" s="4" t="inlineStr">
        <is>
          <t>MX_LVL-05</t>
        </is>
      </c>
      <c r="B339" s="4" t="inlineStr">
        <is>
          <t>MX_LVL-05|AA89</t>
        </is>
      </c>
      <c r="C339" s="4" t="n">
        <v>11</v>
      </c>
      <c r="D339" s="4" t="n">
        <v>2</v>
      </c>
      <c r="E339" s="4" t="inlineStr">
        <is>
          <t>xám</t>
        </is>
      </c>
      <c r="F339" s="4" t="inlineStr">
        <is>
          <t>E</t>
        </is>
      </c>
      <c r="G339" s="4" t="inlineStr"/>
    </row>
    <row r="340">
      <c r="A340" s="4" t="inlineStr">
        <is>
          <t>MX_LVL-05</t>
        </is>
      </c>
      <c r="B340" s="4" t="inlineStr">
        <is>
          <t>MX_LVL-05|AA89</t>
        </is>
      </c>
      <c r="C340" s="4" t="n">
        <v>12</v>
      </c>
      <c r="D340" s="4" t="n">
        <v>2</v>
      </c>
      <c r="E340" s="4" t="inlineStr">
        <is>
          <t>trắng</t>
        </is>
      </c>
      <c r="F340" s="4" t="inlineStr">
        <is>
          <t>E</t>
        </is>
      </c>
      <c r="G340" s="4" t="inlineStr"/>
    </row>
    <row r="341">
      <c r="A341" s="4" t="inlineStr">
        <is>
          <t>MX_LVL-05</t>
        </is>
      </c>
      <c r="B341" s="4" t="inlineStr">
        <is>
          <t>MX_LVL-05|AD103</t>
        </is>
      </c>
      <c r="C341" s="4" t="n">
        <v>1</v>
      </c>
      <c r="D341" s="4" t="n">
        <v>1</v>
      </c>
      <c r="E341" s="4" t="inlineStr">
        <is>
          <t>xanh dương</t>
        </is>
      </c>
      <c r="F341" s="4" t="inlineStr">
        <is>
          <t>A</t>
        </is>
      </c>
      <c r="G341" s="4" t="inlineStr">
        <is>
          <t>HNB012</t>
        </is>
      </c>
    </row>
    <row r="342">
      <c r="A342" s="4" t="inlineStr">
        <is>
          <t>MX_LVL-05</t>
        </is>
      </c>
      <c r="B342" s="4" t="inlineStr">
        <is>
          <t>MX_LVL-05|AD103</t>
        </is>
      </c>
      <c r="C342" s="4" t="n">
        <v>2</v>
      </c>
      <c r="D342" s="4" t="n">
        <v>1</v>
      </c>
      <c r="E342" s="4" t="inlineStr">
        <is>
          <t>cam</t>
        </is>
      </c>
      <c r="F342" s="4" t="inlineStr">
        <is>
          <t>A</t>
        </is>
      </c>
      <c r="G342" s="4" t="inlineStr">
        <is>
          <t>HNB012</t>
        </is>
      </c>
    </row>
    <row r="343">
      <c r="A343" s="4" t="inlineStr">
        <is>
          <t>MX_LVL-05</t>
        </is>
      </c>
      <c r="B343" s="4" t="inlineStr">
        <is>
          <t>MX_LVL-05|AD103</t>
        </is>
      </c>
      <c r="C343" s="4" t="n">
        <v>3</v>
      </c>
      <c r="D343" s="4" t="n">
        <v>1</v>
      </c>
      <c r="E343" s="4" t="inlineStr">
        <is>
          <t>xanh lá</t>
        </is>
      </c>
      <c r="F343" s="4" t="inlineStr">
        <is>
          <t>A</t>
        </is>
      </c>
      <c r="G343" s="4" t="inlineStr">
        <is>
          <t>HNB011</t>
        </is>
      </c>
    </row>
    <row r="344">
      <c r="A344" s="4" t="inlineStr">
        <is>
          <t>MX_LVL-05</t>
        </is>
      </c>
      <c r="B344" s="4" t="inlineStr">
        <is>
          <t>MX_LVL-05|AD103</t>
        </is>
      </c>
      <c r="C344" s="4" t="n">
        <v>4</v>
      </c>
      <c r="D344" s="4" t="n">
        <v>1</v>
      </c>
      <c r="E344" s="4" t="inlineStr">
        <is>
          <t>nâu</t>
        </is>
      </c>
      <c r="F344" s="4" t="inlineStr">
        <is>
          <t>A</t>
        </is>
      </c>
      <c r="G344" s="4" t="inlineStr">
        <is>
          <t>HNB011</t>
        </is>
      </c>
    </row>
    <row r="345">
      <c r="A345" s="4" t="inlineStr">
        <is>
          <t>MX_LVL-05</t>
        </is>
      </c>
      <c r="B345" s="4" t="inlineStr">
        <is>
          <t>MX_LVL-05|AD103</t>
        </is>
      </c>
      <c r="C345" s="4" t="n">
        <v>5</v>
      </c>
      <c r="D345" s="4" t="n">
        <v>1</v>
      </c>
      <c r="E345" s="4" t="inlineStr">
        <is>
          <t>xám</t>
        </is>
      </c>
      <c r="F345" s="4" t="inlineStr">
        <is>
          <t>A</t>
        </is>
      </c>
      <c r="G345" s="4" t="inlineStr">
        <is>
          <t>HNB055</t>
        </is>
      </c>
    </row>
    <row r="346">
      <c r="A346" s="4" t="inlineStr">
        <is>
          <t>MX_LVL-05</t>
        </is>
      </c>
      <c r="B346" s="4" t="inlineStr">
        <is>
          <t>MX_LVL-05|AD103</t>
        </is>
      </c>
      <c r="C346" s="4" t="n">
        <v>6</v>
      </c>
      <c r="D346" s="4" t="n">
        <v>1</v>
      </c>
      <c r="E346" s="4" t="inlineStr">
        <is>
          <t>trắng</t>
        </is>
      </c>
      <c r="F346" s="4" t="inlineStr">
        <is>
          <t>A</t>
        </is>
      </c>
      <c r="G346" s="4" t="inlineStr">
        <is>
          <t>HNB055</t>
        </is>
      </c>
    </row>
    <row r="347">
      <c r="A347" s="4" t="inlineStr">
        <is>
          <t>MX_LVL-05</t>
        </is>
      </c>
      <c r="B347" s="4" t="inlineStr">
        <is>
          <t>MX_LVL-05|AD103</t>
        </is>
      </c>
      <c r="C347" s="4" t="n">
        <v>7</v>
      </c>
      <c r="D347" s="4" t="n">
        <v>2</v>
      </c>
      <c r="E347" s="4" t="inlineStr">
        <is>
          <t>xanh dương</t>
        </is>
      </c>
      <c r="F347" s="4" t="inlineStr">
        <is>
          <t>B</t>
        </is>
      </c>
      <c r="G347" s="4" t="inlineStr">
        <is>
          <t>LACG43</t>
        </is>
      </c>
    </row>
    <row r="348">
      <c r="A348" s="4" t="inlineStr">
        <is>
          <t>MX_LVL-05</t>
        </is>
      </c>
      <c r="B348" s="4" t="inlineStr">
        <is>
          <t>MX_LVL-05|AD103</t>
        </is>
      </c>
      <c r="C348" s="4" t="n">
        <v>8</v>
      </c>
      <c r="D348" s="4" t="n">
        <v>2</v>
      </c>
      <c r="E348" s="4" t="inlineStr">
        <is>
          <t>cam</t>
        </is>
      </c>
      <c r="F348" s="4" t="inlineStr">
        <is>
          <t>B</t>
        </is>
      </c>
      <c r="G348" s="4" t="inlineStr">
        <is>
          <t>LACG43</t>
        </is>
      </c>
    </row>
    <row r="349">
      <c r="A349" s="4" t="inlineStr">
        <is>
          <t>MX_LVL-05</t>
        </is>
      </c>
      <c r="B349" s="4" t="inlineStr">
        <is>
          <t>MX_LVL-05|AD103</t>
        </is>
      </c>
      <c r="C349" s="4" t="n">
        <v>9</v>
      </c>
      <c r="D349" s="4" t="n">
        <v>2</v>
      </c>
      <c r="E349" s="4" t="inlineStr">
        <is>
          <t>xanh lá</t>
        </is>
      </c>
      <c r="F349" s="4" t="inlineStr">
        <is>
          <t>B</t>
        </is>
      </c>
      <c r="G349" s="4" t="inlineStr"/>
    </row>
    <row r="350">
      <c r="A350" s="4" t="inlineStr">
        <is>
          <t>MX_LVL-05</t>
        </is>
      </c>
      <c r="B350" s="4" t="inlineStr">
        <is>
          <t>MX_LVL-05|AD103</t>
        </is>
      </c>
      <c r="C350" s="4" t="n">
        <v>10</v>
      </c>
      <c r="D350" s="4" t="n">
        <v>2</v>
      </c>
      <c r="E350" s="4" t="inlineStr">
        <is>
          <t>nâu</t>
        </is>
      </c>
      <c r="F350" s="4" t="inlineStr">
        <is>
          <t>B</t>
        </is>
      </c>
      <c r="G350" s="4" t="inlineStr"/>
    </row>
    <row r="351">
      <c r="A351" s="4" t="inlineStr">
        <is>
          <t>MX_LVL-05</t>
        </is>
      </c>
      <c r="B351" s="4" t="inlineStr">
        <is>
          <t>MX_LVL-05|AD103</t>
        </is>
      </c>
      <c r="C351" s="4" t="n">
        <v>11</v>
      </c>
      <c r="D351" s="4" t="n">
        <v>2</v>
      </c>
      <c r="E351" s="4" t="inlineStr">
        <is>
          <t>xám</t>
        </is>
      </c>
      <c r="F351" s="4" t="inlineStr"/>
      <c r="G351" s="4" t="inlineStr"/>
    </row>
    <row r="352">
      <c r="A352" s="4" t="inlineStr">
        <is>
          <t>MX_LVL-05</t>
        </is>
      </c>
      <c r="B352" s="4" t="inlineStr">
        <is>
          <t>MX_LVL-05|AD103</t>
        </is>
      </c>
      <c r="C352" s="4" t="n">
        <v>12</v>
      </c>
      <c r="D352" s="4" t="n">
        <v>2</v>
      </c>
      <c r="E352" s="4" t="inlineStr">
        <is>
          <t>trắng</t>
        </is>
      </c>
      <c r="F352" s="4" t="inlineStr"/>
      <c r="G352" s="4" t="inlineStr"/>
    </row>
    <row r="353">
      <c r="A353" s="4" t="inlineStr">
        <is>
          <t>MX_LVL-05</t>
        </is>
      </c>
      <c r="B353" s="4" t="inlineStr">
        <is>
          <t>MX_LVL-05|AD103</t>
        </is>
      </c>
      <c r="C353" s="4" t="n">
        <v>13</v>
      </c>
      <c r="D353" s="4" t="n">
        <v>3</v>
      </c>
      <c r="E353" s="4" t="inlineStr">
        <is>
          <t>xanh dương</t>
        </is>
      </c>
      <c r="F353" s="4" t="inlineStr">
        <is>
          <t>E</t>
        </is>
      </c>
      <c r="G353" s="4" t="inlineStr"/>
    </row>
    <row r="354">
      <c r="A354" s="4" t="inlineStr">
        <is>
          <t>MX_LVL-05</t>
        </is>
      </c>
      <c r="B354" s="4" t="inlineStr">
        <is>
          <t>MX_LVL-05|AD103</t>
        </is>
      </c>
      <c r="C354" s="4" t="n">
        <v>14</v>
      </c>
      <c r="D354" s="4" t="n">
        <v>3</v>
      </c>
      <c r="E354" s="4" t="inlineStr">
        <is>
          <t>cam</t>
        </is>
      </c>
      <c r="F354" s="4" t="inlineStr">
        <is>
          <t>E</t>
        </is>
      </c>
      <c r="G354" s="4" t="inlineStr"/>
    </row>
    <row r="355">
      <c r="A355" s="4" t="inlineStr">
        <is>
          <t>MX_LVL-05</t>
        </is>
      </c>
      <c r="B355" s="4" t="inlineStr">
        <is>
          <t>MX_LVL-05|AD103</t>
        </is>
      </c>
      <c r="C355" s="4" t="n">
        <v>15</v>
      </c>
      <c r="D355" s="4" t="n">
        <v>3</v>
      </c>
      <c r="E355" s="4" t="inlineStr">
        <is>
          <t>xanh lá</t>
        </is>
      </c>
      <c r="F355" s="4" t="inlineStr">
        <is>
          <t>E</t>
        </is>
      </c>
      <c r="G355" s="4" t="inlineStr"/>
    </row>
    <row r="356">
      <c r="A356" s="4" t="inlineStr">
        <is>
          <t>MX_LVL-05</t>
        </is>
      </c>
      <c r="B356" s="4" t="inlineStr">
        <is>
          <t>MX_LVL-05|AD103</t>
        </is>
      </c>
      <c r="C356" s="4" t="n">
        <v>16</v>
      </c>
      <c r="D356" s="4" t="n">
        <v>3</v>
      </c>
      <c r="E356" s="4" t="inlineStr">
        <is>
          <t>nâu</t>
        </is>
      </c>
      <c r="F356" s="4" t="inlineStr">
        <is>
          <t>E</t>
        </is>
      </c>
      <c r="G356" s="4" t="inlineStr"/>
    </row>
    <row r="357">
      <c r="A357" s="4" t="inlineStr">
        <is>
          <t>MX_LVL-05</t>
        </is>
      </c>
      <c r="B357" s="4" t="inlineStr">
        <is>
          <t>MX_LVL-05|AD103</t>
        </is>
      </c>
      <c r="C357" s="4" t="n">
        <v>17</v>
      </c>
      <c r="D357" s="4" t="n">
        <v>3</v>
      </c>
      <c r="E357" s="4" t="inlineStr">
        <is>
          <t>xám</t>
        </is>
      </c>
      <c r="F357" s="4" t="inlineStr">
        <is>
          <t>E</t>
        </is>
      </c>
      <c r="G357" s="4" t="inlineStr"/>
    </row>
    <row r="358">
      <c r="A358" s="4" t="inlineStr">
        <is>
          <t>MX_LVL-05</t>
        </is>
      </c>
      <c r="B358" s="4" t="inlineStr">
        <is>
          <t>MX_LVL-05|AD103</t>
        </is>
      </c>
      <c r="C358" s="4" t="n">
        <v>18</v>
      </c>
      <c r="D358" s="4" t="n">
        <v>3</v>
      </c>
      <c r="E358" s="4" t="inlineStr">
        <is>
          <t>trắng</t>
        </is>
      </c>
      <c r="F358" s="4" t="inlineStr">
        <is>
          <t>E</t>
        </is>
      </c>
      <c r="G358" s="4" t="inlineStr"/>
    </row>
    <row r="359">
      <c r="A359" s="4" t="inlineStr">
        <is>
          <t>MX_LVL-05</t>
        </is>
      </c>
      <c r="B359" s="4" t="inlineStr">
        <is>
          <t>MX_LVL-05|AD103</t>
        </is>
      </c>
      <c r="C359" s="4" t="n">
        <v>19</v>
      </c>
      <c r="D359" s="4" t="n">
        <v>4</v>
      </c>
      <c r="E359" s="4" t="inlineStr">
        <is>
          <t>xanh dương</t>
        </is>
      </c>
      <c r="F359" s="4" t="inlineStr">
        <is>
          <t>D</t>
        </is>
      </c>
      <c r="G359" s="4" t="inlineStr">
        <is>
          <t>HNB091</t>
        </is>
      </c>
    </row>
    <row r="360">
      <c r="A360" s="4" t="inlineStr">
        <is>
          <t>MX_LVL-05</t>
        </is>
      </c>
      <c r="B360" s="4" t="inlineStr">
        <is>
          <t>MX_LVL-05|AD103</t>
        </is>
      </c>
      <c r="C360" s="4" t="n">
        <v>20</v>
      </c>
      <c r="D360" s="4" t="n">
        <v>4</v>
      </c>
      <c r="E360" s="4" t="inlineStr">
        <is>
          <t>cam</t>
        </is>
      </c>
      <c r="F360" s="4" t="inlineStr">
        <is>
          <t>D</t>
        </is>
      </c>
      <c r="G360" s="4" t="inlineStr">
        <is>
          <t>HNB091</t>
        </is>
      </c>
    </row>
    <row r="361">
      <c r="A361" s="4" t="inlineStr">
        <is>
          <t>MX_LVL-05</t>
        </is>
      </c>
      <c r="B361" s="4" t="inlineStr">
        <is>
          <t>MX_LVL-05|AD103</t>
        </is>
      </c>
      <c r="C361" s="4" t="n">
        <v>21</v>
      </c>
      <c r="D361" s="4" t="n">
        <v>4</v>
      </c>
      <c r="E361" s="4" t="inlineStr">
        <is>
          <t>xanh lá</t>
        </is>
      </c>
      <c r="F361" s="4" t="inlineStr">
        <is>
          <t>D</t>
        </is>
      </c>
      <c r="G361" s="4" t="inlineStr">
        <is>
          <t>HNB048</t>
        </is>
      </c>
    </row>
    <row r="362">
      <c r="A362" s="4" t="inlineStr">
        <is>
          <t>MX_LVL-05</t>
        </is>
      </c>
      <c r="B362" s="4" t="inlineStr">
        <is>
          <t>MX_LVL-05|AD103</t>
        </is>
      </c>
      <c r="C362" s="4" t="n">
        <v>22</v>
      </c>
      <c r="D362" s="4" t="n">
        <v>4</v>
      </c>
      <c r="E362" s="4" t="inlineStr">
        <is>
          <t>nâu</t>
        </is>
      </c>
      <c r="F362" s="4" t="inlineStr">
        <is>
          <t>D</t>
        </is>
      </c>
      <c r="G362" s="4" t="inlineStr">
        <is>
          <t>HNB048</t>
        </is>
      </c>
    </row>
    <row r="363">
      <c r="A363" s="4" t="inlineStr">
        <is>
          <t>MX_LVL-05</t>
        </is>
      </c>
      <c r="B363" s="4" t="inlineStr">
        <is>
          <t>MX_LVL-05|AD103</t>
        </is>
      </c>
      <c r="C363" s="4" t="n">
        <v>23</v>
      </c>
      <c r="D363" s="4" t="n">
        <v>4</v>
      </c>
      <c r="E363" s="4" t="inlineStr">
        <is>
          <t>xám</t>
        </is>
      </c>
      <c r="F363" s="4" t="inlineStr">
        <is>
          <t>D</t>
        </is>
      </c>
      <c r="G363" s="4" t="inlineStr"/>
    </row>
    <row r="364">
      <c r="A364" s="4" t="inlineStr">
        <is>
          <t>MX_LVL-05</t>
        </is>
      </c>
      <c r="B364" s="4" t="inlineStr">
        <is>
          <t>MX_LVL-05|AD103</t>
        </is>
      </c>
      <c r="C364" s="4" t="n">
        <v>24</v>
      </c>
      <c r="D364" s="4" t="n">
        <v>4</v>
      </c>
      <c r="E364" s="4" t="inlineStr">
        <is>
          <t>trắng</t>
        </is>
      </c>
      <c r="F364" s="4" t="inlineStr">
        <is>
          <t>D</t>
        </is>
      </c>
      <c r="G364" s="4" t="inlineStr"/>
    </row>
    <row r="365">
      <c r="A365" s="4" t="inlineStr">
        <is>
          <t>MX_HTP-03A</t>
        </is>
      </c>
      <c r="B365" s="4" t="inlineStr">
        <is>
          <t>MX_HTP-03A|CE88</t>
        </is>
      </c>
      <c r="C365" s="4" t="n">
        <v>1</v>
      </c>
      <c r="D365" s="4" t="n">
        <v>1</v>
      </c>
      <c r="E365" s="4" t="inlineStr">
        <is>
          <t>xanh dương</t>
        </is>
      </c>
      <c r="F365" s="4" t="inlineStr">
        <is>
          <t>A</t>
        </is>
      </c>
      <c r="G365" s="4" t="inlineStr">
        <is>
          <t>HNB075</t>
        </is>
      </c>
    </row>
    <row r="366">
      <c r="A366" s="4" t="inlineStr">
        <is>
          <t>MX_HTP-03A</t>
        </is>
      </c>
      <c r="B366" s="4" t="inlineStr">
        <is>
          <t>MX_HTP-03A|CE88</t>
        </is>
      </c>
      <c r="C366" s="4" t="n">
        <v>2</v>
      </c>
      <c r="D366" s="4" t="n">
        <v>1</v>
      </c>
      <c r="E366" s="4" t="inlineStr">
        <is>
          <t>cam</t>
        </is>
      </c>
      <c r="F366" s="4" t="inlineStr">
        <is>
          <t>A</t>
        </is>
      </c>
      <c r="G366" s="4" t="inlineStr">
        <is>
          <t>HNB075</t>
        </is>
      </c>
    </row>
    <row r="367">
      <c r="A367" s="4" t="inlineStr">
        <is>
          <t>MX_HTP-03A</t>
        </is>
      </c>
      <c r="B367" s="4" t="inlineStr">
        <is>
          <t>MX_HTP-03A|CE88</t>
        </is>
      </c>
      <c r="C367" s="4" t="n">
        <v>3</v>
      </c>
      <c r="D367" s="4" t="n">
        <v>1</v>
      </c>
      <c r="E367" s="4" t="inlineStr">
        <is>
          <t>xanh lá</t>
        </is>
      </c>
      <c r="F367" s="4" t="inlineStr">
        <is>
          <t>A</t>
        </is>
      </c>
      <c r="G367" s="4" t="inlineStr">
        <is>
          <t>HNB073</t>
        </is>
      </c>
    </row>
    <row r="368">
      <c r="A368" s="4" t="inlineStr">
        <is>
          <t>MX_HTP-03A</t>
        </is>
      </c>
      <c r="B368" s="4" t="inlineStr">
        <is>
          <t>MX_HTP-03A|CE88</t>
        </is>
      </c>
      <c r="C368" s="4" t="n">
        <v>4</v>
      </c>
      <c r="D368" s="4" t="n">
        <v>1</v>
      </c>
      <c r="E368" s="4" t="inlineStr">
        <is>
          <t>nâu</t>
        </is>
      </c>
      <c r="F368" s="4" t="inlineStr">
        <is>
          <t>A</t>
        </is>
      </c>
      <c r="G368" s="4" t="inlineStr">
        <is>
          <t>HNB073</t>
        </is>
      </c>
    </row>
    <row r="369">
      <c r="A369" s="4" t="inlineStr">
        <is>
          <t>MX_HTP-03A</t>
        </is>
      </c>
      <c r="B369" s="4" t="inlineStr">
        <is>
          <t>MX_HTP-03A|CE88</t>
        </is>
      </c>
      <c r="C369" s="4" t="n">
        <v>5</v>
      </c>
      <c r="D369" s="4" t="n">
        <v>1</v>
      </c>
      <c r="E369" s="4" t="inlineStr">
        <is>
          <t>xám</t>
        </is>
      </c>
      <c r="F369" s="4" t="inlineStr">
        <is>
          <t>A</t>
        </is>
      </c>
      <c r="G369" s="4" t="inlineStr">
        <is>
          <t>HNB094</t>
        </is>
      </c>
    </row>
    <row r="370">
      <c r="A370" s="4" t="inlineStr">
        <is>
          <t>MX_HTP-03A</t>
        </is>
      </c>
      <c r="B370" s="4" t="inlineStr">
        <is>
          <t>MX_HTP-03A|CE88</t>
        </is>
      </c>
      <c r="C370" s="4" t="n">
        <v>6</v>
      </c>
      <c r="D370" s="4" t="n">
        <v>1</v>
      </c>
      <c r="E370" s="4" t="inlineStr">
        <is>
          <t>trắng</t>
        </is>
      </c>
      <c r="F370" s="4" t="inlineStr">
        <is>
          <t>A</t>
        </is>
      </c>
      <c r="G370" s="4" t="inlineStr">
        <is>
          <t>HNB094</t>
        </is>
      </c>
    </row>
    <row r="371">
      <c r="A371" s="4" t="inlineStr">
        <is>
          <t>MX_HTP-03A</t>
        </is>
      </c>
      <c r="B371" s="4" t="inlineStr">
        <is>
          <t>MX_HTP-03A|CE88</t>
        </is>
      </c>
      <c r="C371" s="4" t="n">
        <v>7</v>
      </c>
      <c r="D371" s="4" t="n">
        <v>2</v>
      </c>
      <c r="E371" s="4" t="inlineStr">
        <is>
          <t>xanh dương</t>
        </is>
      </c>
      <c r="F371" s="4" t="inlineStr">
        <is>
          <t>A</t>
        </is>
      </c>
      <c r="G371" s="4" t="inlineStr"/>
    </row>
    <row r="372">
      <c r="A372" s="4" t="inlineStr">
        <is>
          <t>MX_HTP-03A</t>
        </is>
      </c>
      <c r="B372" s="4" t="inlineStr">
        <is>
          <t>MX_HTP-03A|CE88</t>
        </is>
      </c>
      <c r="C372" s="4" t="n">
        <v>8</v>
      </c>
      <c r="D372" s="4" t="n">
        <v>2</v>
      </c>
      <c r="E372" s="4" t="inlineStr">
        <is>
          <t>cam</t>
        </is>
      </c>
      <c r="F372" s="4" t="inlineStr">
        <is>
          <t>A</t>
        </is>
      </c>
      <c r="G372" s="4" t="inlineStr"/>
    </row>
    <row r="373">
      <c r="A373" s="4" t="inlineStr">
        <is>
          <t>MX_HTP-03A</t>
        </is>
      </c>
      <c r="B373" s="4" t="inlineStr">
        <is>
          <t>MX_HTP-03A|CE88</t>
        </is>
      </c>
      <c r="C373" s="4" t="n">
        <v>9</v>
      </c>
      <c r="D373" s="4" t="n">
        <v>2</v>
      </c>
      <c r="E373" s="4" t="inlineStr">
        <is>
          <t>xanh lá</t>
        </is>
      </c>
      <c r="F373" s="4" t="inlineStr">
        <is>
          <t>A</t>
        </is>
      </c>
      <c r="G373" s="4" t="inlineStr">
        <is>
          <t>HNB038</t>
        </is>
      </c>
    </row>
    <row r="374">
      <c r="A374" s="4" t="inlineStr">
        <is>
          <t>MX_HTP-03A</t>
        </is>
      </c>
      <c r="B374" s="4" t="inlineStr">
        <is>
          <t>MX_HTP-03A|CE88</t>
        </is>
      </c>
      <c r="C374" s="4" t="n">
        <v>10</v>
      </c>
      <c r="D374" s="4" t="n">
        <v>2</v>
      </c>
      <c r="E374" s="4" t="inlineStr">
        <is>
          <t>nâu</t>
        </is>
      </c>
      <c r="F374" s="4" t="inlineStr">
        <is>
          <t>A</t>
        </is>
      </c>
      <c r="G374" s="4" t="inlineStr">
        <is>
          <t>HNB038</t>
        </is>
      </c>
    </row>
    <row r="375">
      <c r="A375" s="4" t="inlineStr">
        <is>
          <t>MX_HTP-03A</t>
        </is>
      </c>
      <c r="B375" s="4" t="inlineStr">
        <is>
          <t>MX_HTP-03A|CE88</t>
        </is>
      </c>
      <c r="C375" s="4" t="n">
        <v>11</v>
      </c>
      <c r="D375" s="4" t="n">
        <v>2</v>
      </c>
      <c r="E375" s="4" t="inlineStr">
        <is>
          <t>xám</t>
        </is>
      </c>
      <c r="F375" s="4" t="inlineStr">
        <is>
          <t>A</t>
        </is>
      </c>
      <c r="G375" s="4" t="inlineStr"/>
    </row>
    <row r="376">
      <c r="A376" s="4" t="inlineStr">
        <is>
          <t>MX_HTP-03A</t>
        </is>
      </c>
      <c r="B376" s="4" t="inlineStr">
        <is>
          <t>MX_HTP-03A|CE88</t>
        </is>
      </c>
      <c r="C376" s="4" t="n">
        <v>12</v>
      </c>
      <c r="D376" s="4" t="n">
        <v>2</v>
      </c>
      <c r="E376" s="4" t="inlineStr">
        <is>
          <t>trắng</t>
        </is>
      </c>
      <c r="F376" s="4" t="inlineStr">
        <is>
          <t>A</t>
        </is>
      </c>
      <c r="G376" s="4" t="inlineStr"/>
    </row>
    <row r="377">
      <c r="A377" s="4" t="inlineStr">
        <is>
          <t>MX_HTP-03A</t>
        </is>
      </c>
      <c r="B377" s="4" t="inlineStr">
        <is>
          <t>MX_HTP-03A|CU88</t>
        </is>
      </c>
      <c r="C377" s="4" t="n">
        <v>1</v>
      </c>
      <c r="D377" s="4" t="n">
        <v>1</v>
      </c>
      <c r="E377" s="4" t="inlineStr">
        <is>
          <t>xanh dương</t>
        </is>
      </c>
      <c r="F377" s="4" t="inlineStr">
        <is>
          <t>B</t>
        </is>
      </c>
      <c r="G377" s="4" t="inlineStr"/>
    </row>
    <row r="378">
      <c r="A378" s="4" t="inlineStr">
        <is>
          <t>MX_HTP-03A</t>
        </is>
      </c>
      <c r="B378" s="4" t="inlineStr">
        <is>
          <t>MX_HTP-03A|CU88</t>
        </is>
      </c>
      <c r="C378" s="4" t="n">
        <v>2</v>
      </c>
      <c r="D378" s="4" t="n">
        <v>1</v>
      </c>
      <c r="E378" s="4" t="inlineStr">
        <is>
          <t>cam</t>
        </is>
      </c>
      <c r="F378" s="4" t="inlineStr">
        <is>
          <t>B</t>
        </is>
      </c>
      <c r="G378" s="4" t="inlineStr"/>
    </row>
    <row r="379">
      <c r="A379" s="4" t="inlineStr">
        <is>
          <t>MX_HTP-03A</t>
        </is>
      </c>
      <c r="B379" s="4" t="inlineStr">
        <is>
          <t>MX_HTP-03A|CU88</t>
        </is>
      </c>
      <c r="C379" s="4" t="n">
        <v>3</v>
      </c>
      <c r="D379" s="4" t="n">
        <v>1</v>
      </c>
      <c r="E379" s="4" t="inlineStr">
        <is>
          <t>xanh lá</t>
        </is>
      </c>
      <c r="F379" s="4" t="inlineStr">
        <is>
          <t>B</t>
        </is>
      </c>
      <c r="G379" s="4" t="inlineStr"/>
    </row>
    <row r="380">
      <c r="A380" s="4" t="inlineStr">
        <is>
          <t>MX_HTP-03A</t>
        </is>
      </c>
      <c r="B380" s="4" t="inlineStr">
        <is>
          <t>MX_HTP-03A|CU88</t>
        </is>
      </c>
      <c r="C380" s="4" t="n">
        <v>4</v>
      </c>
      <c r="D380" s="4" t="n">
        <v>1</v>
      </c>
      <c r="E380" s="4" t="inlineStr">
        <is>
          <t>nâu</t>
        </is>
      </c>
      <c r="F380" s="4" t="inlineStr">
        <is>
          <t>B</t>
        </is>
      </c>
      <c r="G380" s="4" t="inlineStr"/>
    </row>
    <row r="381">
      <c r="A381" s="4" t="inlineStr">
        <is>
          <t>MX_HTP-03A</t>
        </is>
      </c>
      <c r="B381" s="4" t="inlineStr">
        <is>
          <t>MX_HTP-03A|CU88</t>
        </is>
      </c>
      <c r="C381" s="4" t="n">
        <v>5</v>
      </c>
      <c r="D381" s="4" t="n">
        <v>1</v>
      </c>
      <c r="E381" s="4" t="inlineStr">
        <is>
          <t>xám</t>
        </is>
      </c>
      <c r="F381" s="4" t="inlineStr">
        <is>
          <t>B</t>
        </is>
      </c>
      <c r="G381" s="4" t="inlineStr"/>
    </row>
    <row r="382">
      <c r="A382" s="4" t="inlineStr">
        <is>
          <t>MX_HTP-03A</t>
        </is>
      </c>
      <c r="B382" s="4" t="inlineStr">
        <is>
          <t>MX_HTP-03A|CU88</t>
        </is>
      </c>
      <c r="C382" s="4" t="n">
        <v>6</v>
      </c>
      <c r="D382" s="4" t="n">
        <v>1</v>
      </c>
      <c r="E382" s="4" t="inlineStr">
        <is>
          <t>trắng</t>
        </is>
      </c>
      <c r="F382" s="4" t="inlineStr">
        <is>
          <t>B</t>
        </is>
      </c>
      <c r="G382" s="4" t="inlineStr"/>
    </row>
    <row r="383">
      <c r="A383" s="4" t="inlineStr">
        <is>
          <t>MX_HTP-03A</t>
        </is>
      </c>
      <c r="B383" s="4" t="inlineStr">
        <is>
          <t>MX_HTP-03A|CU88</t>
        </is>
      </c>
      <c r="C383" s="4" t="n">
        <v>7</v>
      </c>
      <c r="D383" s="4" t="n">
        <v>2</v>
      </c>
      <c r="E383" s="4" t="inlineStr">
        <is>
          <t>xanh dương</t>
        </is>
      </c>
      <c r="F383" s="4" t="inlineStr"/>
      <c r="G383" s="4" t="inlineStr"/>
    </row>
    <row r="384">
      <c r="A384" s="4" t="inlineStr">
        <is>
          <t>MX_HTP-03A</t>
        </is>
      </c>
      <c r="B384" s="4" t="inlineStr">
        <is>
          <t>MX_HTP-03A|CU88</t>
        </is>
      </c>
      <c r="C384" s="4" t="n">
        <v>8</v>
      </c>
      <c r="D384" s="4" t="n">
        <v>2</v>
      </c>
      <c r="E384" s="4" t="inlineStr">
        <is>
          <t>cam</t>
        </is>
      </c>
      <c r="F384" s="4" t="inlineStr"/>
      <c r="G384" s="4" t="inlineStr"/>
    </row>
    <row r="385">
      <c r="A385" s="4" t="inlineStr">
        <is>
          <t>MX_HTP-03A</t>
        </is>
      </c>
      <c r="B385" s="4" t="inlineStr">
        <is>
          <t>MX_HTP-03A|CE101</t>
        </is>
      </c>
      <c r="C385" s="4" t="n">
        <v>1</v>
      </c>
      <c r="D385" s="4" t="n">
        <v>1</v>
      </c>
      <c r="E385" s="4" t="inlineStr">
        <is>
          <t>xanh dương</t>
        </is>
      </c>
      <c r="F385" s="4" t="inlineStr">
        <is>
          <t>A</t>
        </is>
      </c>
      <c r="G385" s="4" t="inlineStr">
        <is>
          <t>HNB075</t>
        </is>
      </c>
    </row>
    <row r="386">
      <c r="A386" s="4" t="inlineStr">
        <is>
          <t>MX_HTP-03A</t>
        </is>
      </c>
      <c r="B386" s="4" t="inlineStr">
        <is>
          <t>MX_HTP-03A|CE101</t>
        </is>
      </c>
      <c r="C386" s="4" t="n">
        <v>2</v>
      </c>
      <c r="D386" s="4" t="n">
        <v>1</v>
      </c>
      <c r="E386" s="4" t="inlineStr">
        <is>
          <t>cam</t>
        </is>
      </c>
      <c r="F386" s="4" t="inlineStr">
        <is>
          <t>A</t>
        </is>
      </c>
      <c r="G386" s="4" t="inlineStr">
        <is>
          <t>HNB075</t>
        </is>
      </c>
    </row>
    <row r="387">
      <c r="A387" s="4" t="inlineStr">
        <is>
          <t>MX_HTP-03A</t>
        </is>
      </c>
      <c r="B387" s="4" t="inlineStr">
        <is>
          <t>MX_HTP-03A|CE101</t>
        </is>
      </c>
      <c r="C387" s="4" t="n">
        <v>3</v>
      </c>
      <c r="D387" s="4" t="n">
        <v>1</v>
      </c>
      <c r="E387" s="4" t="inlineStr">
        <is>
          <t>xanh lá</t>
        </is>
      </c>
      <c r="F387" s="4" t="inlineStr">
        <is>
          <t>A</t>
        </is>
      </c>
      <c r="G387" s="4" t="inlineStr">
        <is>
          <t>HNB073</t>
        </is>
      </c>
    </row>
    <row r="388">
      <c r="A388" s="4" t="inlineStr">
        <is>
          <t>MX_HTP-03A</t>
        </is>
      </c>
      <c r="B388" s="4" t="inlineStr">
        <is>
          <t>MX_HTP-03A|CE101</t>
        </is>
      </c>
      <c r="C388" s="4" t="n">
        <v>4</v>
      </c>
      <c r="D388" s="4" t="n">
        <v>1</v>
      </c>
      <c r="E388" s="4" t="inlineStr">
        <is>
          <t>nâu</t>
        </is>
      </c>
      <c r="F388" s="4" t="inlineStr">
        <is>
          <t>A</t>
        </is>
      </c>
      <c r="G388" s="4" t="inlineStr">
        <is>
          <t>HNB073</t>
        </is>
      </c>
    </row>
    <row r="389">
      <c r="A389" s="4" t="inlineStr">
        <is>
          <t>MX_HTP-03A</t>
        </is>
      </c>
      <c r="B389" s="4" t="inlineStr">
        <is>
          <t>MX_HTP-03A|CE101</t>
        </is>
      </c>
      <c r="C389" s="4" t="n">
        <v>5</v>
      </c>
      <c r="D389" s="4" t="n">
        <v>1</v>
      </c>
      <c r="E389" s="4" t="inlineStr">
        <is>
          <t>xám</t>
        </is>
      </c>
      <c r="F389" s="4" t="inlineStr">
        <is>
          <t>A</t>
        </is>
      </c>
      <c r="G389" s="4" t="inlineStr">
        <is>
          <t>HNB094</t>
        </is>
      </c>
    </row>
    <row r="390">
      <c r="A390" s="4" t="inlineStr">
        <is>
          <t>MX_HTP-03A</t>
        </is>
      </c>
      <c r="B390" s="4" t="inlineStr">
        <is>
          <t>MX_HTP-03A|CE101</t>
        </is>
      </c>
      <c r="C390" s="4" t="n">
        <v>6</v>
      </c>
      <c r="D390" s="4" t="n">
        <v>1</v>
      </c>
      <c r="E390" s="4" t="inlineStr">
        <is>
          <t>trắng</t>
        </is>
      </c>
      <c r="F390" s="4" t="inlineStr">
        <is>
          <t>A</t>
        </is>
      </c>
      <c r="G390" s="4" t="inlineStr">
        <is>
          <t>HNB094</t>
        </is>
      </c>
    </row>
    <row r="391">
      <c r="A391" s="4" t="inlineStr">
        <is>
          <t>MX_HTP-03A</t>
        </is>
      </c>
      <c r="B391" s="4" t="inlineStr">
        <is>
          <t>MX_HTP-03A|CE101</t>
        </is>
      </c>
      <c r="C391" s="4" t="n">
        <v>7</v>
      </c>
      <c r="D391" s="4" t="n">
        <v>2</v>
      </c>
      <c r="E391" s="4" t="inlineStr">
        <is>
          <t>xanh dương</t>
        </is>
      </c>
      <c r="F391" s="4" t="inlineStr">
        <is>
          <t>A</t>
        </is>
      </c>
      <c r="G391" s="4" t="inlineStr"/>
    </row>
    <row r="392">
      <c r="A392" s="4" t="inlineStr">
        <is>
          <t>MX_HTP-03A</t>
        </is>
      </c>
      <c r="B392" s="4" t="inlineStr">
        <is>
          <t>MX_HTP-03A|CE101</t>
        </is>
      </c>
      <c r="C392" s="4" t="n">
        <v>8</v>
      </c>
      <c r="D392" s="4" t="n">
        <v>2</v>
      </c>
      <c r="E392" s="4" t="inlineStr">
        <is>
          <t>cam</t>
        </is>
      </c>
      <c r="F392" s="4" t="inlineStr">
        <is>
          <t>A</t>
        </is>
      </c>
      <c r="G392" s="4" t="inlineStr"/>
    </row>
    <row r="393">
      <c r="A393" s="4" t="inlineStr">
        <is>
          <t>MX_HTP-03A</t>
        </is>
      </c>
      <c r="B393" s="4" t="inlineStr">
        <is>
          <t>MX_HTP-03A|CE101</t>
        </is>
      </c>
      <c r="C393" s="4" t="n">
        <v>9</v>
      </c>
      <c r="D393" s="4" t="n">
        <v>2</v>
      </c>
      <c r="E393" s="4" t="inlineStr">
        <is>
          <t>xanh lá</t>
        </is>
      </c>
      <c r="F393" s="4" t="inlineStr">
        <is>
          <t>A</t>
        </is>
      </c>
      <c r="G393" s="4" t="inlineStr">
        <is>
          <t>HNB038</t>
        </is>
      </c>
    </row>
    <row r="394">
      <c r="A394" s="4" t="inlineStr">
        <is>
          <t>MX_HTP-03A</t>
        </is>
      </c>
      <c r="B394" s="4" t="inlineStr">
        <is>
          <t>MX_HTP-03A|CE101</t>
        </is>
      </c>
      <c r="C394" s="4" t="n">
        <v>10</v>
      </c>
      <c r="D394" s="4" t="n">
        <v>2</v>
      </c>
      <c r="E394" s="4" t="inlineStr">
        <is>
          <t>nâu</t>
        </is>
      </c>
      <c r="F394" s="4" t="inlineStr">
        <is>
          <t>A</t>
        </is>
      </c>
      <c r="G394" s="4" t="inlineStr">
        <is>
          <t>HNB038</t>
        </is>
      </c>
    </row>
    <row r="395">
      <c r="A395" s="4" t="inlineStr">
        <is>
          <t>MX_HTP-03A</t>
        </is>
      </c>
      <c r="B395" s="4" t="inlineStr">
        <is>
          <t>MX_HTP-03A|CE101</t>
        </is>
      </c>
      <c r="C395" s="4" t="n">
        <v>11</v>
      </c>
      <c r="D395" s="4" t="n">
        <v>2</v>
      </c>
      <c r="E395" s="4" t="inlineStr">
        <is>
          <t>xám</t>
        </is>
      </c>
      <c r="F395" s="4" t="inlineStr">
        <is>
          <t>A</t>
        </is>
      </c>
      <c r="G395" s="4" t="inlineStr"/>
    </row>
    <row r="396">
      <c r="A396" s="4" t="inlineStr">
        <is>
          <t>MX_HTP-03A</t>
        </is>
      </c>
      <c r="B396" s="4" t="inlineStr">
        <is>
          <t>MX_HTP-03A|CE101</t>
        </is>
      </c>
      <c r="C396" s="4" t="n">
        <v>12</v>
      </c>
      <c r="D396" s="4" t="n">
        <v>2</v>
      </c>
      <c r="E396" s="4" t="inlineStr">
        <is>
          <t>trắng</t>
        </is>
      </c>
      <c r="F396" s="4" t="inlineStr">
        <is>
          <t>A</t>
        </is>
      </c>
      <c r="G396" s="4" t="inlineStr"/>
    </row>
    <row r="397">
      <c r="A397" s="4" t="inlineStr">
        <is>
          <t>MX_HTP-03A</t>
        </is>
      </c>
      <c r="B397" s="4" t="inlineStr">
        <is>
          <t>MX_HTP-03A|CE101</t>
        </is>
      </c>
      <c r="C397" s="4" t="n">
        <v>13</v>
      </c>
      <c r="D397" s="4" t="n">
        <v>3</v>
      </c>
      <c r="E397" s="4" t="inlineStr">
        <is>
          <t>xanh dương</t>
        </is>
      </c>
      <c r="F397" s="4" t="inlineStr"/>
      <c r="G397" s="4" t="inlineStr"/>
    </row>
    <row r="398">
      <c r="A398" s="4" t="inlineStr">
        <is>
          <t>MX_HTP-03A</t>
        </is>
      </c>
      <c r="B398" s="4" t="inlineStr">
        <is>
          <t>MX_HTP-03A|CE101</t>
        </is>
      </c>
      <c r="C398" s="4" t="n">
        <v>14</v>
      </c>
      <c r="D398" s="4" t="n">
        <v>3</v>
      </c>
      <c r="E398" s="4" t="inlineStr">
        <is>
          <t>cam</t>
        </is>
      </c>
      <c r="F398" s="4" t="inlineStr"/>
      <c r="G398" s="4" t="inlineStr"/>
    </row>
    <row r="399">
      <c r="A399" s="4" t="inlineStr">
        <is>
          <t>MX_HTP-03A</t>
        </is>
      </c>
      <c r="B399" s="4" t="inlineStr">
        <is>
          <t>MX_HTP-03A|CE101</t>
        </is>
      </c>
      <c r="C399" s="4" t="n">
        <v>15</v>
      </c>
      <c r="D399" s="4" t="n">
        <v>3</v>
      </c>
      <c r="E399" s="4" t="inlineStr">
        <is>
          <t>xanh lá</t>
        </is>
      </c>
      <c r="F399" s="4" t="inlineStr"/>
      <c r="G399" s="4" t="inlineStr"/>
    </row>
    <row r="400">
      <c r="A400" s="4" t="inlineStr">
        <is>
          <t>MX_HTP-03A</t>
        </is>
      </c>
      <c r="B400" s="4" t="inlineStr">
        <is>
          <t>MX_HTP-03A|CE101</t>
        </is>
      </c>
      <c r="C400" s="4" t="n">
        <v>16</v>
      </c>
      <c r="D400" s="4" t="n">
        <v>3</v>
      </c>
      <c r="E400" s="4" t="inlineStr">
        <is>
          <t>nâu</t>
        </is>
      </c>
      <c r="F400" s="4" t="inlineStr"/>
      <c r="G400" s="4" t="inlineStr"/>
    </row>
    <row r="401">
      <c r="A401" s="4" t="inlineStr">
        <is>
          <t>MX_HTP-03A</t>
        </is>
      </c>
      <c r="B401" s="4" t="inlineStr">
        <is>
          <t>MX_HTP-03A|CE101</t>
        </is>
      </c>
      <c r="C401" s="4" t="n">
        <v>17</v>
      </c>
      <c r="D401" s="4" t="n">
        <v>3</v>
      </c>
      <c r="E401" s="4" t="inlineStr">
        <is>
          <t>xám</t>
        </is>
      </c>
      <c r="F401" s="4" t="inlineStr"/>
      <c r="G401" s="4" t="inlineStr"/>
    </row>
    <row r="402">
      <c r="A402" s="4" t="inlineStr">
        <is>
          <t>MX_HTP-03A</t>
        </is>
      </c>
      <c r="B402" s="4" t="inlineStr">
        <is>
          <t>MX_HTP-03A|CE101</t>
        </is>
      </c>
      <c r="C402" s="4" t="n">
        <v>18</v>
      </c>
      <c r="D402" s="4" t="n">
        <v>3</v>
      </c>
      <c r="E402" s="4" t="inlineStr">
        <is>
          <t>trắng</t>
        </is>
      </c>
      <c r="F402" s="4" t="inlineStr"/>
      <c r="G402" s="4" t="inlineStr"/>
    </row>
    <row r="403">
      <c r="A403" s="4" t="inlineStr">
        <is>
          <t>MX_HTP-03A</t>
        </is>
      </c>
      <c r="B403" s="4" t="inlineStr">
        <is>
          <t>MX_HTP-03A|CE101</t>
        </is>
      </c>
      <c r="C403" s="4" t="n">
        <v>19</v>
      </c>
      <c r="D403" s="4" t="n">
        <v>4</v>
      </c>
      <c r="E403" s="4" t="inlineStr">
        <is>
          <t>xanh dương</t>
        </is>
      </c>
      <c r="F403" s="4" t="inlineStr">
        <is>
          <t>B</t>
        </is>
      </c>
      <c r="G403" s="4" t="inlineStr"/>
    </row>
    <row r="404">
      <c r="A404" s="4" t="inlineStr">
        <is>
          <t>MX_HTP-03A</t>
        </is>
      </c>
      <c r="B404" s="4" t="inlineStr">
        <is>
          <t>MX_HTP-03A|CE101</t>
        </is>
      </c>
      <c r="C404" s="4" t="n">
        <v>20</v>
      </c>
      <c r="D404" s="4" t="n">
        <v>4</v>
      </c>
      <c r="E404" s="4" t="inlineStr">
        <is>
          <t>cam</t>
        </is>
      </c>
      <c r="F404" s="4" t="inlineStr">
        <is>
          <t>B</t>
        </is>
      </c>
      <c r="G404" s="4" t="inlineStr"/>
    </row>
    <row r="405">
      <c r="A405" s="4" t="inlineStr">
        <is>
          <t>MX_HTP-03A</t>
        </is>
      </c>
      <c r="B405" s="4" t="inlineStr">
        <is>
          <t>MX_HTP-03A|CE101</t>
        </is>
      </c>
      <c r="C405" s="4" t="n">
        <v>21</v>
      </c>
      <c r="D405" s="4" t="n">
        <v>4</v>
      </c>
      <c r="E405" s="4" t="inlineStr">
        <is>
          <t>xanh lá</t>
        </is>
      </c>
      <c r="F405" s="4" t="inlineStr">
        <is>
          <t>B</t>
        </is>
      </c>
      <c r="G405" s="4" t="inlineStr"/>
    </row>
    <row r="406">
      <c r="A406" s="4" t="inlineStr">
        <is>
          <t>MX_HTP-03A</t>
        </is>
      </c>
      <c r="B406" s="4" t="inlineStr">
        <is>
          <t>MX_HTP-03A|CE101</t>
        </is>
      </c>
      <c r="C406" s="4" t="n">
        <v>22</v>
      </c>
      <c r="D406" s="4" t="n">
        <v>4</v>
      </c>
      <c r="E406" s="4" t="inlineStr">
        <is>
          <t>nâu</t>
        </is>
      </c>
      <c r="F406" s="4" t="inlineStr">
        <is>
          <t>B</t>
        </is>
      </c>
      <c r="G406" s="4" t="inlineStr"/>
    </row>
    <row r="407">
      <c r="A407" s="4" t="inlineStr">
        <is>
          <t>MX_HTP-03A</t>
        </is>
      </c>
      <c r="B407" s="4" t="inlineStr">
        <is>
          <t>MX_HTP-03A|CE101</t>
        </is>
      </c>
      <c r="C407" s="4" t="n">
        <v>23</v>
      </c>
      <c r="D407" s="4" t="n">
        <v>4</v>
      </c>
      <c r="E407" s="4" t="inlineStr">
        <is>
          <t>xám</t>
        </is>
      </c>
      <c r="F407" s="4" t="inlineStr">
        <is>
          <t>B</t>
        </is>
      </c>
      <c r="G407" s="4" t="inlineStr"/>
    </row>
    <row r="408">
      <c r="A408" s="4" t="inlineStr">
        <is>
          <t>MX_HTP-03A</t>
        </is>
      </c>
      <c r="B408" s="4" t="inlineStr">
        <is>
          <t>MX_HTP-03A|CE101</t>
        </is>
      </c>
      <c r="C408" s="4" t="n">
        <v>24</v>
      </c>
      <c r="D408" s="4" t="n">
        <v>4</v>
      </c>
      <c r="E408" s="4" t="inlineStr">
        <is>
          <t>trắng</t>
        </is>
      </c>
      <c r="F408" s="4" t="inlineStr">
        <is>
          <t>B</t>
        </is>
      </c>
      <c r="G408" s="4" t="inlineStr"/>
    </row>
    <row r="409">
      <c r="A409" s="4" t="inlineStr">
        <is>
          <t>MX_NB-01</t>
        </is>
      </c>
      <c r="B409" s="4" t="inlineStr">
        <is>
          <t>MX_NB-01|AD109</t>
        </is>
      </c>
      <c r="C409" s="4" t="n">
        <v>1</v>
      </c>
      <c r="D409" s="4" t="n">
        <v>1</v>
      </c>
      <c r="E409" s="4" t="inlineStr">
        <is>
          <t>xanh dương</t>
        </is>
      </c>
      <c r="F409" s="4" t="inlineStr">
        <is>
          <t>A</t>
        </is>
      </c>
      <c r="G409" s="4" t="inlineStr">
        <is>
          <t>HNB012</t>
        </is>
      </c>
    </row>
    <row r="410">
      <c r="A410" s="4" t="inlineStr">
        <is>
          <t>MX_NB-01</t>
        </is>
      </c>
      <c r="B410" s="4" t="inlineStr">
        <is>
          <t>MX_NB-01|AD109</t>
        </is>
      </c>
      <c r="C410" s="4" t="n">
        <v>2</v>
      </c>
      <c r="D410" s="4" t="n">
        <v>1</v>
      </c>
      <c r="E410" s="4" t="inlineStr">
        <is>
          <t>cam</t>
        </is>
      </c>
      <c r="F410" s="4" t="inlineStr">
        <is>
          <t>A</t>
        </is>
      </c>
      <c r="G410" s="4" t="inlineStr">
        <is>
          <t>HNB012</t>
        </is>
      </c>
    </row>
    <row r="411">
      <c r="A411" s="4" t="inlineStr">
        <is>
          <t>MX_NB-01</t>
        </is>
      </c>
      <c r="B411" s="4" t="inlineStr">
        <is>
          <t>MX_NB-01|AD109</t>
        </is>
      </c>
      <c r="C411" s="4" t="n">
        <v>3</v>
      </c>
      <c r="D411" s="4" t="n">
        <v>1</v>
      </c>
      <c r="E411" s="4" t="inlineStr">
        <is>
          <t>xanh lá</t>
        </is>
      </c>
      <c r="F411" s="4" t="inlineStr"/>
      <c r="G411" s="4" t="inlineStr">
        <is>
          <t>HNB011</t>
        </is>
      </c>
    </row>
    <row r="412">
      <c r="A412" s="4" t="inlineStr">
        <is>
          <t>MX_NB-01</t>
        </is>
      </c>
      <c r="B412" s="4" t="inlineStr">
        <is>
          <t>MX_NB-01|AD109</t>
        </is>
      </c>
      <c r="C412" s="4" t="n">
        <v>4</v>
      </c>
      <c r="D412" s="4" t="n">
        <v>1</v>
      </c>
      <c r="E412" s="4" t="inlineStr">
        <is>
          <t>nâu</t>
        </is>
      </c>
      <c r="F412" s="4" t="inlineStr"/>
      <c r="G412" s="4" t="inlineStr">
        <is>
          <t>HNB011</t>
        </is>
      </c>
    </row>
    <row r="413">
      <c r="A413" s="4" t="inlineStr">
        <is>
          <t>MX_NB-01</t>
        </is>
      </c>
      <c r="B413" s="4" t="inlineStr">
        <is>
          <t>MX_NB-01|AD109</t>
        </is>
      </c>
      <c r="C413" s="4" t="n">
        <v>5</v>
      </c>
      <c r="D413" s="4" t="n">
        <v>1</v>
      </c>
      <c r="E413" s="4" t="inlineStr">
        <is>
          <t>xám</t>
        </is>
      </c>
      <c r="F413" s="4" t="inlineStr">
        <is>
          <t>A</t>
        </is>
      </c>
      <c r="G413" s="4" t="inlineStr">
        <is>
          <t>HNB055</t>
        </is>
      </c>
    </row>
    <row r="414">
      <c r="A414" s="4" t="inlineStr">
        <is>
          <t>MX_NB-01</t>
        </is>
      </c>
      <c r="B414" s="4" t="inlineStr">
        <is>
          <t>MX_NB-01|AD109</t>
        </is>
      </c>
      <c r="C414" s="4" t="n">
        <v>6</v>
      </c>
      <c r="D414" s="4" t="n">
        <v>1</v>
      </c>
      <c r="E414" s="4" t="inlineStr">
        <is>
          <t>trắng</t>
        </is>
      </c>
      <c r="F414" s="4" t="inlineStr">
        <is>
          <t>A</t>
        </is>
      </c>
      <c r="G414" s="4" t="inlineStr">
        <is>
          <t>HNB055</t>
        </is>
      </c>
    </row>
    <row r="415">
      <c r="A415" s="4" t="inlineStr">
        <is>
          <t>MX_NB-01</t>
        </is>
      </c>
      <c r="B415" s="4" t="inlineStr">
        <is>
          <t>MX_NB-01|AD109</t>
        </is>
      </c>
      <c r="C415" s="4" t="n">
        <v>7</v>
      </c>
      <c r="D415" s="4" t="n">
        <v>2</v>
      </c>
      <c r="E415" s="4" t="inlineStr">
        <is>
          <t>xanh dương</t>
        </is>
      </c>
      <c r="F415" s="4" t="inlineStr"/>
      <c r="G415" s="4" t="inlineStr">
        <is>
          <t>LACG43</t>
        </is>
      </c>
    </row>
    <row r="416">
      <c r="A416" s="4" t="inlineStr">
        <is>
          <t>MX_NB-01</t>
        </is>
      </c>
      <c r="B416" s="4" t="inlineStr">
        <is>
          <t>MX_NB-01|AD109</t>
        </is>
      </c>
      <c r="C416" s="4" t="n">
        <v>8</v>
      </c>
      <c r="D416" s="4" t="n">
        <v>2</v>
      </c>
      <c r="E416" s="4" t="inlineStr">
        <is>
          <t>cam</t>
        </is>
      </c>
      <c r="F416" s="4" t="inlineStr"/>
      <c r="G416" s="4" t="inlineStr">
        <is>
          <t>LACG43</t>
        </is>
      </c>
    </row>
    <row r="417">
      <c r="A417" s="4" t="inlineStr">
        <is>
          <t>MX_NB-01</t>
        </is>
      </c>
      <c r="B417" s="4" t="inlineStr">
        <is>
          <t>MX_NB-01|AD109</t>
        </is>
      </c>
      <c r="C417" s="4" t="n">
        <v>9</v>
      </c>
      <c r="D417" s="4" t="n">
        <v>2</v>
      </c>
      <c r="E417" s="4" t="inlineStr">
        <is>
          <t>xanh lá</t>
        </is>
      </c>
      <c r="F417" s="4" t="inlineStr">
        <is>
          <t>A</t>
        </is>
      </c>
      <c r="G417" s="4" t="inlineStr"/>
    </row>
    <row r="418">
      <c r="A418" s="4" t="inlineStr">
        <is>
          <t>MX_NB-01</t>
        </is>
      </c>
      <c r="B418" s="4" t="inlineStr">
        <is>
          <t>MX_NB-01|AD109</t>
        </is>
      </c>
      <c r="C418" s="4" t="n">
        <v>10</v>
      </c>
      <c r="D418" s="4" t="n">
        <v>2</v>
      </c>
      <c r="E418" s="4" t="inlineStr">
        <is>
          <t>nâu</t>
        </is>
      </c>
      <c r="F418" s="4" t="inlineStr">
        <is>
          <t>A</t>
        </is>
      </c>
      <c r="G418" s="4" t="inlineStr"/>
    </row>
    <row r="419">
      <c r="A419" s="4" t="inlineStr">
        <is>
          <t>MX_NB-01</t>
        </is>
      </c>
      <c r="B419" s="4" t="inlineStr">
        <is>
          <t>MX_NB-01|AD109</t>
        </is>
      </c>
      <c r="C419" s="4" t="n">
        <v>11</v>
      </c>
      <c r="D419" s="4" t="n">
        <v>2</v>
      </c>
      <c r="E419" s="4" t="inlineStr">
        <is>
          <t>xám</t>
        </is>
      </c>
      <c r="F419" s="4" t="inlineStr">
        <is>
          <t>A</t>
        </is>
      </c>
      <c r="G419" s="4" t="inlineStr"/>
    </row>
    <row r="420">
      <c r="A420" s="4" t="inlineStr">
        <is>
          <t>MX_NB-01</t>
        </is>
      </c>
      <c r="B420" s="4" t="inlineStr">
        <is>
          <t>MX_NB-01|AD109</t>
        </is>
      </c>
      <c r="C420" s="4" t="n">
        <v>12</v>
      </c>
      <c r="D420" s="4" t="n">
        <v>2</v>
      </c>
      <c r="E420" s="4" t="inlineStr">
        <is>
          <t>trắng</t>
        </is>
      </c>
      <c r="F420" s="4" t="inlineStr">
        <is>
          <t>A</t>
        </is>
      </c>
      <c r="G420" s="4" t="inlineStr"/>
    </row>
    <row r="421">
      <c r="A421" s="4" t="inlineStr">
        <is>
          <t>MX_NB-01</t>
        </is>
      </c>
      <c r="B421" s="4" t="inlineStr">
        <is>
          <t>MX_NB-01|AD109</t>
        </is>
      </c>
      <c r="C421" s="4" t="n">
        <v>13</v>
      </c>
      <c r="D421" s="4" t="n">
        <v>3</v>
      </c>
      <c r="E421" s="4" t="inlineStr">
        <is>
          <t>xanh dương</t>
        </is>
      </c>
      <c r="F421" s="4" t="inlineStr">
        <is>
          <t>A</t>
        </is>
      </c>
      <c r="G421" s="4" t="inlineStr"/>
    </row>
    <row r="422">
      <c r="A422" s="4" t="inlineStr">
        <is>
          <t>MX_NB-01</t>
        </is>
      </c>
      <c r="B422" s="4" t="inlineStr">
        <is>
          <t>MX_NB-01|AD109</t>
        </is>
      </c>
      <c r="C422" s="4" t="n">
        <v>14</v>
      </c>
      <c r="D422" s="4" t="n">
        <v>3</v>
      </c>
      <c r="E422" s="4" t="inlineStr">
        <is>
          <t>cam</t>
        </is>
      </c>
      <c r="F422" s="4" t="inlineStr">
        <is>
          <t>A</t>
        </is>
      </c>
      <c r="G422" s="4" t="inlineStr"/>
    </row>
    <row r="423">
      <c r="A423" s="4" t="inlineStr">
        <is>
          <t>MX_NB-01</t>
        </is>
      </c>
      <c r="B423" s="4" t="inlineStr">
        <is>
          <t>MX_NB-01|AD109</t>
        </is>
      </c>
      <c r="C423" s="4" t="n">
        <v>15</v>
      </c>
      <c r="D423" s="4" t="n">
        <v>3</v>
      </c>
      <c r="E423" s="4" t="inlineStr">
        <is>
          <t>xanh lá</t>
        </is>
      </c>
      <c r="F423" s="4" t="inlineStr">
        <is>
          <t>A</t>
        </is>
      </c>
      <c r="G423" s="4" t="inlineStr"/>
    </row>
    <row r="424">
      <c r="A424" s="4" t="inlineStr">
        <is>
          <t>MX_NB-01</t>
        </is>
      </c>
      <c r="B424" s="4" t="inlineStr">
        <is>
          <t>MX_NB-01|AD109</t>
        </is>
      </c>
      <c r="C424" s="4" t="n">
        <v>16</v>
      </c>
      <c r="D424" s="4" t="n">
        <v>3</v>
      </c>
      <c r="E424" s="4" t="inlineStr">
        <is>
          <t>nâu</t>
        </is>
      </c>
      <c r="F424" s="4" t="inlineStr">
        <is>
          <t>A</t>
        </is>
      </c>
      <c r="G424" s="4" t="inlineStr"/>
    </row>
    <row r="425">
      <c r="A425" s="4" t="inlineStr">
        <is>
          <t>MX_NB-01</t>
        </is>
      </c>
      <c r="B425" s="4" t="inlineStr">
        <is>
          <t>MX_NB-01|AD109</t>
        </is>
      </c>
      <c r="C425" s="4" t="n">
        <v>17</v>
      </c>
      <c r="D425" s="4" t="n">
        <v>3</v>
      </c>
      <c r="E425" s="4" t="inlineStr">
        <is>
          <t>xám</t>
        </is>
      </c>
      <c r="F425" s="4" t="inlineStr"/>
      <c r="G425" s="4" t="inlineStr"/>
    </row>
    <row r="426">
      <c r="A426" s="4" t="inlineStr">
        <is>
          <t>MX_NB-01</t>
        </is>
      </c>
      <c r="B426" s="4" t="inlineStr">
        <is>
          <t>MX_NB-01|AD109</t>
        </is>
      </c>
      <c r="C426" s="4" t="n">
        <v>18</v>
      </c>
      <c r="D426" s="4" t="n">
        <v>3</v>
      </c>
      <c r="E426" s="4" t="inlineStr">
        <is>
          <t>trắng</t>
        </is>
      </c>
      <c r="F426" s="4" t="inlineStr"/>
      <c r="G426" s="4" t="inlineStr"/>
    </row>
    <row r="427">
      <c r="A427" s="4" t="inlineStr">
        <is>
          <t>MX_NB-01</t>
        </is>
      </c>
      <c r="B427" s="4" t="inlineStr">
        <is>
          <t>MX_NB-01|AD109</t>
        </is>
      </c>
      <c r="C427" s="4" t="n">
        <v>19</v>
      </c>
      <c r="D427" s="4" t="n">
        <v>4</v>
      </c>
      <c r="E427" s="4" t="inlineStr">
        <is>
          <t>xanh dương</t>
        </is>
      </c>
      <c r="F427" s="4" t="inlineStr">
        <is>
          <t>B</t>
        </is>
      </c>
      <c r="G427" s="4" t="inlineStr">
        <is>
          <t>HNB091</t>
        </is>
      </c>
    </row>
    <row r="428">
      <c r="A428" s="4" t="inlineStr">
        <is>
          <t>MX_NB-01</t>
        </is>
      </c>
      <c r="B428" s="4" t="inlineStr">
        <is>
          <t>MX_NB-01|AD109</t>
        </is>
      </c>
      <c r="C428" s="4" t="n">
        <v>20</v>
      </c>
      <c r="D428" s="4" t="n">
        <v>4</v>
      </c>
      <c r="E428" s="4" t="inlineStr">
        <is>
          <t>cam</t>
        </is>
      </c>
      <c r="F428" s="4" t="inlineStr">
        <is>
          <t>B</t>
        </is>
      </c>
      <c r="G428" s="4" t="inlineStr">
        <is>
          <t>HNB091</t>
        </is>
      </c>
    </row>
    <row r="429">
      <c r="A429" s="4" t="inlineStr">
        <is>
          <t>MX_NB-01</t>
        </is>
      </c>
      <c r="B429" s="4" t="inlineStr">
        <is>
          <t>MX_NB-01|AD109</t>
        </is>
      </c>
      <c r="C429" s="4" t="n">
        <v>21</v>
      </c>
      <c r="D429" s="4" t="n">
        <v>4</v>
      </c>
      <c r="E429" s="4" t="inlineStr">
        <is>
          <t>xanh lá</t>
        </is>
      </c>
      <c r="F429" s="4" t="inlineStr">
        <is>
          <t>B</t>
        </is>
      </c>
      <c r="G429" s="4" t="inlineStr">
        <is>
          <t>HNB048</t>
        </is>
      </c>
    </row>
    <row r="430">
      <c r="A430" s="4" t="inlineStr">
        <is>
          <t>MX_NB-01</t>
        </is>
      </c>
      <c r="B430" s="4" t="inlineStr">
        <is>
          <t>MX_NB-01|AD109</t>
        </is>
      </c>
      <c r="C430" s="4" t="n">
        <v>22</v>
      </c>
      <c r="D430" s="4" t="n">
        <v>4</v>
      </c>
      <c r="E430" s="4" t="inlineStr">
        <is>
          <t>nâu</t>
        </is>
      </c>
      <c r="F430" s="4" t="inlineStr">
        <is>
          <t>B</t>
        </is>
      </c>
      <c r="G430" s="4" t="inlineStr">
        <is>
          <t>HNB048</t>
        </is>
      </c>
    </row>
    <row r="431">
      <c r="A431" s="4" t="inlineStr">
        <is>
          <t>MX_NB-01</t>
        </is>
      </c>
      <c r="B431" s="4" t="inlineStr">
        <is>
          <t>MX_NB-01|AD109</t>
        </is>
      </c>
      <c r="C431" s="4" t="n">
        <v>23</v>
      </c>
      <c r="D431" s="4" t="n">
        <v>4</v>
      </c>
      <c r="E431" s="4" t="inlineStr">
        <is>
          <t>xám</t>
        </is>
      </c>
      <c r="F431" s="4" t="inlineStr">
        <is>
          <t>B</t>
        </is>
      </c>
      <c r="G431" s="4" t="inlineStr"/>
    </row>
    <row r="432">
      <c r="A432" s="4" t="inlineStr">
        <is>
          <t>MX_NB-01</t>
        </is>
      </c>
      <c r="B432" s="4" t="inlineStr">
        <is>
          <t>MX_NB-01|AD109</t>
        </is>
      </c>
      <c r="C432" s="4" t="n">
        <v>24</v>
      </c>
      <c r="D432" s="4" t="n">
        <v>4</v>
      </c>
      <c r="E432" s="4" t="inlineStr">
        <is>
          <t>trắng</t>
        </is>
      </c>
      <c r="F432" s="4" t="inlineStr">
        <is>
          <t>B</t>
        </is>
      </c>
      <c r="G432" s="4" t="inlineStr"/>
    </row>
    <row r="433">
      <c r="A433" s="4" t="inlineStr">
        <is>
          <t>MX_NB-01</t>
        </is>
      </c>
      <c r="B433" s="4" t="inlineStr">
        <is>
          <t>MX_NB-01|BD112</t>
        </is>
      </c>
      <c r="C433" s="4" t="n">
        <v>1</v>
      </c>
      <c r="D433" s="4" t="n">
        <v>1</v>
      </c>
      <c r="E433" s="4" t="inlineStr">
        <is>
          <t>xanh dương</t>
        </is>
      </c>
      <c r="F433" s="4" t="inlineStr">
        <is>
          <t>B</t>
        </is>
      </c>
      <c r="G433" s="4" t="inlineStr">
        <is>
          <t>HNB091</t>
        </is>
      </c>
    </row>
    <row r="434">
      <c r="A434" s="4" t="inlineStr">
        <is>
          <t>MX_NB-01</t>
        </is>
      </c>
      <c r="B434" s="4" t="inlineStr">
        <is>
          <t>MX_NB-01|BD112</t>
        </is>
      </c>
      <c r="C434" s="4" t="n">
        <v>2</v>
      </c>
      <c r="D434" s="4" t="n">
        <v>1</v>
      </c>
      <c r="E434" s="4" t="inlineStr">
        <is>
          <t>cam</t>
        </is>
      </c>
      <c r="F434" s="4" t="inlineStr">
        <is>
          <t>B</t>
        </is>
      </c>
      <c r="G434" s="4" t="inlineStr">
        <is>
          <t>HNB091</t>
        </is>
      </c>
    </row>
    <row r="435">
      <c r="A435" s="4" t="inlineStr">
        <is>
          <t>MX_NB-01</t>
        </is>
      </c>
      <c r="B435" s="4" t="inlineStr">
        <is>
          <t>MX_NB-01|BD112</t>
        </is>
      </c>
      <c r="C435" s="4" t="n">
        <v>3</v>
      </c>
      <c r="D435" s="4" t="n">
        <v>1</v>
      </c>
      <c r="E435" s="4" t="inlineStr">
        <is>
          <t>xanh lá</t>
        </is>
      </c>
      <c r="F435" s="4" t="inlineStr">
        <is>
          <t>B</t>
        </is>
      </c>
      <c r="G435" s="4" t="inlineStr">
        <is>
          <t>HNB048</t>
        </is>
      </c>
    </row>
    <row r="436">
      <c r="A436" s="4" t="inlineStr">
        <is>
          <t>MX_NB-01</t>
        </is>
      </c>
      <c r="B436" s="4" t="inlineStr">
        <is>
          <t>MX_NB-01|BD112</t>
        </is>
      </c>
      <c r="C436" s="4" t="n">
        <v>4</v>
      </c>
      <c r="D436" s="4" t="n">
        <v>1</v>
      </c>
      <c r="E436" s="4" t="inlineStr">
        <is>
          <t>nâu</t>
        </is>
      </c>
      <c r="F436" s="4" t="inlineStr">
        <is>
          <t>B</t>
        </is>
      </c>
      <c r="G436" s="4" t="inlineStr">
        <is>
          <t>HNB048</t>
        </is>
      </c>
    </row>
    <row r="437">
      <c r="A437" s="4" t="inlineStr">
        <is>
          <t>MX_NB-01</t>
        </is>
      </c>
      <c r="B437" s="4" t="inlineStr">
        <is>
          <t>MX_NB-01|BD112</t>
        </is>
      </c>
      <c r="C437" s="4" t="n">
        <v>5</v>
      </c>
      <c r="D437" s="4" t="n">
        <v>1</v>
      </c>
      <c r="E437" s="4" t="inlineStr">
        <is>
          <t>xám</t>
        </is>
      </c>
      <c r="F437" s="4" t="inlineStr">
        <is>
          <t>B</t>
        </is>
      </c>
      <c r="G437" s="4" t="inlineStr"/>
    </row>
    <row r="438">
      <c r="A438" s="4" t="inlineStr">
        <is>
          <t>MX_NB-01</t>
        </is>
      </c>
      <c r="B438" s="4" t="inlineStr">
        <is>
          <t>MX_NB-01|BD112</t>
        </is>
      </c>
      <c r="C438" s="4" t="n">
        <v>6</v>
      </c>
      <c r="D438" s="4" t="n">
        <v>1</v>
      </c>
      <c r="E438" s="4" t="inlineStr">
        <is>
          <t>trắng</t>
        </is>
      </c>
      <c r="F438" s="4" t="inlineStr">
        <is>
          <t>B</t>
        </is>
      </c>
      <c r="G438" s="4" t="inlineStr"/>
    </row>
    <row r="439">
      <c r="A439" s="4" t="inlineStr">
        <is>
          <t>MX_NB-01</t>
        </is>
      </c>
      <c r="B439" s="4" t="inlineStr">
        <is>
          <t>MX_NB-01|BD112</t>
        </is>
      </c>
      <c r="C439" s="4" t="n">
        <v>7</v>
      </c>
      <c r="D439" s="4" t="n">
        <v>2</v>
      </c>
      <c r="E439" s="4" t="inlineStr">
        <is>
          <t>xanh dương</t>
        </is>
      </c>
      <c r="F439" s="4" t="inlineStr">
        <is>
          <t>C</t>
        </is>
      </c>
      <c r="G439" s="4" t="inlineStr">
        <is>
          <t>HNB086</t>
        </is>
      </c>
    </row>
    <row r="440">
      <c r="A440" s="4" t="inlineStr">
        <is>
          <t>MX_NB-01</t>
        </is>
      </c>
      <c r="B440" s="4" t="inlineStr">
        <is>
          <t>MX_NB-01|BD112</t>
        </is>
      </c>
      <c r="C440" s="4" t="n">
        <v>8</v>
      </c>
      <c r="D440" s="4" t="n">
        <v>2</v>
      </c>
      <c r="E440" s="4" t="inlineStr">
        <is>
          <t>cam</t>
        </is>
      </c>
      <c r="F440" s="4" t="inlineStr">
        <is>
          <t>C</t>
        </is>
      </c>
      <c r="G440" s="4" t="inlineStr">
        <is>
          <t>HNB086</t>
        </is>
      </c>
    </row>
    <row r="441">
      <c r="A441" s="4" t="inlineStr">
        <is>
          <t>MX_NB-01</t>
        </is>
      </c>
      <c r="B441" s="4" t="inlineStr">
        <is>
          <t>MX_NB-01|BD112</t>
        </is>
      </c>
      <c r="C441" s="4" t="n">
        <v>9</v>
      </c>
      <c r="D441" s="4" t="n">
        <v>2</v>
      </c>
      <c r="E441" s="4" t="inlineStr">
        <is>
          <t>xanh lá</t>
        </is>
      </c>
      <c r="F441" s="4" t="inlineStr"/>
      <c r="G441" s="4" t="inlineStr">
        <is>
          <t>TTC</t>
        </is>
      </c>
    </row>
    <row r="442">
      <c r="A442" s="4" t="inlineStr">
        <is>
          <t>MX_NB-01</t>
        </is>
      </c>
      <c r="B442" s="4" t="inlineStr">
        <is>
          <t>MX_NB-01|BD112</t>
        </is>
      </c>
      <c r="C442" s="4" t="n">
        <v>10</v>
      </c>
      <c r="D442" s="4" t="n">
        <v>2</v>
      </c>
      <c r="E442" s="4" t="inlineStr">
        <is>
          <t>nâu</t>
        </is>
      </c>
      <c r="F442" s="4" t="inlineStr"/>
      <c r="G442" s="4" t="inlineStr">
        <is>
          <t>TTC</t>
        </is>
      </c>
    </row>
    <row r="443">
      <c r="A443" s="4" t="inlineStr">
        <is>
          <t>MX_NB-01</t>
        </is>
      </c>
      <c r="B443" s="4" t="inlineStr">
        <is>
          <t>MX_NB-01|BD112</t>
        </is>
      </c>
      <c r="C443" s="4" t="n">
        <v>11</v>
      </c>
      <c r="D443" s="4" t="n">
        <v>2</v>
      </c>
      <c r="E443" s="4" t="inlineStr">
        <is>
          <t>xám</t>
        </is>
      </c>
      <c r="F443" s="4" t="inlineStr">
        <is>
          <t>C</t>
        </is>
      </c>
      <c r="G443" s="4" t="inlineStr"/>
    </row>
    <row r="444">
      <c r="A444" s="4" t="inlineStr">
        <is>
          <t>MX_NB-01</t>
        </is>
      </c>
      <c r="B444" s="4" t="inlineStr">
        <is>
          <t>MX_NB-01|BD112</t>
        </is>
      </c>
      <c r="C444" s="4" t="n">
        <v>12</v>
      </c>
      <c r="D444" s="4" t="n">
        <v>2</v>
      </c>
      <c r="E444" s="4" t="inlineStr">
        <is>
          <t>trắng</t>
        </is>
      </c>
      <c r="F444" s="4" t="inlineStr">
        <is>
          <t>C</t>
        </is>
      </c>
      <c r="G444" s="4" t="inlineStr"/>
    </row>
    <row r="445">
      <c r="A445" s="4" t="inlineStr">
        <is>
          <t>MX_NB-01</t>
        </is>
      </c>
      <c r="B445" s="4" t="inlineStr">
        <is>
          <t>MX_NB-01|AJ126</t>
        </is>
      </c>
      <c r="C445" s="4" t="n">
        <v>1</v>
      </c>
      <c r="D445" s="4" t="n">
        <v>1</v>
      </c>
      <c r="E445" s="4" t="inlineStr">
        <is>
          <t>xanh dương</t>
        </is>
      </c>
      <c r="F445" s="4" t="inlineStr">
        <is>
          <t>A</t>
        </is>
      </c>
      <c r="G445" s="4" t="inlineStr">
        <is>
          <t>HNB012</t>
        </is>
      </c>
    </row>
    <row r="446">
      <c r="A446" s="4" t="inlineStr">
        <is>
          <t>MX_NB-01</t>
        </is>
      </c>
      <c r="B446" s="4" t="inlineStr">
        <is>
          <t>MX_NB-01|AJ126</t>
        </is>
      </c>
      <c r="C446" s="4" t="n">
        <v>2</v>
      </c>
      <c r="D446" s="4" t="n">
        <v>1</v>
      </c>
      <c r="E446" s="4" t="inlineStr">
        <is>
          <t>cam</t>
        </is>
      </c>
      <c r="F446" s="4" t="inlineStr">
        <is>
          <t>A</t>
        </is>
      </c>
      <c r="G446" s="4" t="inlineStr">
        <is>
          <t>HNB012</t>
        </is>
      </c>
    </row>
    <row r="447">
      <c r="A447" s="4" t="inlineStr">
        <is>
          <t>MX_NB-01</t>
        </is>
      </c>
      <c r="B447" s="4" t="inlineStr">
        <is>
          <t>MX_NB-01|AJ126</t>
        </is>
      </c>
      <c r="C447" s="4" t="n">
        <v>3</v>
      </c>
      <c r="D447" s="4" t="n">
        <v>1</v>
      </c>
      <c r="E447" s="4" t="inlineStr">
        <is>
          <t>xanh lá</t>
        </is>
      </c>
      <c r="F447" s="4" t="inlineStr"/>
      <c r="G447" s="4" t="inlineStr"/>
    </row>
    <row r="448">
      <c r="A448" s="4" t="inlineStr">
        <is>
          <t>MX_NB-01</t>
        </is>
      </c>
      <c r="B448" s="4" t="inlineStr">
        <is>
          <t>MX_NB-01|AJ126</t>
        </is>
      </c>
      <c r="C448" s="4" t="n">
        <v>4</v>
      </c>
      <c r="D448" s="4" t="n">
        <v>1</v>
      </c>
      <c r="E448" s="4" t="inlineStr">
        <is>
          <t>nâu</t>
        </is>
      </c>
      <c r="F448" s="4" t="inlineStr"/>
      <c r="G448" s="4" t="inlineStr"/>
    </row>
    <row r="449">
      <c r="A449" s="4" t="inlineStr">
        <is>
          <t>MX_NB-01</t>
        </is>
      </c>
      <c r="B449" s="4" t="inlineStr">
        <is>
          <t>MX_NB-01|AJ126</t>
        </is>
      </c>
      <c r="C449" s="4" t="n">
        <v>5</v>
      </c>
      <c r="D449" s="4" t="n">
        <v>1</v>
      </c>
      <c r="E449" s="4" t="inlineStr">
        <is>
          <t>xám</t>
        </is>
      </c>
      <c r="F449" s="4" t="inlineStr">
        <is>
          <t>A</t>
        </is>
      </c>
      <c r="G449" s="4" t="inlineStr">
        <is>
          <t>HNB055</t>
        </is>
      </c>
    </row>
    <row r="450">
      <c r="A450" s="4" t="inlineStr">
        <is>
          <t>MX_NB-01</t>
        </is>
      </c>
      <c r="B450" s="4" t="inlineStr">
        <is>
          <t>MX_NB-01|AJ126</t>
        </is>
      </c>
      <c r="C450" s="4" t="n">
        <v>6</v>
      </c>
      <c r="D450" s="4" t="n">
        <v>1</v>
      </c>
      <c r="E450" s="4" t="inlineStr">
        <is>
          <t>trắng</t>
        </is>
      </c>
      <c r="F450" s="4" t="inlineStr">
        <is>
          <t>A</t>
        </is>
      </c>
      <c r="G450" s="4" t="inlineStr">
        <is>
          <t>HNB055</t>
        </is>
      </c>
    </row>
    <row r="451">
      <c r="A451" s="4" t="inlineStr">
        <is>
          <t>MX_NB-01</t>
        </is>
      </c>
      <c r="B451" s="4" t="inlineStr">
        <is>
          <t>MX_NB-01|AJ126</t>
        </is>
      </c>
      <c r="C451" s="4" t="n">
        <v>7</v>
      </c>
      <c r="D451" s="4" t="n">
        <v>2</v>
      </c>
      <c r="E451" s="4" t="inlineStr">
        <is>
          <t>xanh dương</t>
        </is>
      </c>
      <c r="F451" s="4" t="inlineStr"/>
      <c r="G451" s="4" t="inlineStr"/>
    </row>
    <row r="452">
      <c r="A452" s="4" t="inlineStr">
        <is>
          <t>MX_NB-01</t>
        </is>
      </c>
      <c r="B452" s="4" t="inlineStr">
        <is>
          <t>MX_NB-01|AJ126</t>
        </is>
      </c>
      <c r="C452" s="4" t="n">
        <v>8</v>
      </c>
      <c r="D452" s="4" t="n">
        <v>2</v>
      </c>
      <c r="E452" s="4" t="inlineStr">
        <is>
          <t>cam</t>
        </is>
      </c>
      <c r="F452" s="4" t="inlineStr"/>
      <c r="G452" s="4" t="inlineStr"/>
    </row>
    <row r="453">
      <c r="A453" s="4" t="inlineStr">
        <is>
          <t>MX_NB-01</t>
        </is>
      </c>
      <c r="B453" s="4" t="inlineStr">
        <is>
          <t>MX_NB-01|AJ126</t>
        </is>
      </c>
      <c r="C453" s="4" t="n">
        <v>9</v>
      </c>
      <c r="D453" s="4" t="n">
        <v>2</v>
      </c>
      <c r="E453" s="4" t="inlineStr">
        <is>
          <t>xanh lá</t>
        </is>
      </c>
      <c r="F453" s="4" t="inlineStr"/>
      <c r="G453" s="4" t="inlineStr"/>
    </row>
    <row r="454">
      <c r="A454" s="4" t="inlineStr">
        <is>
          <t>MX_NB-01</t>
        </is>
      </c>
      <c r="B454" s="4" t="inlineStr">
        <is>
          <t>MX_NB-01|AJ126</t>
        </is>
      </c>
      <c r="C454" s="4" t="n">
        <v>10</v>
      </c>
      <c r="D454" s="4" t="n">
        <v>2</v>
      </c>
      <c r="E454" s="4" t="inlineStr">
        <is>
          <t>nâu</t>
        </is>
      </c>
      <c r="F454" s="4" t="inlineStr"/>
      <c r="G454" s="4" t="inlineStr"/>
    </row>
    <row r="455">
      <c r="A455" s="4" t="inlineStr">
        <is>
          <t>MX_NB-01</t>
        </is>
      </c>
      <c r="B455" s="4" t="inlineStr">
        <is>
          <t>MX_NB-01|AJ126</t>
        </is>
      </c>
      <c r="C455" s="4" t="n">
        <v>11</v>
      </c>
      <c r="D455" s="4" t="n">
        <v>2</v>
      </c>
      <c r="E455" s="4" t="inlineStr">
        <is>
          <t>xám</t>
        </is>
      </c>
      <c r="F455" s="4" t="inlineStr"/>
      <c r="G455" s="4" t="inlineStr"/>
    </row>
    <row r="456">
      <c r="A456" s="4" t="inlineStr">
        <is>
          <t>MX_NB-01</t>
        </is>
      </c>
      <c r="B456" s="4" t="inlineStr">
        <is>
          <t>MX_NB-01|AJ126</t>
        </is>
      </c>
      <c r="C456" s="4" t="n">
        <v>12</v>
      </c>
      <c r="D456" s="4" t="n">
        <v>2</v>
      </c>
      <c r="E456" s="4" t="inlineStr">
        <is>
          <t>trắng</t>
        </is>
      </c>
      <c r="F456" s="4" t="inlineStr"/>
      <c r="G456" s="4" t="inlineStr"/>
    </row>
    <row r="457">
      <c r="A457" s="4" t="inlineStr">
        <is>
          <t>MX_NB-01</t>
        </is>
      </c>
      <c r="B457" s="4" t="inlineStr">
        <is>
          <t>MX_NB-01|AJ126</t>
        </is>
      </c>
      <c r="C457" s="4" t="n">
        <v>13</v>
      </c>
      <c r="D457" s="4" t="n">
        <v>3</v>
      </c>
      <c r="E457" s="4" t="inlineStr">
        <is>
          <t>xanh dương</t>
        </is>
      </c>
      <c r="F457" s="4" t="inlineStr"/>
      <c r="G457" s="4" t="inlineStr"/>
    </row>
    <row r="458">
      <c r="A458" s="4" t="inlineStr">
        <is>
          <t>MX_NB-01</t>
        </is>
      </c>
      <c r="B458" s="4" t="inlineStr">
        <is>
          <t>MX_NB-01|AJ126</t>
        </is>
      </c>
      <c r="C458" s="4" t="n">
        <v>14</v>
      </c>
      <c r="D458" s="4" t="n">
        <v>3</v>
      </c>
      <c r="E458" s="4" t="inlineStr">
        <is>
          <t>cam</t>
        </is>
      </c>
      <c r="F458" s="4" t="inlineStr"/>
      <c r="G458" s="4" t="inlineStr"/>
    </row>
    <row r="459">
      <c r="A459" s="4" t="inlineStr">
        <is>
          <t>MX_NB-01</t>
        </is>
      </c>
      <c r="B459" s="4" t="inlineStr">
        <is>
          <t>MX_NB-01|AJ126</t>
        </is>
      </c>
      <c r="C459" s="4" t="n">
        <v>15</v>
      </c>
      <c r="D459" s="4" t="n">
        <v>3</v>
      </c>
      <c r="E459" s="4" t="inlineStr">
        <is>
          <t>xanh lá</t>
        </is>
      </c>
      <c r="F459" s="4" t="inlineStr"/>
      <c r="G459" s="4" t="inlineStr"/>
    </row>
    <row r="460">
      <c r="A460" s="4" t="inlineStr">
        <is>
          <t>MX_NB-01</t>
        </is>
      </c>
      <c r="B460" s="4" t="inlineStr">
        <is>
          <t>MX_NB-01|AJ126</t>
        </is>
      </c>
      <c r="C460" s="4" t="n">
        <v>16</v>
      </c>
      <c r="D460" s="4" t="n">
        <v>3</v>
      </c>
      <c r="E460" s="4" t="inlineStr">
        <is>
          <t>nâu</t>
        </is>
      </c>
      <c r="F460" s="4" t="inlineStr"/>
      <c r="G460" s="4" t="inlineStr"/>
    </row>
    <row r="461">
      <c r="A461" s="4" t="inlineStr">
        <is>
          <t>MX_NB-01</t>
        </is>
      </c>
      <c r="B461" s="4" t="inlineStr">
        <is>
          <t>MX_NB-01|AJ126</t>
        </is>
      </c>
      <c r="C461" s="4" t="n">
        <v>17</v>
      </c>
      <c r="D461" s="4" t="n">
        <v>3</v>
      </c>
      <c r="E461" s="4" t="inlineStr">
        <is>
          <t>xám</t>
        </is>
      </c>
      <c r="F461" s="4" t="inlineStr"/>
      <c r="G461" s="4" t="inlineStr"/>
    </row>
    <row r="462">
      <c r="A462" s="4" t="inlineStr">
        <is>
          <t>MX_NB-01</t>
        </is>
      </c>
      <c r="B462" s="4" t="inlineStr">
        <is>
          <t>MX_NB-01|AJ126</t>
        </is>
      </c>
      <c r="C462" s="4" t="n">
        <v>18</v>
      </c>
      <c r="D462" s="4" t="n">
        <v>3</v>
      </c>
      <c r="E462" s="4" t="inlineStr">
        <is>
          <t>trắng</t>
        </is>
      </c>
      <c r="F462" s="4" t="inlineStr"/>
      <c r="G462" s="4" t="inlineStr"/>
    </row>
    <row r="463">
      <c r="A463" s="4" t="inlineStr">
        <is>
          <t>MX_NB-02</t>
        </is>
      </c>
      <c r="B463" s="4" t="inlineStr">
        <is>
          <t>MX_NB-02|BI109</t>
        </is>
      </c>
      <c r="C463" s="4" t="n">
        <v>1</v>
      </c>
      <c r="D463" s="4" t="n">
        <v>1</v>
      </c>
      <c r="E463" s="4" t="inlineStr">
        <is>
          <t>xanh dương</t>
        </is>
      </c>
      <c r="F463" s="4" t="inlineStr"/>
      <c r="G463" s="4" t="inlineStr"/>
    </row>
    <row r="464">
      <c r="A464" s="4" t="inlineStr">
        <is>
          <t>MX_NB-02</t>
        </is>
      </c>
      <c r="B464" s="4" t="inlineStr">
        <is>
          <t>MX_NB-02|BI109</t>
        </is>
      </c>
      <c r="C464" s="4" t="n">
        <v>2</v>
      </c>
      <c r="D464" s="4" t="n">
        <v>1</v>
      </c>
      <c r="E464" s="4" t="inlineStr">
        <is>
          <t>cam</t>
        </is>
      </c>
      <c r="F464" s="4" t="inlineStr"/>
      <c r="G464" s="4" t="inlineStr"/>
    </row>
    <row r="465">
      <c r="A465" s="4" t="inlineStr">
        <is>
          <t>MX_NB-02</t>
        </is>
      </c>
      <c r="B465" s="4" t="inlineStr">
        <is>
          <t>MX_NB-02|BI109</t>
        </is>
      </c>
      <c r="C465" s="4" t="n">
        <v>3</v>
      </c>
      <c r="D465" s="4" t="n">
        <v>1</v>
      </c>
      <c r="E465" s="4" t="inlineStr">
        <is>
          <t>xanh lá</t>
        </is>
      </c>
      <c r="F465" s="4" t="inlineStr"/>
      <c r="G465" s="4" t="inlineStr"/>
    </row>
    <row r="466">
      <c r="A466" s="4" t="inlineStr">
        <is>
          <t>MX_NB-02</t>
        </is>
      </c>
      <c r="B466" s="4" t="inlineStr">
        <is>
          <t>MX_NB-02|BI109</t>
        </is>
      </c>
      <c r="C466" s="4" t="n">
        <v>4</v>
      </c>
      <c r="D466" s="4" t="n">
        <v>1</v>
      </c>
      <c r="E466" s="4" t="inlineStr">
        <is>
          <t>nâu</t>
        </is>
      </c>
      <c r="F466" s="4" t="inlineStr"/>
      <c r="G466" s="4" t="inlineStr"/>
    </row>
    <row r="467">
      <c r="A467" s="4" t="inlineStr">
        <is>
          <t>MX_NB-02</t>
        </is>
      </c>
      <c r="B467" s="4" t="inlineStr">
        <is>
          <t>MX_NB-02|BI109</t>
        </is>
      </c>
      <c r="C467" s="4" t="n">
        <v>5</v>
      </c>
      <c r="D467" s="4" t="n">
        <v>1</v>
      </c>
      <c r="E467" s="4" t="inlineStr">
        <is>
          <t>xám</t>
        </is>
      </c>
      <c r="F467" s="4" t="inlineStr"/>
      <c r="G467" s="4" t="inlineStr"/>
    </row>
    <row r="468">
      <c r="A468" s="4" t="inlineStr">
        <is>
          <t>MX_NB-02</t>
        </is>
      </c>
      <c r="B468" s="4" t="inlineStr">
        <is>
          <t>MX_NB-02|BI109</t>
        </is>
      </c>
      <c r="C468" s="4" t="n">
        <v>6</v>
      </c>
      <c r="D468" s="4" t="n">
        <v>1</v>
      </c>
      <c r="E468" s="4" t="inlineStr">
        <is>
          <t>trắng</t>
        </is>
      </c>
      <c r="F468" s="4" t="inlineStr"/>
      <c r="G468" s="4" t="inlineStr"/>
    </row>
    <row r="469">
      <c r="A469" s="4" t="inlineStr">
        <is>
          <t>MX_NB-02</t>
        </is>
      </c>
      <c r="B469" s="4" t="inlineStr">
        <is>
          <t>MX_NB-02|BI109</t>
        </is>
      </c>
      <c r="C469" s="4" t="n">
        <v>7</v>
      </c>
      <c r="D469" s="4" t="n">
        <v>2</v>
      </c>
      <c r="E469" s="4" t="inlineStr">
        <is>
          <t>xanh dương</t>
        </is>
      </c>
      <c r="F469" s="4" t="inlineStr"/>
      <c r="G469" s="4" t="inlineStr"/>
    </row>
    <row r="470">
      <c r="A470" s="4" t="inlineStr">
        <is>
          <t>MX_NB-02</t>
        </is>
      </c>
      <c r="B470" s="4" t="inlineStr">
        <is>
          <t>MX_NB-02|BI109</t>
        </is>
      </c>
      <c r="C470" s="4" t="n">
        <v>8</v>
      </c>
      <c r="D470" s="4" t="n">
        <v>2</v>
      </c>
      <c r="E470" s="4" t="inlineStr">
        <is>
          <t>cam</t>
        </is>
      </c>
      <c r="F470" s="4" t="inlineStr"/>
      <c r="G470" s="4" t="inlineStr"/>
    </row>
    <row r="471">
      <c r="A471" s="4" t="inlineStr">
        <is>
          <t>MX_NB-02</t>
        </is>
      </c>
      <c r="B471" s="4" t="inlineStr">
        <is>
          <t>MX_NB-02|BI109</t>
        </is>
      </c>
      <c r="C471" s="4" t="n">
        <v>9</v>
      </c>
      <c r="D471" s="4" t="n">
        <v>2</v>
      </c>
      <c r="E471" s="4" t="inlineStr">
        <is>
          <t>xanh lá</t>
        </is>
      </c>
      <c r="F471" s="4" t="inlineStr"/>
      <c r="G471" s="4" t="inlineStr"/>
    </row>
    <row r="472">
      <c r="A472" s="4" t="inlineStr">
        <is>
          <t>MX_NB-02</t>
        </is>
      </c>
      <c r="B472" s="4" t="inlineStr">
        <is>
          <t>MX_NB-02|BI109</t>
        </is>
      </c>
      <c r="C472" s="4" t="n">
        <v>10</v>
      </c>
      <c r="D472" s="4" t="n">
        <v>2</v>
      </c>
      <c r="E472" s="4" t="inlineStr">
        <is>
          <t>nâu</t>
        </is>
      </c>
      <c r="F472" s="4" t="inlineStr"/>
      <c r="G472" s="4" t="inlineStr"/>
    </row>
    <row r="473">
      <c r="A473" s="4" t="inlineStr">
        <is>
          <t>MX_NB-02</t>
        </is>
      </c>
      <c r="B473" s="4" t="inlineStr">
        <is>
          <t>MX_NB-02|BI109</t>
        </is>
      </c>
      <c r="C473" s="4" t="n">
        <v>11</v>
      </c>
      <c r="D473" s="4" t="n">
        <v>2</v>
      </c>
      <c r="E473" s="4" t="inlineStr">
        <is>
          <t>xám</t>
        </is>
      </c>
      <c r="F473" s="4" t="inlineStr"/>
      <c r="G473" s="4" t="inlineStr"/>
    </row>
    <row r="474">
      <c r="A474" s="4" t="inlineStr">
        <is>
          <t>MX_NB-02</t>
        </is>
      </c>
      <c r="B474" s="4" t="inlineStr">
        <is>
          <t>MX_NB-02|BI109</t>
        </is>
      </c>
      <c r="C474" s="4" t="n">
        <v>12</v>
      </c>
      <c r="D474" s="4" t="n">
        <v>2</v>
      </c>
      <c r="E474" s="4" t="inlineStr">
        <is>
          <t>trắng</t>
        </is>
      </c>
      <c r="F474" s="4" t="inlineStr"/>
      <c r="G474" s="4" t="inlineStr"/>
    </row>
    <row r="475">
      <c r="A475" s="4" t="inlineStr">
        <is>
          <t>MX_NB-02</t>
        </is>
      </c>
      <c r="B475" s="4" t="inlineStr">
        <is>
          <t>MX_NB-02|BV109</t>
        </is>
      </c>
      <c r="C475" s="4" t="n">
        <v>1</v>
      </c>
      <c r="D475" s="4" t="n">
        <v>1</v>
      </c>
      <c r="E475" s="4" t="inlineStr">
        <is>
          <t>xanh dương</t>
        </is>
      </c>
      <c r="F475" s="4" t="inlineStr"/>
      <c r="G475" s="4" t="inlineStr"/>
    </row>
    <row r="476">
      <c r="A476" s="4" t="inlineStr">
        <is>
          <t>MX_NB-02</t>
        </is>
      </c>
      <c r="B476" s="4" t="inlineStr">
        <is>
          <t>MX_NB-02|BV109</t>
        </is>
      </c>
      <c r="C476" s="4" t="n">
        <v>2</v>
      </c>
      <c r="D476" s="4" t="n">
        <v>1</v>
      </c>
      <c r="E476" s="4" t="inlineStr">
        <is>
          <t>cam</t>
        </is>
      </c>
      <c r="F476" s="4" t="inlineStr"/>
      <c r="G476" s="4" t="inlineStr"/>
    </row>
    <row r="477">
      <c r="A477" s="4" t="inlineStr">
        <is>
          <t>MX_NB-02</t>
        </is>
      </c>
      <c r="B477" s="4" t="inlineStr">
        <is>
          <t>MX_NB-02|BV109</t>
        </is>
      </c>
      <c r="C477" s="4" t="n">
        <v>3</v>
      </c>
      <c r="D477" s="4" t="n">
        <v>1</v>
      </c>
      <c r="E477" s="4" t="inlineStr">
        <is>
          <t>xanh lá</t>
        </is>
      </c>
      <c r="F477" s="4" t="inlineStr"/>
      <c r="G477" s="4" t="inlineStr"/>
    </row>
    <row r="478">
      <c r="A478" s="4" t="inlineStr">
        <is>
          <t>MX_NB-02</t>
        </is>
      </c>
      <c r="B478" s="4" t="inlineStr">
        <is>
          <t>MX_NB-02|BV109</t>
        </is>
      </c>
      <c r="C478" s="4" t="n">
        <v>4</v>
      </c>
      <c r="D478" s="4" t="n">
        <v>1</v>
      </c>
      <c r="E478" s="4" t="inlineStr">
        <is>
          <t>nâu</t>
        </is>
      </c>
      <c r="F478" s="4" t="inlineStr"/>
      <c r="G478" s="4" t="inlineStr"/>
    </row>
    <row r="479">
      <c r="A479" s="4" t="inlineStr">
        <is>
          <t>MX_NB-02</t>
        </is>
      </c>
      <c r="B479" s="4" t="inlineStr">
        <is>
          <t>MX_NB-02|BV109</t>
        </is>
      </c>
      <c r="C479" s="4" t="n">
        <v>5</v>
      </c>
      <c r="D479" s="4" t="n">
        <v>1</v>
      </c>
      <c r="E479" s="4" t="inlineStr">
        <is>
          <t>xám</t>
        </is>
      </c>
      <c r="F479" s="4" t="inlineStr"/>
      <c r="G479" s="4" t="inlineStr"/>
    </row>
    <row r="480">
      <c r="A480" s="4" t="inlineStr">
        <is>
          <t>MX_NB-02</t>
        </is>
      </c>
      <c r="B480" s="4" t="inlineStr">
        <is>
          <t>MX_NB-02|BV109</t>
        </is>
      </c>
      <c r="C480" s="4" t="n">
        <v>6</v>
      </c>
      <c r="D480" s="4" t="n">
        <v>1</v>
      </c>
      <c r="E480" s="4" t="inlineStr">
        <is>
          <t>trắng</t>
        </is>
      </c>
      <c r="F480" s="4" t="inlineStr"/>
      <c r="G480" s="4" t="inlineStr"/>
    </row>
    <row r="481">
      <c r="A481" s="4" t="inlineStr">
        <is>
          <t>MX_NB-02</t>
        </is>
      </c>
      <c r="B481" s="4" t="inlineStr">
        <is>
          <t>MX_NB-02|BV109</t>
        </is>
      </c>
      <c r="C481" s="4" t="n">
        <v>7</v>
      </c>
      <c r="D481" s="4" t="n">
        <v>2</v>
      </c>
      <c r="E481" s="4" t="inlineStr">
        <is>
          <t>xanh dương</t>
        </is>
      </c>
      <c r="F481" s="4" t="inlineStr"/>
      <c r="G481" s="4" t="inlineStr"/>
    </row>
    <row r="482">
      <c r="A482" s="4" t="inlineStr">
        <is>
          <t>MX_NB-02</t>
        </is>
      </c>
      <c r="B482" s="4" t="inlineStr">
        <is>
          <t>MX_NB-02|BV109</t>
        </is>
      </c>
      <c r="C482" s="4" t="n">
        <v>8</v>
      </c>
      <c r="D482" s="4" t="n">
        <v>2</v>
      </c>
      <c r="E482" s="4" t="inlineStr">
        <is>
          <t>cam</t>
        </is>
      </c>
      <c r="F482" s="4" t="inlineStr"/>
      <c r="G482" s="4" t="inlineStr"/>
    </row>
    <row r="483">
      <c r="A483" s="4" t="inlineStr">
        <is>
          <t>MX_NB-02</t>
        </is>
      </c>
      <c r="B483" s="4" t="inlineStr">
        <is>
          <t>MX_NB-02|BI122</t>
        </is>
      </c>
      <c r="C483" s="4" t="n">
        <v>1</v>
      </c>
      <c r="D483" s="4" t="n">
        <v>1</v>
      </c>
      <c r="E483" s="4" t="inlineStr">
        <is>
          <t>xanh dương</t>
        </is>
      </c>
      <c r="F483" s="4" t="inlineStr"/>
      <c r="G483" s="4" t="inlineStr"/>
    </row>
    <row r="484">
      <c r="A484" s="4" t="inlineStr">
        <is>
          <t>MX_NB-02</t>
        </is>
      </c>
      <c r="B484" s="4" t="inlineStr">
        <is>
          <t>MX_NB-02|BI122</t>
        </is>
      </c>
      <c r="C484" s="4" t="n">
        <v>2</v>
      </c>
      <c r="D484" s="4" t="n">
        <v>1</v>
      </c>
      <c r="E484" s="4" t="inlineStr">
        <is>
          <t>cam</t>
        </is>
      </c>
      <c r="F484" s="4" t="inlineStr"/>
      <c r="G484" s="4" t="inlineStr"/>
    </row>
    <row r="485">
      <c r="A485" s="4" t="inlineStr">
        <is>
          <t>MX_NB-02</t>
        </is>
      </c>
      <c r="B485" s="4" t="inlineStr">
        <is>
          <t>MX_NB-02|BI122</t>
        </is>
      </c>
      <c r="C485" s="4" t="n">
        <v>3</v>
      </c>
      <c r="D485" s="4" t="n">
        <v>1</v>
      </c>
      <c r="E485" s="4" t="inlineStr">
        <is>
          <t>xanh lá</t>
        </is>
      </c>
      <c r="F485" s="4" t="inlineStr"/>
      <c r="G485" s="4" t="inlineStr"/>
    </row>
    <row r="486">
      <c r="A486" s="4" t="inlineStr">
        <is>
          <t>MX_NB-02</t>
        </is>
      </c>
      <c r="B486" s="4" t="inlineStr">
        <is>
          <t>MX_NB-02|BI122</t>
        </is>
      </c>
      <c r="C486" s="4" t="n">
        <v>4</v>
      </c>
      <c r="D486" s="4" t="n">
        <v>1</v>
      </c>
      <c r="E486" s="4" t="inlineStr">
        <is>
          <t>nâu</t>
        </is>
      </c>
      <c r="F486" s="4" t="inlineStr"/>
      <c r="G486" s="4" t="inlineStr"/>
    </row>
    <row r="487">
      <c r="A487" s="4" t="inlineStr">
        <is>
          <t>MX_NB-02</t>
        </is>
      </c>
      <c r="B487" s="4" t="inlineStr">
        <is>
          <t>MX_NB-02|BI122</t>
        </is>
      </c>
      <c r="C487" s="4" t="n">
        <v>5</v>
      </c>
      <c r="D487" s="4" t="n">
        <v>1</v>
      </c>
      <c r="E487" s="4" t="inlineStr">
        <is>
          <t>xám</t>
        </is>
      </c>
      <c r="F487" s="4" t="inlineStr"/>
      <c r="G487" s="4" t="inlineStr"/>
    </row>
    <row r="488">
      <c r="A488" s="4" t="inlineStr">
        <is>
          <t>MX_NB-02</t>
        </is>
      </c>
      <c r="B488" s="4" t="inlineStr">
        <is>
          <t>MX_NB-02|BI122</t>
        </is>
      </c>
      <c r="C488" s="4" t="n">
        <v>6</v>
      </c>
      <c r="D488" s="4" t="n">
        <v>1</v>
      </c>
      <c r="E488" s="4" t="inlineStr">
        <is>
          <t>trắng</t>
        </is>
      </c>
      <c r="F488" s="4" t="inlineStr"/>
      <c r="G488" s="4" t="inlineStr"/>
    </row>
    <row r="489">
      <c r="A489" s="4" t="inlineStr">
        <is>
          <t>MX_NB-02</t>
        </is>
      </c>
      <c r="B489" s="4" t="inlineStr">
        <is>
          <t>MX_NB-02|BI122</t>
        </is>
      </c>
      <c r="C489" s="4" t="n">
        <v>7</v>
      </c>
      <c r="D489" s="4" t="n">
        <v>2</v>
      </c>
      <c r="E489" s="4" t="inlineStr">
        <is>
          <t>xanh dương</t>
        </is>
      </c>
      <c r="F489" s="4" t="inlineStr"/>
      <c r="G489" s="4" t="inlineStr"/>
    </row>
    <row r="490">
      <c r="A490" s="4" t="inlineStr">
        <is>
          <t>MX_NB-02</t>
        </is>
      </c>
      <c r="B490" s="4" t="inlineStr">
        <is>
          <t>MX_NB-02|BI122</t>
        </is>
      </c>
      <c r="C490" s="4" t="n">
        <v>8</v>
      </c>
      <c r="D490" s="4" t="n">
        <v>2</v>
      </c>
      <c r="E490" s="4" t="inlineStr">
        <is>
          <t>cam</t>
        </is>
      </c>
      <c r="F490" s="4" t="inlineStr"/>
      <c r="G490" s="4" t="inlineStr"/>
    </row>
    <row r="491">
      <c r="A491" s="4" t="inlineStr">
        <is>
          <t>MX_NB-02</t>
        </is>
      </c>
      <c r="B491" s="4" t="inlineStr">
        <is>
          <t>MX_NB-02|BI122</t>
        </is>
      </c>
      <c r="C491" s="4" t="n">
        <v>9</v>
      </c>
      <c r="D491" s="4" t="n">
        <v>2</v>
      </c>
      <c r="E491" s="4" t="inlineStr">
        <is>
          <t>xanh lá</t>
        </is>
      </c>
      <c r="F491" s="4" t="inlineStr"/>
      <c r="G491" s="4" t="inlineStr"/>
    </row>
    <row r="492">
      <c r="A492" s="4" t="inlineStr">
        <is>
          <t>MX_NB-02</t>
        </is>
      </c>
      <c r="B492" s="4" t="inlineStr">
        <is>
          <t>MX_NB-02|BI122</t>
        </is>
      </c>
      <c r="C492" s="4" t="n">
        <v>10</v>
      </c>
      <c r="D492" s="4" t="n">
        <v>2</v>
      </c>
      <c r="E492" s="4" t="inlineStr">
        <is>
          <t>nâu</t>
        </is>
      </c>
      <c r="F492" s="4" t="inlineStr"/>
      <c r="G492" s="4" t="inlineStr"/>
    </row>
    <row r="493">
      <c r="A493" s="4" t="inlineStr">
        <is>
          <t>MX_NB-02</t>
        </is>
      </c>
      <c r="B493" s="4" t="inlineStr">
        <is>
          <t>MX_NB-02|BI122</t>
        </is>
      </c>
      <c r="C493" s="4" t="n">
        <v>11</v>
      </c>
      <c r="D493" s="4" t="n">
        <v>2</v>
      </c>
      <c r="E493" s="4" t="inlineStr">
        <is>
          <t>xám</t>
        </is>
      </c>
      <c r="F493" s="4" t="inlineStr"/>
      <c r="G493" s="4" t="inlineStr"/>
    </row>
    <row r="494">
      <c r="A494" s="4" t="inlineStr">
        <is>
          <t>MX_NB-02</t>
        </is>
      </c>
      <c r="B494" s="4" t="inlineStr">
        <is>
          <t>MX_NB-02|BI122</t>
        </is>
      </c>
      <c r="C494" s="4" t="n">
        <v>12</v>
      </c>
      <c r="D494" s="4" t="n">
        <v>2</v>
      </c>
      <c r="E494" s="4" t="inlineStr">
        <is>
          <t>trắng</t>
        </is>
      </c>
      <c r="F494" s="4" t="inlineStr"/>
      <c r="G494" s="4" t="inlineStr"/>
    </row>
    <row r="495">
      <c r="A495" s="4" t="inlineStr">
        <is>
          <t>MX_HTP-03B</t>
        </is>
      </c>
      <c r="B495" s="4" t="inlineStr">
        <is>
          <t>MX_HTP-03B|CE109</t>
        </is>
      </c>
      <c r="C495" s="4" t="n">
        <v>1</v>
      </c>
      <c r="D495" s="4" t="n">
        <v>1</v>
      </c>
      <c r="E495" s="4" t="inlineStr">
        <is>
          <t>xanh dương</t>
        </is>
      </c>
      <c r="F495" s="4" t="inlineStr"/>
      <c r="G495" s="4" t="inlineStr"/>
    </row>
    <row r="496">
      <c r="A496" s="4" t="inlineStr">
        <is>
          <t>MX_HTP-03B</t>
        </is>
      </c>
      <c r="B496" s="4" t="inlineStr">
        <is>
          <t>MX_HTP-03B|CE109</t>
        </is>
      </c>
      <c r="C496" s="4" t="n">
        <v>2</v>
      </c>
      <c r="D496" s="4" t="n">
        <v>1</v>
      </c>
      <c r="E496" s="4" t="inlineStr">
        <is>
          <t>cam</t>
        </is>
      </c>
      <c r="F496" s="4" t="inlineStr"/>
      <c r="G496" s="4" t="inlineStr"/>
    </row>
    <row r="497">
      <c r="A497" s="4" t="inlineStr">
        <is>
          <t>MX_HTP-03B</t>
        </is>
      </c>
      <c r="B497" s="4" t="inlineStr">
        <is>
          <t>MX_HTP-03B|CE109</t>
        </is>
      </c>
      <c r="C497" s="4" t="n">
        <v>3</v>
      </c>
      <c r="D497" s="4" t="n">
        <v>1</v>
      </c>
      <c r="E497" s="4" t="inlineStr">
        <is>
          <t>xanh lá</t>
        </is>
      </c>
      <c r="F497" s="4" t="inlineStr"/>
      <c r="G497" s="4" t="inlineStr"/>
    </row>
    <row r="498">
      <c r="A498" s="4" t="inlineStr">
        <is>
          <t>MX_HTP-03B</t>
        </is>
      </c>
      <c r="B498" s="4" t="inlineStr">
        <is>
          <t>MX_HTP-03B|CE109</t>
        </is>
      </c>
      <c r="C498" s="4" t="n">
        <v>4</v>
      </c>
      <c r="D498" s="4" t="n">
        <v>1</v>
      </c>
      <c r="E498" s="4" t="inlineStr">
        <is>
          <t>nâu</t>
        </is>
      </c>
      <c r="F498" s="4" t="inlineStr"/>
      <c r="G498" s="4" t="inlineStr"/>
    </row>
    <row r="499">
      <c r="A499" s="4" t="inlineStr">
        <is>
          <t>MX_HTP-03B</t>
        </is>
      </c>
      <c r="B499" s="4" t="inlineStr">
        <is>
          <t>MX_HTP-03B|CE109</t>
        </is>
      </c>
      <c r="C499" s="4" t="n">
        <v>5</v>
      </c>
      <c r="D499" s="4" t="n">
        <v>1</v>
      </c>
      <c r="E499" s="4" t="inlineStr">
        <is>
          <t>xám</t>
        </is>
      </c>
      <c r="F499" s="4" t="inlineStr"/>
      <c r="G499" s="4" t="inlineStr"/>
    </row>
    <row r="500">
      <c r="A500" s="4" t="inlineStr">
        <is>
          <t>MX_HTP-03B</t>
        </is>
      </c>
      <c r="B500" s="4" t="inlineStr">
        <is>
          <t>MX_HTP-03B|CE109</t>
        </is>
      </c>
      <c r="C500" s="4" t="n">
        <v>6</v>
      </c>
      <c r="D500" s="4" t="n">
        <v>1</v>
      </c>
      <c r="E500" s="4" t="inlineStr">
        <is>
          <t>trắng</t>
        </is>
      </c>
      <c r="F500" s="4" t="inlineStr"/>
      <c r="G500" s="4" t="inlineStr"/>
    </row>
    <row r="501">
      <c r="A501" s="4" t="inlineStr">
        <is>
          <t>MX_HTP-03B</t>
        </is>
      </c>
      <c r="B501" s="4" t="inlineStr">
        <is>
          <t>MX_HTP-03B|CE109</t>
        </is>
      </c>
      <c r="C501" s="4" t="n">
        <v>7</v>
      </c>
      <c r="D501" s="4" t="n">
        <v>2</v>
      </c>
      <c r="E501" s="4" t="inlineStr">
        <is>
          <t>xanh dương</t>
        </is>
      </c>
      <c r="F501" s="4" t="inlineStr"/>
      <c r="G501" s="4" t="inlineStr"/>
    </row>
    <row r="502">
      <c r="A502" s="4" t="inlineStr">
        <is>
          <t>MX_HTP-03B</t>
        </is>
      </c>
      <c r="B502" s="4" t="inlineStr">
        <is>
          <t>MX_HTP-03B|CE109</t>
        </is>
      </c>
      <c r="C502" s="4" t="n">
        <v>8</v>
      </c>
      <c r="D502" s="4" t="n">
        <v>2</v>
      </c>
      <c r="E502" s="4" t="inlineStr">
        <is>
          <t>cam</t>
        </is>
      </c>
      <c r="F502" s="4" t="inlineStr"/>
      <c r="G502" s="4" t="inlineStr"/>
    </row>
    <row r="503">
      <c r="A503" s="4" t="inlineStr">
        <is>
          <t>MX_HTP-03B</t>
        </is>
      </c>
      <c r="B503" s="4" t="inlineStr">
        <is>
          <t>MX_HTP-03B|CE109</t>
        </is>
      </c>
      <c r="C503" s="4" t="n">
        <v>9</v>
      </c>
      <c r="D503" s="4" t="n">
        <v>2</v>
      </c>
      <c r="E503" s="4" t="inlineStr">
        <is>
          <t>xanh lá</t>
        </is>
      </c>
      <c r="F503" s="4" t="inlineStr"/>
      <c r="G503" s="4" t="inlineStr"/>
    </row>
    <row r="504">
      <c r="A504" s="4" t="inlineStr">
        <is>
          <t>MX_HTP-03B</t>
        </is>
      </c>
      <c r="B504" s="4" t="inlineStr">
        <is>
          <t>MX_HTP-03B|CE109</t>
        </is>
      </c>
      <c r="C504" s="4" t="n">
        <v>10</v>
      </c>
      <c r="D504" s="4" t="n">
        <v>2</v>
      </c>
      <c r="E504" s="4" t="inlineStr">
        <is>
          <t>nâu</t>
        </is>
      </c>
      <c r="F504" s="4" t="inlineStr"/>
      <c r="G504" s="4" t="inlineStr"/>
    </row>
    <row r="505">
      <c r="A505" s="4" t="inlineStr">
        <is>
          <t>MX_HTP-03B</t>
        </is>
      </c>
      <c r="B505" s="4" t="inlineStr">
        <is>
          <t>MX_HTP-03B|CE109</t>
        </is>
      </c>
      <c r="C505" s="4" t="n">
        <v>11</v>
      </c>
      <c r="D505" s="4" t="n">
        <v>2</v>
      </c>
      <c r="E505" s="4" t="inlineStr">
        <is>
          <t>xám</t>
        </is>
      </c>
      <c r="F505" s="4" t="inlineStr"/>
      <c r="G505" s="4" t="inlineStr"/>
    </row>
    <row r="506">
      <c r="A506" s="4" t="inlineStr">
        <is>
          <t>MX_HTP-03B</t>
        </is>
      </c>
      <c r="B506" s="4" t="inlineStr">
        <is>
          <t>MX_HTP-03B|CE109</t>
        </is>
      </c>
      <c r="C506" s="4" t="n">
        <v>12</v>
      </c>
      <c r="D506" s="4" t="n">
        <v>2</v>
      </c>
      <c r="E506" s="4" t="inlineStr">
        <is>
          <t>trắng</t>
        </is>
      </c>
      <c r="F506" s="4" t="inlineStr"/>
      <c r="G506" s="4" t="inlineStr"/>
    </row>
    <row r="507">
      <c r="A507" s="4" t="inlineStr">
        <is>
          <t>MX_HTP-03B</t>
        </is>
      </c>
      <c r="B507" s="4" t="inlineStr">
        <is>
          <t>MX_HTP-03B|CE109</t>
        </is>
      </c>
      <c r="C507" s="4" t="n">
        <v>13</v>
      </c>
      <c r="D507" s="4" t="n">
        <v>3</v>
      </c>
      <c r="E507" s="4" t="inlineStr">
        <is>
          <t>xanh dương</t>
        </is>
      </c>
      <c r="F507" s="4" t="inlineStr"/>
      <c r="G507" s="4" t="inlineStr"/>
    </row>
    <row r="508">
      <c r="A508" s="4" t="inlineStr">
        <is>
          <t>MX_HTP-03B</t>
        </is>
      </c>
      <c r="B508" s="4" t="inlineStr">
        <is>
          <t>MX_HTP-03B|CE109</t>
        </is>
      </c>
      <c r="C508" s="4" t="n">
        <v>14</v>
      </c>
      <c r="D508" s="4" t="n">
        <v>3</v>
      </c>
      <c r="E508" s="4" t="inlineStr">
        <is>
          <t>cam</t>
        </is>
      </c>
      <c r="F508" s="4" t="inlineStr"/>
      <c r="G508" s="4" t="inlineStr"/>
    </row>
    <row r="509">
      <c r="A509" s="4" t="inlineStr">
        <is>
          <t>MX_HTP-03B</t>
        </is>
      </c>
      <c r="B509" s="4" t="inlineStr">
        <is>
          <t>MX_HTP-03B|CE109</t>
        </is>
      </c>
      <c r="C509" s="4" t="n">
        <v>15</v>
      </c>
      <c r="D509" s="4" t="n">
        <v>3</v>
      </c>
      <c r="E509" s="4" t="inlineStr">
        <is>
          <t>xanh lá</t>
        </is>
      </c>
      <c r="F509" s="4" t="inlineStr"/>
      <c r="G509" s="4" t="inlineStr"/>
    </row>
    <row r="510">
      <c r="A510" s="4" t="inlineStr">
        <is>
          <t>MX_HTP-03B</t>
        </is>
      </c>
      <c r="B510" s="4" t="inlineStr">
        <is>
          <t>MX_HTP-03B|CE109</t>
        </is>
      </c>
      <c r="C510" s="4" t="n">
        <v>16</v>
      </c>
      <c r="D510" s="4" t="n">
        <v>3</v>
      </c>
      <c r="E510" s="4" t="inlineStr">
        <is>
          <t>nâu</t>
        </is>
      </c>
      <c r="F510" s="4" t="inlineStr"/>
      <c r="G510" s="4" t="inlineStr"/>
    </row>
    <row r="511">
      <c r="A511" s="4" t="inlineStr">
        <is>
          <t>MX_HTP-03B</t>
        </is>
      </c>
      <c r="B511" s="4" t="inlineStr">
        <is>
          <t>MX_HTP-03B|CE109</t>
        </is>
      </c>
      <c r="C511" s="4" t="n">
        <v>17</v>
      </c>
      <c r="D511" s="4" t="n">
        <v>3</v>
      </c>
      <c r="E511" s="4" t="inlineStr">
        <is>
          <t>xám</t>
        </is>
      </c>
      <c r="F511" s="4" t="inlineStr"/>
      <c r="G511" s="4" t="inlineStr"/>
    </row>
    <row r="512">
      <c r="A512" s="4" t="inlineStr">
        <is>
          <t>MX_HTP-03B</t>
        </is>
      </c>
      <c r="B512" s="4" t="inlineStr">
        <is>
          <t>MX_HTP-03B|CE109</t>
        </is>
      </c>
      <c r="C512" s="4" t="n">
        <v>18</v>
      </c>
      <c r="D512" s="4" t="n">
        <v>3</v>
      </c>
      <c r="E512" s="4" t="inlineStr">
        <is>
          <t>trắng</t>
        </is>
      </c>
      <c r="F512" s="4" t="inlineStr"/>
      <c r="G512" s="4" t="inlineStr"/>
    </row>
    <row r="513">
      <c r="A513" s="4" t="inlineStr">
        <is>
          <t>MX_HTP-03B</t>
        </is>
      </c>
      <c r="B513" s="4" t="inlineStr">
        <is>
          <t>MX_HTP-03B|CE109</t>
        </is>
      </c>
      <c r="C513" s="4" t="n">
        <v>19</v>
      </c>
      <c r="D513" s="4" t="n">
        <v>4</v>
      </c>
      <c r="E513" s="4" t="inlineStr">
        <is>
          <t>xanh dương</t>
        </is>
      </c>
      <c r="F513" s="4" t="inlineStr"/>
      <c r="G513" s="4" t="inlineStr"/>
    </row>
    <row r="514">
      <c r="A514" s="4" t="inlineStr">
        <is>
          <t>MX_HTP-03B</t>
        </is>
      </c>
      <c r="B514" s="4" t="inlineStr">
        <is>
          <t>MX_HTP-03B|CE109</t>
        </is>
      </c>
      <c r="C514" s="4" t="n">
        <v>20</v>
      </c>
      <c r="D514" s="4" t="n">
        <v>4</v>
      </c>
      <c r="E514" s="4" t="inlineStr">
        <is>
          <t>cam</t>
        </is>
      </c>
      <c r="F514" s="4" t="inlineStr"/>
      <c r="G514" s="4" t="inlineStr"/>
    </row>
    <row r="515">
      <c r="A515" s="4" t="inlineStr">
        <is>
          <t>MX_HTP-03B</t>
        </is>
      </c>
      <c r="B515" s="4" t="inlineStr">
        <is>
          <t>MX_HTP-03B|CE109</t>
        </is>
      </c>
      <c r="C515" s="4" t="n">
        <v>21</v>
      </c>
      <c r="D515" s="4" t="n">
        <v>4</v>
      </c>
      <c r="E515" s="4" t="inlineStr">
        <is>
          <t>xanh lá</t>
        </is>
      </c>
      <c r="F515" s="4" t="inlineStr"/>
      <c r="G515" s="4" t="inlineStr"/>
    </row>
    <row r="516">
      <c r="A516" s="4" t="inlineStr">
        <is>
          <t>MX_HTP-03B</t>
        </is>
      </c>
      <c r="B516" s="4" t="inlineStr">
        <is>
          <t>MX_HTP-03B|CE109</t>
        </is>
      </c>
      <c r="C516" s="4" t="n">
        <v>22</v>
      </c>
      <c r="D516" s="4" t="n">
        <v>4</v>
      </c>
      <c r="E516" s="4" t="inlineStr">
        <is>
          <t>nâu</t>
        </is>
      </c>
      <c r="F516" s="4" t="inlineStr"/>
      <c r="G516" s="4" t="inlineStr"/>
    </row>
    <row r="517">
      <c r="A517" s="4" t="inlineStr">
        <is>
          <t>MX_HTP-03B</t>
        </is>
      </c>
      <c r="B517" s="4" t="inlineStr">
        <is>
          <t>MX_HTP-03B|CE109</t>
        </is>
      </c>
      <c r="C517" s="4" t="n">
        <v>23</v>
      </c>
      <c r="D517" s="4" t="n">
        <v>4</v>
      </c>
      <c r="E517" s="4" t="inlineStr">
        <is>
          <t>xám</t>
        </is>
      </c>
      <c r="F517" s="4" t="inlineStr"/>
      <c r="G517" s="4" t="inlineStr"/>
    </row>
    <row r="518">
      <c r="A518" s="4" t="inlineStr">
        <is>
          <t>MX_HTP-03B</t>
        </is>
      </c>
      <c r="B518" s="4" t="inlineStr">
        <is>
          <t>MX_HTP-03B|CE109</t>
        </is>
      </c>
      <c r="C518" s="4" t="n">
        <v>24</v>
      </c>
      <c r="D518" s="4" t="n">
        <v>4</v>
      </c>
      <c r="E518" s="4" t="inlineStr">
        <is>
          <t>trắng</t>
        </is>
      </c>
      <c r="F518" s="4" t="inlineStr"/>
      <c r="G518" s="4" t="inlineStr"/>
    </row>
    <row r="519">
      <c r="A519" s="4" t="inlineStr">
        <is>
          <t>MX_HTP-03B</t>
        </is>
      </c>
      <c r="B519" s="4" t="inlineStr">
        <is>
          <t>MX_HTP-03B|CE122</t>
        </is>
      </c>
      <c r="C519" s="4" t="n">
        <v>1</v>
      </c>
      <c r="D519" s="4" t="n">
        <v>1</v>
      </c>
      <c r="E519" s="4" t="inlineStr">
        <is>
          <t>xanh dương</t>
        </is>
      </c>
      <c r="F519" s="4" t="inlineStr"/>
      <c r="G519" s="4" t="inlineStr"/>
    </row>
    <row r="520">
      <c r="A520" s="4" t="inlineStr">
        <is>
          <t>MX_HTP-03B</t>
        </is>
      </c>
      <c r="B520" s="4" t="inlineStr">
        <is>
          <t>MX_HTP-03B|CE122</t>
        </is>
      </c>
      <c r="C520" s="4" t="n">
        <v>2</v>
      </c>
      <c r="D520" s="4" t="n">
        <v>1</v>
      </c>
      <c r="E520" s="4" t="inlineStr">
        <is>
          <t>cam</t>
        </is>
      </c>
      <c r="F520" s="4" t="inlineStr"/>
      <c r="G520" s="4" t="inlineStr"/>
    </row>
    <row r="521">
      <c r="A521" s="4" t="inlineStr">
        <is>
          <t>MX_HTP-03B</t>
        </is>
      </c>
      <c r="B521" s="4" t="inlineStr">
        <is>
          <t>MX_HTP-03B|CE122</t>
        </is>
      </c>
      <c r="C521" s="4" t="n">
        <v>3</v>
      </c>
      <c r="D521" s="4" t="n">
        <v>1</v>
      </c>
      <c r="E521" s="4" t="inlineStr">
        <is>
          <t>xanh lá</t>
        </is>
      </c>
      <c r="F521" s="4" t="inlineStr"/>
      <c r="G521" s="4" t="inlineStr"/>
    </row>
    <row r="522">
      <c r="A522" s="4" t="inlineStr">
        <is>
          <t>MX_HTP-03B</t>
        </is>
      </c>
      <c r="B522" s="4" t="inlineStr">
        <is>
          <t>MX_HTP-03B|CE122</t>
        </is>
      </c>
      <c r="C522" s="4" t="n">
        <v>4</v>
      </c>
      <c r="D522" s="4" t="n">
        <v>1</v>
      </c>
      <c r="E522" s="4" t="inlineStr">
        <is>
          <t>nâu</t>
        </is>
      </c>
      <c r="F522" s="4" t="inlineStr"/>
      <c r="G522" s="4" t="inlineStr"/>
    </row>
    <row r="523">
      <c r="A523" s="4" t="inlineStr">
        <is>
          <t>MX_HTP-03B</t>
        </is>
      </c>
      <c r="B523" s="4" t="inlineStr">
        <is>
          <t>MX_HTP-03B|CE122</t>
        </is>
      </c>
      <c r="C523" s="4" t="n">
        <v>5</v>
      </c>
      <c r="D523" s="4" t="n">
        <v>1</v>
      </c>
      <c r="E523" s="4" t="inlineStr">
        <is>
          <t>xám</t>
        </is>
      </c>
      <c r="F523" s="4" t="inlineStr"/>
      <c r="G523" s="4" t="inlineStr"/>
    </row>
    <row r="524">
      <c r="A524" s="4" t="inlineStr">
        <is>
          <t>MX_HTP-03B</t>
        </is>
      </c>
      <c r="B524" s="4" t="inlineStr">
        <is>
          <t>MX_HTP-03B|CE122</t>
        </is>
      </c>
      <c r="C524" s="4" t="n">
        <v>6</v>
      </c>
      <c r="D524" s="4" t="n">
        <v>1</v>
      </c>
      <c r="E524" s="4" t="inlineStr">
        <is>
          <t>trắng</t>
        </is>
      </c>
      <c r="F524" s="4" t="inlineStr"/>
      <c r="G524" s="4" t="inlineStr"/>
    </row>
    <row r="525">
      <c r="A525" s="4" t="inlineStr">
        <is>
          <t>MX_HTP-03B</t>
        </is>
      </c>
      <c r="B525" s="4" t="inlineStr">
        <is>
          <t>MX_HTP-03B|CE122</t>
        </is>
      </c>
      <c r="C525" s="4" t="n">
        <v>7</v>
      </c>
      <c r="D525" s="4" t="n">
        <v>2</v>
      </c>
      <c r="E525" s="4" t="inlineStr">
        <is>
          <t>xanh dương</t>
        </is>
      </c>
      <c r="F525" s="4" t="inlineStr"/>
      <c r="G525" s="4" t="inlineStr"/>
    </row>
    <row r="526">
      <c r="A526" s="4" t="inlineStr">
        <is>
          <t>MX_HTP-03B</t>
        </is>
      </c>
      <c r="B526" s="4" t="inlineStr">
        <is>
          <t>MX_HTP-03B|CE122</t>
        </is>
      </c>
      <c r="C526" s="4" t="n">
        <v>8</v>
      </c>
      <c r="D526" s="4" t="n">
        <v>2</v>
      </c>
      <c r="E526" s="4" t="inlineStr">
        <is>
          <t>cam</t>
        </is>
      </c>
      <c r="F526" s="4" t="inlineStr"/>
      <c r="G526" s="4" t="inlineStr"/>
    </row>
    <row r="527">
      <c r="A527" s="4" t="inlineStr">
        <is>
          <t>MX_HTP-03B</t>
        </is>
      </c>
      <c r="B527" s="4" t="inlineStr">
        <is>
          <t>MX_HTP-03B|CE122</t>
        </is>
      </c>
      <c r="C527" s="4" t="n">
        <v>9</v>
      </c>
      <c r="D527" s="4" t="n">
        <v>2</v>
      </c>
      <c r="E527" s="4" t="inlineStr">
        <is>
          <t>xanh lá</t>
        </is>
      </c>
      <c r="F527" s="4" t="inlineStr"/>
      <c r="G527" s="4" t="inlineStr"/>
    </row>
    <row r="528">
      <c r="A528" s="4" t="inlineStr">
        <is>
          <t>MX_HTP-03B</t>
        </is>
      </c>
      <c r="B528" s="4" t="inlineStr">
        <is>
          <t>MX_HTP-03B|CE122</t>
        </is>
      </c>
      <c r="C528" s="4" t="n">
        <v>10</v>
      </c>
      <c r="D528" s="4" t="n">
        <v>2</v>
      </c>
      <c r="E528" s="4" t="inlineStr">
        <is>
          <t>nâu</t>
        </is>
      </c>
      <c r="F528" s="4" t="inlineStr"/>
      <c r="G528" s="4" t="inlineStr"/>
    </row>
    <row r="529">
      <c r="A529" s="4" t="inlineStr">
        <is>
          <t>MX_HTP-03B</t>
        </is>
      </c>
      <c r="B529" s="4" t="inlineStr">
        <is>
          <t>MX_HTP-03B|CE122</t>
        </is>
      </c>
      <c r="C529" s="4" t="n">
        <v>11</v>
      </c>
      <c r="D529" s="4" t="n">
        <v>2</v>
      </c>
      <c r="E529" s="4" t="inlineStr">
        <is>
          <t>xám</t>
        </is>
      </c>
      <c r="F529" s="4" t="inlineStr"/>
      <c r="G529" s="4" t="inlineStr"/>
    </row>
    <row r="530">
      <c r="A530" s="4" t="inlineStr">
        <is>
          <t>MX_HTP-03B</t>
        </is>
      </c>
      <c r="B530" s="4" t="inlineStr">
        <is>
          <t>MX_HTP-03B|CE122</t>
        </is>
      </c>
      <c r="C530" s="4" t="n">
        <v>12</v>
      </c>
      <c r="D530" s="4" t="n">
        <v>2</v>
      </c>
      <c r="E530" s="4" t="inlineStr">
        <is>
          <t>trắng</t>
        </is>
      </c>
      <c r="F530" s="4" t="inlineStr"/>
      <c r="G530" s="4" t="inlineStr"/>
    </row>
    <row r="531">
      <c r="A531" s="4" t="inlineStr">
        <is>
          <t>MX_NB-03</t>
        </is>
      </c>
      <c r="B531" s="4" t="inlineStr">
        <is>
          <t>MX_NB-03|BI129</t>
        </is>
      </c>
      <c r="C531" s="4" t="n">
        <v>1</v>
      </c>
      <c r="D531" s="4" t="n">
        <v>1</v>
      </c>
      <c r="E531" s="4" t="inlineStr">
        <is>
          <t>xanh dương</t>
        </is>
      </c>
      <c r="F531" s="4" t="inlineStr"/>
      <c r="G531" s="4" t="inlineStr"/>
    </row>
    <row r="532">
      <c r="A532" s="4" t="inlineStr">
        <is>
          <t>MX_NB-03</t>
        </is>
      </c>
      <c r="B532" s="4" t="inlineStr">
        <is>
          <t>MX_NB-03|BI129</t>
        </is>
      </c>
      <c r="C532" s="4" t="n">
        <v>2</v>
      </c>
      <c r="D532" s="4" t="n">
        <v>1</v>
      </c>
      <c r="E532" s="4" t="inlineStr">
        <is>
          <t>cam</t>
        </is>
      </c>
      <c r="F532" s="4" t="inlineStr"/>
      <c r="G532" s="4" t="inlineStr"/>
    </row>
    <row r="533">
      <c r="A533" s="4" t="inlineStr">
        <is>
          <t>MX_NB-03</t>
        </is>
      </c>
      <c r="B533" s="4" t="inlineStr">
        <is>
          <t>MX_NB-03|BI129</t>
        </is>
      </c>
      <c r="C533" s="4" t="n">
        <v>3</v>
      </c>
      <c r="D533" s="4" t="n">
        <v>1</v>
      </c>
      <c r="E533" s="4" t="inlineStr">
        <is>
          <t>xanh lá</t>
        </is>
      </c>
      <c r="F533" s="4" t="inlineStr"/>
      <c r="G533" s="4" t="inlineStr"/>
    </row>
    <row r="534">
      <c r="A534" s="4" t="inlineStr">
        <is>
          <t>MX_NB-03</t>
        </is>
      </c>
      <c r="B534" s="4" t="inlineStr">
        <is>
          <t>MX_NB-03|BI129</t>
        </is>
      </c>
      <c r="C534" s="4" t="n">
        <v>4</v>
      </c>
      <c r="D534" s="4" t="n">
        <v>1</v>
      </c>
      <c r="E534" s="4" t="inlineStr">
        <is>
          <t>nâu</t>
        </is>
      </c>
      <c r="F534" s="4" t="inlineStr"/>
      <c r="G534" s="4" t="inlineStr"/>
    </row>
    <row r="535">
      <c r="A535" s="4" t="inlineStr">
        <is>
          <t>MX_NB-03</t>
        </is>
      </c>
      <c r="B535" s="4" t="inlineStr">
        <is>
          <t>MX_NB-03|BI129</t>
        </is>
      </c>
      <c r="C535" s="4" t="n">
        <v>5</v>
      </c>
      <c r="D535" s="4" t="n">
        <v>1</v>
      </c>
      <c r="E535" s="4" t="inlineStr">
        <is>
          <t>xám</t>
        </is>
      </c>
      <c r="F535" s="4" t="inlineStr"/>
      <c r="G535" s="4" t="inlineStr"/>
    </row>
    <row r="536">
      <c r="A536" s="4" t="inlineStr">
        <is>
          <t>MX_NB-03</t>
        </is>
      </c>
      <c r="B536" s="4" t="inlineStr">
        <is>
          <t>MX_NB-03|BI129</t>
        </is>
      </c>
      <c r="C536" s="4" t="n">
        <v>6</v>
      </c>
      <c r="D536" s="4" t="n">
        <v>1</v>
      </c>
      <c r="E536" s="4" t="inlineStr">
        <is>
          <t>trắng</t>
        </is>
      </c>
      <c r="F536" s="4" t="inlineStr"/>
      <c r="G536" s="4" t="inlineStr"/>
    </row>
    <row r="537">
      <c r="A537" s="4" t="inlineStr">
        <is>
          <t>MX_NB-03</t>
        </is>
      </c>
      <c r="B537" s="4" t="inlineStr">
        <is>
          <t>MX_NB-03|BI129</t>
        </is>
      </c>
      <c r="C537" s="4" t="n">
        <v>7</v>
      </c>
      <c r="D537" s="4" t="n">
        <v>2</v>
      </c>
      <c r="E537" s="4" t="inlineStr">
        <is>
          <t>xanh dương</t>
        </is>
      </c>
      <c r="F537" s="4" t="inlineStr"/>
      <c r="G537" s="4" t="inlineStr"/>
    </row>
    <row r="538">
      <c r="A538" s="4" t="inlineStr">
        <is>
          <t>MX_NB-03</t>
        </is>
      </c>
      <c r="B538" s="4" t="inlineStr">
        <is>
          <t>MX_NB-03|BI129</t>
        </is>
      </c>
      <c r="C538" s="4" t="n">
        <v>8</v>
      </c>
      <c r="D538" s="4" t="n">
        <v>2</v>
      </c>
      <c r="E538" s="4" t="inlineStr">
        <is>
          <t>cam</t>
        </is>
      </c>
      <c r="F538" s="4" t="inlineStr"/>
      <c r="G538" s="4" t="inlineStr"/>
    </row>
    <row r="539">
      <c r="A539" s="4" t="inlineStr">
        <is>
          <t>MX_NB-03</t>
        </is>
      </c>
      <c r="B539" s="4" t="inlineStr">
        <is>
          <t>MX_NB-03|BI129</t>
        </is>
      </c>
      <c r="C539" s="4" t="n">
        <v>9</v>
      </c>
      <c r="D539" s="4" t="n">
        <v>2</v>
      </c>
      <c r="E539" s="4" t="inlineStr">
        <is>
          <t>xanh lá</t>
        </is>
      </c>
      <c r="F539" s="4" t="inlineStr"/>
      <c r="G539" s="4" t="inlineStr"/>
    </row>
    <row r="540">
      <c r="A540" s="4" t="inlineStr">
        <is>
          <t>MX_NB-03</t>
        </is>
      </c>
      <c r="B540" s="4" t="inlineStr">
        <is>
          <t>MX_NB-03|BI129</t>
        </is>
      </c>
      <c r="C540" s="4" t="n">
        <v>10</v>
      </c>
      <c r="D540" s="4" t="n">
        <v>2</v>
      </c>
      <c r="E540" s="4" t="inlineStr">
        <is>
          <t>nâu</t>
        </is>
      </c>
      <c r="F540" s="4" t="inlineStr"/>
      <c r="G540" s="4" t="inlineStr"/>
    </row>
    <row r="541">
      <c r="A541" s="4" t="inlineStr">
        <is>
          <t>MX_NB-03</t>
        </is>
      </c>
      <c r="B541" s="4" t="inlineStr">
        <is>
          <t>MX_NB-03|BI129</t>
        </is>
      </c>
      <c r="C541" s="4" t="n">
        <v>11</v>
      </c>
      <c r="D541" s="4" t="n">
        <v>2</v>
      </c>
      <c r="E541" s="4" t="inlineStr">
        <is>
          <t>xám</t>
        </is>
      </c>
      <c r="F541" s="4" t="inlineStr"/>
      <c r="G541" s="4" t="inlineStr"/>
    </row>
    <row r="542">
      <c r="A542" s="4" t="inlineStr">
        <is>
          <t>MX_NB-03</t>
        </is>
      </c>
      <c r="B542" s="4" t="inlineStr">
        <is>
          <t>MX_NB-03|BI129</t>
        </is>
      </c>
      <c r="C542" s="4" t="n">
        <v>12</v>
      </c>
      <c r="D542" s="4" t="n">
        <v>2</v>
      </c>
      <c r="E542" s="4" t="inlineStr">
        <is>
          <t>trắng</t>
        </is>
      </c>
      <c r="F542" s="4" t="inlineStr"/>
      <c r="G542" s="4" t="inlineStr"/>
    </row>
    <row r="543">
      <c r="A543" s="4" t="inlineStr">
        <is>
          <t>MX_NB-03</t>
        </is>
      </c>
      <c r="B543" s="4" t="inlineStr">
        <is>
          <t>MX_NB-03|BI142</t>
        </is>
      </c>
      <c r="C543" s="4" t="n">
        <v>1</v>
      </c>
      <c r="D543" s="4" t="n">
        <v>1</v>
      </c>
      <c r="E543" s="4" t="inlineStr">
        <is>
          <t>xanh dương</t>
        </is>
      </c>
      <c r="F543" s="4" t="inlineStr"/>
      <c r="G543" s="4" t="inlineStr"/>
    </row>
    <row r="544">
      <c r="A544" s="4" t="inlineStr">
        <is>
          <t>MX_NB-03</t>
        </is>
      </c>
      <c r="B544" s="4" t="inlineStr">
        <is>
          <t>MX_NB-03|BI142</t>
        </is>
      </c>
      <c r="C544" s="4" t="n">
        <v>2</v>
      </c>
      <c r="D544" s="4" t="n">
        <v>1</v>
      </c>
      <c r="E544" s="4" t="inlineStr">
        <is>
          <t>cam</t>
        </is>
      </c>
      <c r="F544" s="4" t="inlineStr"/>
      <c r="G544" s="4" t="inlineStr"/>
    </row>
    <row r="545">
      <c r="A545" s="4" t="inlineStr">
        <is>
          <t>MX_NB-03</t>
        </is>
      </c>
      <c r="B545" s="4" t="inlineStr">
        <is>
          <t>MX_NB-03|BI142</t>
        </is>
      </c>
      <c r="C545" s="4" t="n">
        <v>3</v>
      </c>
      <c r="D545" s="4" t="n">
        <v>1</v>
      </c>
      <c r="E545" s="4" t="inlineStr">
        <is>
          <t>xanh lá</t>
        </is>
      </c>
      <c r="F545" s="4" t="inlineStr"/>
      <c r="G545" s="4" t="inlineStr"/>
    </row>
    <row r="546">
      <c r="A546" s="4" t="inlineStr">
        <is>
          <t>MX_NB-03</t>
        </is>
      </c>
      <c r="B546" s="4" t="inlineStr">
        <is>
          <t>MX_NB-03|BI142</t>
        </is>
      </c>
      <c r="C546" s="4" t="n">
        <v>4</v>
      </c>
      <c r="D546" s="4" t="n">
        <v>1</v>
      </c>
      <c r="E546" s="4" t="inlineStr">
        <is>
          <t>nâu</t>
        </is>
      </c>
      <c r="F546" s="4" t="inlineStr"/>
      <c r="G546" s="4" t="inlineStr"/>
    </row>
    <row r="547">
      <c r="A547" s="4" t="inlineStr">
        <is>
          <t>MX_NB-03</t>
        </is>
      </c>
      <c r="B547" s="4" t="inlineStr">
        <is>
          <t>MX_NB-03|BI142</t>
        </is>
      </c>
      <c r="C547" s="4" t="n">
        <v>5</v>
      </c>
      <c r="D547" s="4" t="n">
        <v>1</v>
      </c>
      <c r="E547" s="4" t="inlineStr">
        <is>
          <t>xám</t>
        </is>
      </c>
      <c r="F547" s="4" t="inlineStr"/>
      <c r="G547" s="4" t="inlineStr"/>
    </row>
    <row r="548">
      <c r="A548" s="4" t="inlineStr">
        <is>
          <t>MX_NB-03</t>
        </is>
      </c>
      <c r="B548" s="4" t="inlineStr">
        <is>
          <t>MX_NB-03|BI142</t>
        </is>
      </c>
      <c r="C548" s="4" t="n">
        <v>6</v>
      </c>
      <c r="D548" s="4" t="n">
        <v>1</v>
      </c>
      <c r="E548" s="4" t="inlineStr">
        <is>
          <t>trắng</t>
        </is>
      </c>
      <c r="F548" s="4" t="inlineStr"/>
      <c r="G548" s="4" t="inlineStr"/>
    </row>
    <row r="549">
      <c r="A549" s="4" t="inlineStr">
        <is>
          <t>MX_NB-03</t>
        </is>
      </c>
      <c r="B549" s="4" t="inlineStr">
        <is>
          <t>MX_NB-03|BI142</t>
        </is>
      </c>
      <c r="C549" s="4" t="n">
        <v>7</v>
      </c>
      <c r="D549" s="4" t="n">
        <v>2</v>
      </c>
      <c r="E549" s="4" t="inlineStr">
        <is>
          <t>xanh dương</t>
        </is>
      </c>
      <c r="F549" s="4" t="inlineStr"/>
      <c r="G549" s="4" t="inlineStr"/>
    </row>
    <row r="550">
      <c r="A550" s="4" t="inlineStr">
        <is>
          <t>MX_NB-03</t>
        </is>
      </c>
      <c r="B550" s="4" t="inlineStr">
        <is>
          <t>MX_NB-03|BI142</t>
        </is>
      </c>
      <c r="C550" s="4" t="n">
        <v>8</v>
      </c>
      <c r="D550" s="4" t="n">
        <v>2</v>
      </c>
      <c r="E550" s="4" t="inlineStr">
        <is>
          <t>cam</t>
        </is>
      </c>
      <c r="F550" s="4" t="inlineStr"/>
      <c r="G550" s="4" t="inlineStr"/>
    </row>
    <row r="551">
      <c r="A551" s="4" t="inlineStr">
        <is>
          <t>MX_NB-03</t>
        </is>
      </c>
      <c r="B551" s="4" t="inlineStr">
        <is>
          <t>MX_NB-03|BI142</t>
        </is>
      </c>
      <c r="C551" s="4" t="n">
        <v>9</v>
      </c>
      <c r="D551" s="4" t="n">
        <v>2</v>
      </c>
      <c r="E551" s="4" t="inlineStr">
        <is>
          <t>xanh lá</t>
        </is>
      </c>
      <c r="F551" s="4" t="inlineStr"/>
      <c r="G551" s="4" t="inlineStr"/>
    </row>
    <row r="552">
      <c r="A552" s="4" t="inlineStr">
        <is>
          <t>MX_NB-03</t>
        </is>
      </c>
      <c r="B552" s="4" t="inlineStr">
        <is>
          <t>MX_NB-03|BI142</t>
        </is>
      </c>
      <c r="C552" s="4" t="n">
        <v>10</v>
      </c>
      <c r="D552" s="4" t="n">
        <v>2</v>
      </c>
      <c r="E552" s="4" t="inlineStr">
        <is>
          <t>nâu</t>
        </is>
      </c>
      <c r="F552" s="4" t="inlineStr"/>
      <c r="G552" s="4" t="inlineStr"/>
    </row>
    <row r="553">
      <c r="A553" s="4" t="inlineStr">
        <is>
          <t>MX_NB-03</t>
        </is>
      </c>
      <c r="B553" s="4" t="inlineStr">
        <is>
          <t>MX_NB-03|BI142</t>
        </is>
      </c>
      <c r="C553" s="4" t="n">
        <v>11</v>
      </c>
      <c r="D553" s="4" t="n">
        <v>2</v>
      </c>
      <c r="E553" s="4" t="inlineStr">
        <is>
          <t>xám</t>
        </is>
      </c>
      <c r="F553" s="4" t="inlineStr"/>
      <c r="G553" s="4" t="inlineStr"/>
    </row>
    <row r="554">
      <c r="A554" s="4" t="inlineStr">
        <is>
          <t>MX_NB-03</t>
        </is>
      </c>
      <c r="B554" s="4" t="inlineStr">
        <is>
          <t>MX_NB-03|BI142</t>
        </is>
      </c>
      <c r="C554" s="4" t="n">
        <v>12</v>
      </c>
      <c r="D554" s="4" t="n">
        <v>2</v>
      </c>
      <c r="E554" s="4" t="inlineStr">
        <is>
          <t>trắng</t>
        </is>
      </c>
      <c r="F554" s="4" t="inlineStr"/>
      <c r="G554" s="4" t="inlineStr"/>
    </row>
    <row r="555">
      <c r="A555" s="4" t="inlineStr">
        <is>
          <t>MX_NB-03</t>
        </is>
      </c>
      <c r="B555" s="4" t="inlineStr">
        <is>
          <t>MX_NB-03|BV142</t>
        </is>
      </c>
      <c r="C555" s="4" t="n">
        <v>1</v>
      </c>
      <c r="D555" s="4" t="n">
        <v>1</v>
      </c>
      <c r="E555" s="4" t="inlineStr">
        <is>
          <t>xanh dương</t>
        </is>
      </c>
      <c r="F555" s="4" t="inlineStr"/>
      <c r="G555" s="4" t="inlineStr"/>
    </row>
    <row r="556">
      <c r="A556" s="4" t="inlineStr">
        <is>
          <t>MX_NB-03</t>
        </is>
      </c>
      <c r="B556" s="4" t="inlineStr">
        <is>
          <t>MX_NB-03|BV142</t>
        </is>
      </c>
      <c r="C556" s="4" t="n">
        <v>2</v>
      </c>
      <c r="D556" s="4" t="n">
        <v>1</v>
      </c>
      <c r="E556" s="4" t="inlineStr">
        <is>
          <t>cam</t>
        </is>
      </c>
      <c r="F556" s="4" t="inlineStr"/>
      <c r="G556" s="4" t="inlineStr"/>
    </row>
    <row r="557">
      <c r="A557" s="4" t="inlineStr">
        <is>
          <t>MX_NB-03</t>
        </is>
      </c>
      <c r="B557" s="4" t="inlineStr">
        <is>
          <t>MX_NB-03|BV142</t>
        </is>
      </c>
      <c r="C557" s="4" t="n">
        <v>3</v>
      </c>
      <c r="D557" s="4" t="n">
        <v>1</v>
      </c>
      <c r="E557" s="4" t="inlineStr">
        <is>
          <t>xanh lá</t>
        </is>
      </c>
      <c r="F557" s="4" t="inlineStr"/>
      <c r="G557" s="4" t="inlineStr"/>
    </row>
    <row r="558">
      <c r="A558" s="4" t="inlineStr">
        <is>
          <t>MX_NB-03</t>
        </is>
      </c>
      <c r="B558" s="4" t="inlineStr">
        <is>
          <t>MX_NB-03|BV142</t>
        </is>
      </c>
      <c r="C558" s="4" t="n">
        <v>4</v>
      </c>
      <c r="D558" s="4" t="n">
        <v>1</v>
      </c>
      <c r="E558" s="4" t="inlineStr">
        <is>
          <t>nâu</t>
        </is>
      </c>
      <c r="F558" s="4" t="inlineStr"/>
      <c r="G558" s="4" t="inlineStr"/>
    </row>
    <row r="559">
      <c r="A559" s="4" t="inlineStr">
        <is>
          <t>MX_NB-03</t>
        </is>
      </c>
      <c r="B559" s="4" t="inlineStr">
        <is>
          <t>MX_NB-03|BV142</t>
        </is>
      </c>
      <c r="C559" s="4" t="n">
        <v>5</v>
      </c>
      <c r="D559" s="4" t="n">
        <v>1</v>
      </c>
      <c r="E559" s="4" t="inlineStr">
        <is>
          <t>xám</t>
        </is>
      </c>
      <c r="F559" s="4" t="inlineStr"/>
      <c r="G559" s="4" t="inlineStr"/>
    </row>
    <row r="560">
      <c r="A560" s="4" t="inlineStr">
        <is>
          <t>MX_NB-03</t>
        </is>
      </c>
      <c r="B560" s="4" t="inlineStr">
        <is>
          <t>MX_NB-03|BV142</t>
        </is>
      </c>
      <c r="C560" s="4" t="n">
        <v>6</v>
      </c>
      <c r="D560" s="4" t="n">
        <v>1</v>
      </c>
      <c r="E560" s="4" t="inlineStr">
        <is>
          <t>trắng</t>
        </is>
      </c>
      <c r="F560" s="4" t="inlineStr"/>
      <c r="G560" s="4" t="inlineStr"/>
    </row>
    <row r="561">
      <c r="A561" s="4" t="inlineStr">
        <is>
          <t>MX_NB-03</t>
        </is>
      </c>
      <c r="B561" s="4" t="inlineStr">
        <is>
          <t>MX_NB-03|BV142</t>
        </is>
      </c>
      <c r="C561" s="4" t="n">
        <v>7</v>
      </c>
      <c r="D561" s="4" t="n">
        <v>2</v>
      </c>
      <c r="E561" s="4" t="inlineStr">
        <is>
          <t>xanh dương</t>
        </is>
      </c>
      <c r="F561" s="4" t="inlineStr"/>
      <c r="G561" s="4" t="inlineStr"/>
    </row>
    <row r="562">
      <c r="A562" s="4" t="inlineStr">
        <is>
          <t>MX_NB-03</t>
        </is>
      </c>
      <c r="B562" s="4" t="inlineStr">
        <is>
          <t>MX_NB-03|BV142</t>
        </is>
      </c>
      <c r="C562" s="4" t="n">
        <v>8</v>
      </c>
      <c r="D562" s="4" t="n">
        <v>2</v>
      </c>
      <c r="E562" s="4" t="inlineStr">
        <is>
          <t>cam</t>
        </is>
      </c>
      <c r="F562" s="4" t="inlineStr"/>
      <c r="G562" s="4" t="inlineStr"/>
    </row>
    <row r="563">
      <c r="A563" s="4" t="inlineStr">
        <is>
          <t>MX_NB-04</t>
        </is>
      </c>
      <c r="B563" s="4" t="inlineStr">
        <is>
          <t>MX_NB-04|CE129</t>
        </is>
      </c>
      <c r="C563" s="4" t="n">
        <v>1</v>
      </c>
      <c r="D563" s="4" t="n">
        <v>1</v>
      </c>
      <c r="E563" s="4" t="inlineStr">
        <is>
          <t>xanh dương</t>
        </is>
      </c>
      <c r="F563" s="4" t="inlineStr"/>
      <c r="G563" s="4" t="inlineStr"/>
    </row>
    <row r="564">
      <c r="A564" s="4" t="inlineStr">
        <is>
          <t>MX_NB-04</t>
        </is>
      </c>
      <c r="B564" s="4" t="inlineStr">
        <is>
          <t>MX_NB-04|CE129</t>
        </is>
      </c>
      <c r="C564" s="4" t="n">
        <v>2</v>
      </c>
      <c r="D564" s="4" t="n">
        <v>1</v>
      </c>
      <c r="E564" s="4" t="inlineStr">
        <is>
          <t>cam</t>
        </is>
      </c>
      <c r="F564" s="4" t="inlineStr"/>
      <c r="G564" s="4" t="inlineStr"/>
    </row>
    <row r="565">
      <c r="A565" s="4" t="inlineStr">
        <is>
          <t>MX_NB-04</t>
        </is>
      </c>
      <c r="B565" s="4" t="inlineStr">
        <is>
          <t>MX_NB-04|CE129</t>
        </is>
      </c>
      <c r="C565" s="4" t="n">
        <v>3</v>
      </c>
      <c r="D565" s="4" t="n">
        <v>1</v>
      </c>
      <c r="E565" s="4" t="inlineStr">
        <is>
          <t>xanh lá</t>
        </is>
      </c>
      <c r="F565" s="4" t="inlineStr"/>
      <c r="G565" s="4" t="inlineStr"/>
    </row>
    <row r="566">
      <c r="A566" s="4" t="inlineStr">
        <is>
          <t>MX_NB-04</t>
        </is>
      </c>
      <c r="B566" s="4" t="inlineStr">
        <is>
          <t>MX_NB-04|CE129</t>
        </is>
      </c>
      <c r="C566" s="4" t="n">
        <v>4</v>
      </c>
      <c r="D566" s="4" t="n">
        <v>1</v>
      </c>
      <c r="E566" s="4" t="inlineStr">
        <is>
          <t>nâu</t>
        </is>
      </c>
      <c r="F566" s="4" t="inlineStr"/>
      <c r="G566" s="4" t="inlineStr"/>
    </row>
    <row r="567">
      <c r="A567" s="4" t="inlineStr">
        <is>
          <t>MX_NB-04</t>
        </is>
      </c>
      <c r="B567" s="4" t="inlineStr">
        <is>
          <t>MX_NB-04|CE129</t>
        </is>
      </c>
      <c r="C567" s="4" t="n">
        <v>5</v>
      </c>
      <c r="D567" s="4" t="n">
        <v>1</v>
      </c>
      <c r="E567" s="4" t="inlineStr">
        <is>
          <t>xám</t>
        </is>
      </c>
      <c r="F567" s="4" t="inlineStr"/>
      <c r="G567" s="4" t="inlineStr"/>
    </row>
    <row r="568">
      <c r="A568" s="4" t="inlineStr">
        <is>
          <t>MX_NB-04</t>
        </is>
      </c>
      <c r="B568" s="4" t="inlineStr">
        <is>
          <t>MX_NB-04|CE129</t>
        </is>
      </c>
      <c r="C568" s="4" t="n">
        <v>6</v>
      </c>
      <c r="D568" s="4" t="n">
        <v>1</v>
      </c>
      <c r="E568" s="4" t="inlineStr">
        <is>
          <t>trắng</t>
        </is>
      </c>
      <c r="F568" s="4" t="inlineStr"/>
      <c r="G568" s="4" t="inlineStr"/>
    </row>
    <row r="569">
      <c r="A569" s="4" t="inlineStr">
        <is>
          <t>MX_NB-04</t>
        </is>
      </c>
      <c r="B569" s="4" t="inlineStr">
        <is>
          <t>MX_NB-04|CE129</t>
        </is>
      </c>
      <c r="C569" s="4" t="n">
        <v>7</v>
      </c>
      <c r="D569" s="4" t="n">
        <v>2</v>
      </c>
      <c r="E569" s="4" t="inlineStr">
        <is>
          <t>xanh dương</t>
        </is>
      </c>
      <c r="F569" s="4" t="inlineStr"/>
      <c r="G569" s="4" t="inlineStr"/>
    </row>
    <row r="570">
      <c r="A570" s="4" t="inlineStr">
        <is>
          <t>MX_NB-04</t>
        </is>
      </c>
      <c r="B570" s="4" t="inlineStr">
        <is>
          <t>MX_NB-04|CE129</t>
        </is>
      </c>
      <c r="C570" s="4" t="n">
        <v>8</v>
      </c>
      <c r="D570" s="4" t="n">
        <v>2</v>
      </c>
      <c r="E570" s="4" t="inlineStr">
        <is>
          <t>cam</t>
        </is>
      </c>
      <c r="F570" s="4" t="inlineStr"/>
      <c r="G570" s="4" t="inlineStr"/>
    </row>
    <row r="571">
      <c r="A571" s="4" t="inlineStr">
        <is>
          <t>MX_NB-04</t>
        </is>
      </c>
      <c r="B571" s="4" t="inlineStr">
        <is>
          <t>MX_NB-04|CE129</t>
        </is>
      </c>
      <c r="C571" s="4" t="n">
        <v>9</v>
      </c>
      <c r="D571" s="4" t="n">
        <v>2</v>
      </c>
      <c r="E571" s="4" t="inlineStr">
        <is>
          <t>xanh lá</t>
        </is>
      </c>
      <c r="F571" s="4" t="inlineStr"/>
      <c r="G571" s="4" t="inlineStr"/>
    </row>
    <row r="572">
      <c r="A572" s="4" t="inlineStr">
        <is>
          <t>MX_NB-04</t>
        </is>
      </c>
      <c r="B572" s="4" t="inlineStr">
        <is>
          <t>MX_NB-04|CE129</t>
        </is>
      </c>
      <c r="C572" s="4" t="n">
        <v>10</v>
      </c>
      <c r="D572" s="4" t="n">
        <v>2</v>
      </c>
      <c r="E572" s="4" t="inlineStr">
        <is>
          <t>nâu</t>
        </is>
      </c>
      <c r="F572" s="4" t="inlineStr"/>
      <c r="G572" s="4" t="inlineStr"/>
    </row>
    <row r="573">
      <c r="A573" s="4" t="inlineStr">
        <is>
          <t>MX_NB-04</t>
        </is>
      </c>
      <c r="B573" s="4" t="inlineStr">
        <is>
          <t>MX_NB-04|CE129</t>
        </is>
      </c>
      <c r="C573" s="4" t="n">
        <v>11</v>
      </c>
      <c r="D573" s="4" t="n">
        <v>2</v>
      </c>
      <c r="E573" s="4" t="inlineStr">
        <is>
          <t>xám</t>
        </is>
      </c>
      <c r="F573" s="4" t="inlineStr"/>
      <c r="G573" s="4" t="inlineStr"/>
    </row>
    <row r="574">
      <c r="A574" s="4" t="inlineStr">
        <is>
          <t>MX_NB-04</t>
        </is>
      </c>
      <c r="B574" s="4" t="inlineStr">
        <is>
          <t>MX_NB-04|CE129</t>
        </is>
      </c>
      <c r="C574" s="4" t="n">
        <v>12</v>
      </c>
      <c r="D574" s="4" t="n">
        <v>2</v>
      </c>
      <c r="E574" s="4" t="inlineStr">
        <is>
          <t>trắng</t>
        </is>
      </c>
      <c r="F574" s="4" t="inlineStr"/>
      <c r="G574" s="4" t="inlineStr"/>
    </row>
    <row r="575">
      <c r="A575" s="4" t="inlineStr">
        <is>
          <t>MX_NB-04</t>
        </is>
      </c>
      <c r="B575" s="4" t="inlineStr">
        <is>
          <t>MX_NB-04|CR129</t>
        </is>
      </c>
      <c r="C575" s="4" t="n">
        <v>1</v>
      </c>
      <c r="D575" s="4" t="n">
        <v>1</v>
      </c>
      <c r="E575" s="4" t="inlineStr">
        <is>
          <t>xanh dương</t>
        </is>
      </c>
      <c r="F575" s="4" t="inlineStr"/>
      <c r="G575" s="4" t="inlineStr"/>
    </row>
    <row r="576">
      <c r="A576" s="4" t="inlineStr">
        <is>
          <t>MX_NB-04</t>
        </is>
      </c>
      <c r="B576" s="4" t="inlineStr">
        <is>
          <t>MX_NB-04|CR129</t>
        </is>
      </c>
      <c r="C576" s="4" t="n">
        <v>2</v>
      </c>
      <c r="D576" s="4" t="n">
        <v>1</v>
      </c>
      <c r="E576" s="4" t="inlineStr">
        <is>
          <t>cam</t>
        </is>
      </c>
      <c r="F576" s="4" t="inlineStr"/>
      <c r="G576" s="4" t="inlineStr"/>
    </row>
    <row r="577">
      <c r="A577" s="4" t="inlineStr">
        <is>
          <t>MX_NB-04</t>
        </is>
      </c>
      <c r="B577" s="4" t="inlineStr">
        <is>
          <t>MX_NB-04|CR129</t>
        </is>
      </c>
      <c r="C577" s="4" t="n">
        <v>3</v>
      </c>
      <c r="D577" s="4" t="n">
        <v>1</v>
      </c>
      <c r="E577" s="4" t="inlineStr">
        <is>
          <t>xanh lá</t>
        </is>
      </c>
      <c r="F577" s="4" t="inlineStr"/>
      <c r="G577" s="4" t="inlineStr"/>
    </row>
    <row r="578">
      <c r="A578" s="4" t="inlineStr">
        <is>
          <t>MX_NB-04</t>
        </is>
      </c>
      <c r="B578" s="4" t="inlineStr">
        <is>
          <t>MX_NB-04|CR129</t>
        </is>
      </c>
      <c r="C578" s="4" t="n">
        <v>4</v>
      </c>
      <c r="D578" s="4" t="n">
        <v>1</v>
      </c>
      <c r="E578" s="4" t="inlineStr">
        <is>
          <t>nâu</t>
        </is>
      </c>
      <c r="F578" s="4" t="inlineStr"/>
      <c r="G578" s="4" t="inlineStr"/>
    </row>
    <row r="579">
      <c r="A579" s="4" t="inlineStr">
        <is>
          <t>MX_NB-04</t>
        </is>
      </c>
      <c r="B579" s="4" t="inlineStr">
        <is>
          <t>MX_NB-04|CR129</t>
        </is>
      </c>
      <c r="C579" s="4" t="n">
        <v>5</v>
      </c>
      <c r="D579" s="4" t="n">
        <v>1</v>
      </c>
      <c r="E579" s="4" t="inlineStr">
        <is>
          <t>xám</t>
        </is>
      </c>
      <c r="F579" s="4" t="inlineStr"/>
      <c r="G579" s="4" t="inlineStr"/>
    </row>
    <row r="580">
      <c r="A580" s="4" t="inlineStr">
        <is>
          <t>MX_NB-04</t>
        </is>
      </c>
      <c r="B580" s="4" t="inlineStr">
        <is>
          <t>MX_NB-04|CR129</t>
        </is>
      </c>
      <c r="C580" s="4" t="n">
        <v>6</v>
      </c>
      <c r="D580" s="4" t="n">
        <v>1</v>
      </c>
      <c r="E580" s="4" t="inlineStr">
        <is>
          <t>trắng</t>
        </is>
      </c>
      <c r="F580" s="4" t="inlineStr"/>
      <c r="G580" s="4" t="inlineStr"/>
    </row>
    <row r="581">
      <c r="A581" s="4" t="inlineStr">
        <is>
          <t>MX_NB-04</t>
        </is>
      </c>
      <c r="B581" s="4" t="inlineStr">
        <is>
          <t>MX_NB-04|CR129</t>
        </is>
      </c>
      <c r="C581" s="4" t="n">
        <v>7</v>
      </c>
      <c r="D581" s="4" t="n">
        <v>2</v>
      </c>
      <c r="E581" s="4" t="inlineStr">
        <is>
          <t>xanh dương</t>
        </is>
      </c>
      <c r="F581" s="4" t="inlineStr"/>
      <c r="G581" s="4" t="inlineStr"/>
    </row>
    <row r="582">
      <c r="A582" s="4" t="inlineStr">
        <is>
          <t>MX_NB-04</t>
        </is>
      </c>
      <c r="B582" s="4" t="inlineStr">
        <is>
          <t>MX_NB-04|CR129</t>
        </is>
      </c>
      <c r="C582" s="4" t="n">
        <v>8</v>
      </c>
      <c r="D582" s="4" t="n">
        <v>2</v>
      </c>
      <c r="E582" s="4" t="inlineStr">
        <is>
          <t>cam</t>
        </is>
      </c>
      <c r="F582" s="4" t="inlineStr"/>
      <c r="G582" s="4" t="inlineStr"/>
    </row>
    <row r="583">
      <c r="A583" s="4" t="inlineStr">
        <is>
          <t>MX_NB-04</t>
        </is>
      </c>
      <c r="B583" s="4" t="inlineStr">
        <is>
          <t>MX_NB-04|CE142</t>
        </is>
      </c>
      <c r="C583" s="4" t="n">
        <v>1</v>
      </c>
      <c r="D583" s="4" t="n">
        <v>1</v>
      </c>
      <c r="E583" s="4" t="inlineStr">
        <is>
          <t>xanh dương</t>
        </is>
      </c>
      <c r="F583" s="4" t="inlineStr"/>
      <c r="G583" s="4" t="inlineStr"/>
    </row>
    <row r="584">
      <c r="A584" s="4" t="inlineStr">
        <is>
          <t>MX_NB-04</t>
        </is>
      </c>
      <c r="B584" s="4" t="inlineStr">
        <is>
          <t>MX_NB-04|CE142</t>
        </is>
      </c>
      <c r="C584" s="4" t="n">
        <v>2</v>
      </c>
      <c r="D584" s="4" t="n">
        <v>1</v>
      </c>
      <c r="E584" s="4" t="inlineStr">
        <is>
          <t>cam</t>
        </is>
      </c>
      <c r="F584" s="4" t="inlineStr"/>
      <c r="G584" s="4" t="inlineStr"/>
    </row>
    <row r="585">
      <c r="A585" s="4" t="inlineStr">
        <is>
          <t>MX_NB-04</t>
        </is>
      </c>
      <c r="B585" s="4" t="inlineStr">
        <is>
          <t>MX_NB-04|CE142</t>
        </is>
      </c>
      <c r="C585" s="4" t="n">
        <v>3</v>
      </c>
      <c r="D585" s="4" t="n">
        <v>1</v>
      </c>
      <c r="E585" s="4" t="inlineStr">
        <is>
          <t>xanh lá</t>
        </is>
      </c>
      <c r="F585" s="4" t="inlineStr"/>
      <c r="G585" s="4" t="inlineStr"/>
    </row>
    <row r="586">
      <c r="A586" s="4" t="inlineStr">
        <is>
          <t>MX_NB-04</t>
        </is>
      </c>
      <c r="B586" s="4" t="inlineStr">
        <is>
          <t>MX_NB-04|CE142</t>
        </is>
      </c>
      <c r="C586" s="4" t="n">
        <v>4</v>
      </c>
      <c r="D586" s="4" t="n">
        <v>1</v>
      </c>
      <c r="E586" s="4" t="inlineStr">
        <is>
          <t>nâu</t>
        </is>
      </c>
      <c r="F586" s="4" t="inlineStr"/>
      <c r="G586" s="4" t="inlineStr"/>
    </row>
    <row r="587">
      <c r="A587" s="4" t="inlineStr">
        <is>
          <t>MX_NB-04</t>
        </is>
      </c>
      <c r="B587" s="4" t="inlineStr">
        <is>
          <t>MX_NB-04|CE142</t>
        </is>
      </c>
      <c r="C587" s="4" t="n">
        <v>5</v>
      </c>
      <c r="D587" s="4" t="n">
        <v>1</v>
      </c>
      <c r="E587" s="4" t="inlineStr">
        <is>
          <t>xám</t>
        </is>
      </c>
      <c r="F587" s="4" t="inlineStr"/>
      <c r="G587" s="4" t="inlineStr"/>
    </row>
    <row r="588">
      <c r="A588" s="4" t="inlineStr">
        <is>
          <t>MX_NB-04</t>
        </is>
      </c>
      <c r="B588" s="4" t="inlineStr">
        <is>
          <t>MX_NB-04|CE142</t>
        </is>
      </c>
      <c r="C588" s="4" t="n">
        <v>6</v>
      </c>
      <c r="D588" s="4" t="n">
        <v>1</v>
      </c>
      <c r="E588" s="4" t="inlineStr">
        <is>
          <t>trắng</t>
        </is>
      </c>
      <c r="F588" s="4" t="inlineStr"/>
      <c r="G588" s="4" t="inlineStr"/>
    </row>
    <row r="589">
      <c r="A589" s="4" t="inlineStr">
        <is>
          <t>MX_NB-04</t>
        </is>
      </c>
      <c r="B589" s="4" t="inlineStr">
        <is>
          <t>MX_NB-04|CE142</t>
        </is>
      </c>
      <c r="C589" s="4" t="n">
        <v>7</v>
      </c>
      <c r="D589" s="4" t="n">
        <v>2</v>
      </c>
      <c r="E589" s="4" t="inlineStr">
        <is>
          <t>xanh dương</t>
        </is>
      </c>
      <c r="F589" s="4" t="inlineStr"/>
      <c r="G589" s="4" t="inlineStr"/>
    </row>
    <row r="590">
      <c r="A590" s="4" t="inlineStr">
        <is>
          <t>MX_NB-04</t>
        </is>
      </c>
      <c r="B590" s="4" t="inlineStr">
        <is>
          <t>MX_NB-04|CE142</t>
        </is>
      </c>
      <c r="C590" s="4" t="n">
        <v>8</v>
      </c>
      <c r="D590" s="4" t="n">
        <v>2</v>
      </c>
      <c r="E590" s="4" t="inlineStr">
        <is>
          <t>cam</t>
        </is>
      </c>
      <c r="F590" s="4" t="inlineStr"/>
      <c r="G590" s="4" t="inlineStr"/>
    </row>
    <row r="591">
      <c r="A591" s="4" t="inlineStr">
        <is>
          <t>MX_NB-04</t>
        </is>
      </c>
      <c r="B591" s="4" t="inlineStr">
        <is>
          <t>MX_NB-04|CE142</t>
        </is>
      </c>
      <c r="C591" s="4" t="n">
        <v>9</v>
      </c>
      <c r="D591" s="4" t="n">
        <v>2</v>
      </c>
      <c r="E591" s="4" t="inlineStr">
        <is>
          <t>xanh lá</t>
        </is>
      </c>
      <c r="F591" s="4" t="inlineStr"/>
      <c r="G591" s="4" t="inlineStr"/>
    </row>
    <row r="592">
      <c r="A592" s="4" t="inlineStr">
        <is>
          <t>MX_NB-04</t>
        </is>
      </c>
      <c r="B592" s="4" t="inlineStr">
        <is>
          <t>MX_NB-04|CE142</t>
        </is>
      </c>
      <c r="C592" s="4" t="n">
        <v>10</v>
      </c>
      <c r="D592" s="4" t="n">
        <v>2</v>
      </c>
      <c r="E592" s="4" t="inlineStr">
        <is>
          <t>nâu</t>
        </is>
      </c>
      <c r="F592" s="4" t="inlineStr"/>
      <c r="G592" s="4" t="inlineStr"/>
    </row>
    <row r="593">
      <c r="A593" s="4" t="inlineStr">
        <is>
          <t>MX_NB-04</t>
        </is>
      </c>
      <c r="B593" s="4" t="inlineStr">
        <is>
          <t>MX_NB-04|CE142</t>
        </is>
      </c>
      <c r="C593" s="4" t="n">
        <v>11</v>
      </c>
      <c r="D593" s="4" t="n">
        <v>2</v>
      </c>
      <c r="E593" s="4" t="inlineStr">
        <is>
          <t>xám</t>
        </is>
      </c>
      <c r="F593" s="4" t="inlineStr"/>
      <c r="G593" s="4" t="inlineStr"/>
    </row>
    <row r="594">
      <c r="A594" s="4" t="inlineStr">
        <is>
          <t>MX_NB-04</t>
        </is>
      </c>
      <c r="B594" s="4" t="inlineStr">
        <is>
          <t>MX_NB-04|CE142</t>
        </is>
      </c>
      <c r="C594" s="4" t="n">
        <v>12</v>
      </c>
      <c r="D594" s="4" t="n">
        <v>2</v>
      </c>
      <c r="E594" s="4" t="inlineStr">
        <is>
          <t>trắng</t>
        </is>
      </c>
      <c r="F594" s="4" t="inlineStr"/>
      <c r="G594" s="4" t="inlineStr"/>
    </row>
    <row r="595">
      <c r="A595" s="4" t="inlineStr">
        <is>
          <t>MX_NB-04</t>
        </is>
      </c>
      <c r="B595" s="4" t="inlineStr">
        <is>
          <t>MX_NB-04|CR142</t>
        </is>
      </c>
      <c r="C595" s="4" t="n">
        <v>1</v>
      </c>
      <c r="D595" s="4" t="n">
        <v>1</v>
      </c>
      <c r="E595" s="4" t="inlineStr">
        <is>
          <t>xanh dương</t>
        </is>
      </c>
      <c r="F595" s="4" t="inlineStr"/>
      <c r="G595" s="4" t="inlineStr"/>
    </row>
    <row r="596">
      <c r="A596" s="4" t="inlineStr">
        <is>
          <t>MX_NB-04</t>
        </is>
      </c>
      <c r="B596" s="4" t="inlineStr">
        <is>
          <t>MX_NB-04|CR142</t>
        </is>
      </c>
      <c r="C596" s="4" t="n">
        <v>2</v>
      </c>
      <c r="D596" s="4" t="n">
        <v>1</v>
      </c>
      <c r="E596" s="4" t="inlineStr">
        <is>
          <t>cam</t>
        </is>
      </c>
      <c r="F596" s="4" t="inlineStr"/>
      <c r="G596" s="4" t="inlineStr"/>
    </row>
    <row r="597">
      <c r="A597" s="4" t="inlineStr">
        <is>
          <t>MX_NB-04</t>
        </is>
      </c>
      <c r="B597" s="4" t="inlineStr">
        <is>
          <t>MX_NB-04|CR142</t>
        </is>
      </c>
      <c r="C597" s="4" t="n">
        <v>3</v>
      </c>
      <c r="D597" s="4" t="n">
        <v>1</v>
      </c>
      <c r="E597" s="4" t="inlineStr">
        <is>
          <t>xanh lá</t>
        </is>
      </c>
      <c r="F597" s="4" t="inlineStr"/>
      <c r="G597" s="4" t="inlineStr"/>
    </row>
    <row r="598">
      <c r="A598" s="4" t="inlineStr">
        <is>
          <t>MX_NB-04</t>
        </is>
      </c>
      <c r="B598" s="4" t="inlineStr">
        <is>
          <t>MX_NB-04|CR142</t>
        </is>
      </c>
      <c r="C598" s="4" t="n">
        <v>4</v>
      </c>
      <c r="D598" s="4" t="n">
        <v>1</v>
      </c>
      <c r="E598" s="4" t="inlineStr">
        <is>
          <t>nâu</t>
        </is>
      </c>
      <c r="F598" s="4" t="inlineStr"/>
      <c r="G598" s="4" t="inlineStr"/>
    </row>
    <row r="599">
      <c r="A599" s="4" t="inlineStr">
        <is>
          <t>MX_NB-04</t>
        </is>
      </c>
      <c r="B599" s="4" t="inlineStr">
        <is>
          <t>MX_NB-04|CR142</t>
        </is>
      </c>
      <c r="C599" s="4" t="n">
        <v>5</v>
      </c>
      <c r="D599" s="4" t="n">
        <v>1</v>
      </c>
      <c r="E599" s="4" t="inlineStr">
        <is>
          <t>xám</t>
        </is>
      </c>
      <c r="F599" s="4" t="inlineStr"/>
      <c r="G599" s="4" t="inlineStr"/>
    </row>
    <row r="600">
      <c r="A600" s="4" t="inlineStr">
        <is>
          <t>MX_NB-04</t>
        </is>
      </c>
      <c r="B600" s="4" t="inlineStr">
        <is>
          <t>MX_NB-04|CR142</t>
        </is>
      </c>
      <c r="C600" s="4" t="n">
        <v>6</v>
      </c>
      <c r="D600" s="4" t="n">
        <v>1</v>
      </c>
      <c r="E600" s="4" t="inlineStr">
        <is>
          <t>trắng</t>
        </is>
      </c>
      <c r="F600" s="4" t="inlineStr"/>
      <c r="G600" s="4" t="inlineStr"/>
    </row>
    <row r="601">
      <c r="A601" s="4" t="inlineStr">
        <is>
          <t>MX_NB-04</t>
        </is>
      </c>
      <c r="B601" s="4" t="inlineStr">
        <is>
          <t>MX_NB-04|CR142</t>
        </is>
      </c>
      <c r="C601" s="4" t="n">
        <v>7</v>
      </c>
      <c r="D601" s="4" t="n">
        <v>2</v>
      </c>
      <c r="E601" s="4" t="inlineStr">
        <is>
          <t>xanh dương</t>
        </is>
      </c>
      <c r="F601" s="4" t="inlineStr"/>
      <c r="G601" s="4" t="inlineStr"/>
    </row>
    <row r="602">
      <c r="A602" s="4" t="inlineStr">
        <is>
          <t>MX_NB-04</t>
        </is>
      </c>
      <c r="B602" s="4" t="inlineStr">
        <is>
          <t>MX_NB-04|CR142</t>
        </is>
      </c>
      <c r="C602" s="4" t="n">
        <v>8</v>
      </c>
      <c r="D602" s="4" t="n">
        <v>2</v>
      </c>
      <c r="E602" s="4" t="inlineStr">
        <is>
          <t>cam</t>
        </is>
      </c>
      <c r="F602" s="4" t="inlineStr"/>
      <c r="G602" s="4" t="inlineStr"/>
    </row>
    <row r="603">
      <c r="A603" s="4" t="inlineStr">
        <is>
          <t>MX_HTP-03B (2)</t>
        </is>
      </c>
      <c r="B603" s="4" t="inlineStr">
        <is>
          <t>MX_HTP-03B (2)|AD134</t>
        </is>
      </c>
      <c r="C603" s="4" t="n">
        <v>1</v>
      </c>
      <c r="D603" s="4" t="n">
        <v>1</v>
      </c>
      <c r="E603" s="4" t="inlineStr">
        <is>
          <t>xanh dương</t>
        </is>
      </c>
      <c r="F603" s="4" t="inlineStr"/>
      <c r="G603" s="4" t="inlineStr"/>
    </row>
    <row r="604">
      <c r="A604" s="4" t="inlineStr">
        <is>
          <t>MX_HTP-03B (2)</t>
        </is>
      </c>
      <c r="B604" s="4" t="inlineStr">
        <is>
          <t>MX_HTP-03B (2)|AD134</t>
        </is>
      </c>
      <c r="C604" s="4" t="n">
        <v>2</v>
      </c>
      <c r="D604" s="4" t="n">
        <v>1</v>
      </c>
      <c r="E604" s="4" t="inlineStr">
        <is>
          <t>cam</t>
        </is>
      </c>
      <c r="F604" s="4" t="inlineStr"/>
      <c r="G604" s="4" t="inlineStr"/>
    </row>
    <row r="605">
      <c r="A605" s="4" t="inlineStr">
        <is>
          <t>MX_HTP-03B (2)</t>
        </is>
      </c>
      <c r="B605" s="4" t="inlineStr">
        <is>
          <t>MX_HTP-03B (2)|AD134</t>
        </is>
      </c>
      <c r="C605" s="4" t="n">
        <v>3</v>
      </c>
      <c r="D605" s="4" t="n">
        <v>1</v>
      </c>
      <c r="E605" s="4" t="inlineStr">
        <is>
          <t>xanh lá</t>
        </is>
      </c>
      <c r="F605" s="4" t="inlineStr"/>
      <c r="G605" s="4" t="inlineStr"/>
    </row>
    <row r="606">
      <c r="A606" s="4" t="inlineStr">
        <is>
          <t>MX_HTP-03B (2)</t>
        </is>
      </c>
      <c r="B606" s="4" t="inlineStr">
        <is>
          <t>MX_HTP-03B (2)|AD134</t>
        </is>
      </c>
      <c r="C606" s="4" t="n">
        <v>4</v>
      </c>
      <c r="D606" s="4" t="n">
        <v>1</v>
      </c>
      <c r="E606" s="4" t="inlineStr">
        <is>
          <t>nâu</t>
        </is>
      </c>
      <c r="F606" s="4" t="inlineStr"/>
      <c r="G606" s="4" t="inlineStr"/>
    </row>
    <row r="607">
      <c r="A607" s="4" t="inlineStr">
        <is>
          <t>MX_HTP-03B (2)</t>
        </is>
      </c>
      <c r="B607" s="4" t="inlineStr">
        <is>
          <t>MX_HTP-03B (2)|AD134</t>
        </is>
      </c>
      <c r="C607" s="4" t="n">
        <v>5</v>
      </c>
      <c r="D607" s="4" t="n">
        <v>1</v>
      </c>
      <c r="E607" s="4" t="inlineStr">
        <is>
          <t>xám</t>
        </is>
      </c>
      <c r="F607" s="4" t="inlineStr"/>
      <c r="G607" s="4" t="inlineStr"/>
    </row>
    <row r="608">
      <c r="A608" s="4" t="inlineStr">
        <is>
          <t>MX_HTP-03B (2)</t>
        </is>
      </c>
      <c r="B608" s="4" t="inlineStr">
        <is>
          <t>MX_HTP-03B (2)|AD134</t>
        </is>
      </c>
      <c r="C608" s="4" t="n">
        <v>6</v>
      </c>
      <c r="D608" s="4" t="n">
        <v>1</v>
      </c>
      <c r="E608" s="4" t="inlineStr">
        <is>
          <t>trắng</t>
        </is>
      </c>
      <c r="F608" s="4" t="inlineStr"/>
      <c r="G608" s="4" t="inlineStr"/>
    </row>
    <row r="609">
      <c r="A609" s="4" t="inlineStr">
        <is>
          <t>MX_HTP-03B (2)</t>
        </is>
      </c>
      <c r="B609" s="4" t="inlineStr">
        <is>
          <t>MX_HTP-03B (2)|AD134</t>
        </is>
      </c>
      <c r="C609" s="4" t="n">
        <v>7</v>
      </c>
      <c r="D609" s="4" t="n">
        <v>2</v>
      </c>
      <c r="E609" s="4" t="inlineStr">
        <is>
          <t>xanh dương</t>
        </is>
      </c>
      <c r="F609" s="4" t="inlineStr"/>
      <c r="G609" s="4" t="inlineStr"/>
    </row>
    <row r="610">
      <c r="A610" s="4" t="inlineStr">
        <is>
          <t>MX_HTP-03B (2)</t>
        </is>
      </c>
      <c r="B610" s="4" t="inlineStr">
        <is>
          <t>MX_HTP-03B (2)|AD134</t>
        </is>
      </c>
      <c r="C610" s="4" t="n">
        <v>8</v>
      </c>
      <c r="D610" s="4" t="n">
        <v>2</v>
      </c>
      <c r="E610" s="4" t="inlineStr">
        <is>
          <t>cam</t>
        </is>
      </c>
      <c r="F610" s="4" t="inlineStr"/>
      <c r="G610" s="4" t="inlineStr"/>
    </row>
    <row r="611">
      <c r="A611" s="4" t="inlineStr">
        <is>
          <t>MX_HTP-03B (2)</t>
        </is>
      </c>
      <c r="B611" s="4" t="inlineStr">
        <is>
          <t>MX_HTP-03B (2)|AD134</t>
        </is>
      </c>
      <c r="C611" s="4" t="n">
        <v>9</v>
      </c>
      <c r="D611" s="4" t="n">
        <v>2</v>
      </c>
      <c r="E611" s="4" t="inlineStr">
        <is>
          <t>xanh lá</t>
        </is>
      </c>
      <c r="F611" s="4" t="inlineStr"/>
      <c r="G611" s="4" t="inlineStr"/>
    </row>
    <row r="612">
      <c r="A612" s="4" t="inlineStr">
        <is>
          <t>MX_HTP-03B (2)</t>
        </is>
      </c>
      <c r="B612" s="4" t="inlineStr">
        <is>
          <t>MX_HTP-03B (2)|AD134</t>
        </is>
      </c>
      <c r="C612" s="4" t="n">
        <v>10</v>
      </c>
      <c r="D612" s="4" t="n">
        <v>2</v>
      </c>
      <c r="E612" s="4" t="inlineStr">
        <is>
          <t>nâu</t>
        </is>
      </c>
      <c r="F612" s="4" t="inlineStr"/>
      <c r="G612" s="4" t="inlineStr"/>
    </row>
    <row r="613">
      <c r="A613" s="4" t="inlineStr">
        <is>
          <t>MX_HTP-03B (2)</t>
        </is>
      </c>
      <c r="B613" s="4" t="inlineStr">
        <is>
          <t>MX_HTP-03B (2)|AD134</t>
        </is>
      </c>
      <c r="C613" s="4" t="n">
        <v>11</v>
      </c>
      <c r="D613" s="4" t="n">
        <v>2</v>
      </c>
      <c r="E613" s="4" t="inlineStr">
        <is>
          <t>xám</t>
        </is>
      </c>
      <c r="F613" s="4" t="inlineStr"/>
      <c r="G613" s="4" t="inlineStr"/>
    </row>
    <row r="614">
      <c r="A614" s="4" t="inlineStr">
        <is>
          <t>MX_HTP-03B (2)</t>
        </is>
      </c>
      <c r="B614" s="4" t="inlineStr">
        <is>
          <t>MX_HTP-03B (2)|AD134</t>
        </is>
      </c>
      <c r="C614" s="4" t="n">
        <v>12</v>
      </c>
      <c r="D614" s="4" t="n">
        <v>2</v>
      </c>
      <c r="E614" s="4" t="inlineStr">
        <is>
          <t>trắng</t>
        </is>
      </c>
      <c r="F614" s="4" t="inlineStr"/>
      <c r="G614" s="4" t="inlineStr"/>
    </row>
    <row r="615">
      <c r="A615" s="4" t="inlineStr">
        <is>
          <t>MX_HTP-03B (2)</t>
        </is>
      </c>
      <c r="B615" s="4" t="inlineStr">
        <is>
          <t>MX_HTP-03B (2)|AD134</t>
        </is>
      </c>
      <c r="C615" s="4" t="n">
        <v>13</v>
      </c>
      <c r="D615" s="4" t="n">
        <v>3</v>
      </c>
      <c r="E615" s="4" t="inlineStr">
        <is>
          <t>xanh dương</t>
        </is>
      </c>
      <c r="F615" s="4" t="inlineStr"/>
      <c r="G615" s="4" t="inlineStr"/>
    </row>
    <row r="616">
      <c r="A616" s="4" t="inlineStr">
        <is>
          <t>MX_HTP-03B (2)</t>
        </is>
      </c>
      <c r="B616" s="4" t="inlineStr">
        <is>
          <t>MX_HTP-03B (2)|AD134</t>
        </is>
      </c>
      <c r="C616" s="4" t="n">
        <v>14</v>
      </c>
      <c r="D616" s="4" t="n">
        <v>3</v>
      </c>
      <c r="E616" s="4" t="inlineStr">
        <is>
          <t>cam</t>
        </is>
      </c>
      <c r="F616" s="4" t="inlineStr"/>
      <c r="G616" s="4" t="inlineStr"/>
    </row>
    <row r="617">
      <c r="A617" s="4" t="inlineStr">
        <is>
          <t>MX_HTP-03B (2)</t>
        </is>
      </c>
      <c r="B617" s="4" t="inlineStr">
        <is>
          <t>MX_HTP-03B (2)|AD134</t>
        </is>
      </c>
      <c r="C617" s="4" t="n">
        <v>15</v>
      </c>
      <c r="D617" s="4" t="n">
        <v>3</v>
      </c>
      <c r="E617" s="4" t="inlineStr">
        <is>
          <t>xanh lá</t>
        </is>
      </c>
      <c r="F617" s="4" t="inlineStr"/>
      <c r="G617" s="4" t="inlineStr"/>
    </row>
    <row r="618">
      <c r="A618" s="4" t="inlineStr">
        <is>
          <t>MX_HTP-03B (2)</t>
        </is>
      </c>
      <c r="B618" s="4" t="inlineStr">
        <is>
          <t>MX_HTP-03B (2)|AD134</t>
        </is>
      </c>
      <c r="C618" s="4" t="n">
        <v>16</v>
      </c>
      <c r="D618" s="4" t="n">
        <v>3</v>
      </c>
      <c r="E618" s="4" t="inlineStr">
        <is>
          <t>nâu</t>
        </is>
      </c>
      <c r="F618" s="4" t="inlineStr"/>
      <c r="G618" s="4" t="inlineStr"/>
    </row>
    <row r="619">
      <c r="A619" s="4" t="inlineStr">
        <is>
          <t>MX_HTP-03B (2)</t>
        </is>
      </c>
      <c r="B619" s="4" t="inlineStr">
        <is>
          <t>MX_HTP-03B (2)|AD134</t>
        </is>
      </c>
      <c r="C619" s="4" t="n">
        <v>17</v>
      </c>
      <c r="D619" s="4" t="n">
        <v>3</v>
      </c>
      <c r="E619" s="4" t="inlineStr">
        <is>
          <t>xám</t>
        </is>
      </c>
      <c r="F619" s="4" t="inlineStr"/>
      <c r="G619" s="4" t="inlineStr"/>
    </row>
    <row r="620">
      <c r="A620" s="4" t="inlineStr">
        <is>
          <t>MX_HTP-03B (2)</t>
        </is>
      </c>
      <c r="B620" s="4" t="inlineStr">
        <is>
          <t>MX_HTP-03B (2)|AD134</t>
        </is>
      </c>
      <c r="C620" s="4" t="n">
        <v>18</v>
      </c>
      <c r="D620" s="4" t="n">
        <v>3</v>
      </c>
      <c r="E620" s="4" t="inlineStr">
        <is>
          <t>trắng</t>
        </is>
      </c>
      <c r="F620" s="4" t="inlineStr"/>
      <c r="G620" s="4" t="inlineStr"/>
    </row>
    <row r="621">
      <c r="A621" s="4" t="inlineStr">
        <is>
          <t>MX_HTP-03B (2)</t>
        </is>
      </c>
      <c r="B621" s="4" t="inlineStr">
        <is>
          <t>MX_HTP-03B (2)|AD134</t>
        </is>
      </c>
      <c r="C621" s="4" t="n">
        <v>19</v>
      </c>
      <c r="D621" s="4" t="n">
        <v>4</v>
      </c>
      <c r="E621" s="4" t="inlineStr">
        <is>
          <t>xanh dương</t>
        </is>
      </c>
      <c r="F621" s="4" t="inlineStr"/>
      <c r="G621" s="4" t="inlineStr"/>
    </row>
    <row r="622">
      <c r="A622" s="4" t="inlineStr">
        <is>
          <t>MX_HTP-03B (2)</t>
        </is>
      </c>
      <c r="B622" s="4" t="inlineStr">
        <is>
          <t>MX_HTP-03B (2)|AD134</t>
        </is>
      </c>
      <c r="C622" s="4" t="n">
        <v>20</v>
      </c>
      <c r="D622" s="4" t="n">
        <v>4</v>
      </c>
      <c r="E622" s="4" t="inlineStr">
        <is>
          <t>cam</t>
        </is>
      </c>
      <c r="F622" s="4" t="inlineStr"/>
      <c r="G622" s="4" t="inlineStr"/>
    </row>
    <row r="623">
      <c r="A623" s="4" t="inlineStr">
        <is>
          <t>MX_HTP-03B (2)</t>
        </is>
      </c>
      <c r="B623" s="4" t="inlineStr">
        <is>
          <t>MX_HTP-03B (2)|AD134</t>
        </is>
      </c>
      <c r="C623" s="4" t="n">
        <v>21</v>
      </c>
      <c r="D623" s="4" t="n">
        <v>4</v>
      </c>
      <c r="E623" s="4" t="inlineStr">
        <is>
          <t>xanh lá</t>
        </is>
      </c>
      <c r="F623" s="4" t="inlineStr"/>
      <c r="G623" s="4" t="inlineStr"/>
    </row>
    <row r="624">
      <c r="A624" s="4" t="inlineStr">
        <is>
          <t>MX_HTP-03B (2)</t>
        </is>
      </c>
      <c r="B624" s="4" t="inlineStr">
        <is>
          <t>MX_HTP-03B (2)|AD134</t>
        </is>
      </c>
      <c r="C624" s="4" t="n">
        <v>22</v>
      </c>
      <c r="D624" s="4" t="n">
        <v>4</v>
      </c>
      <c r="E624" s="4" t="inlineStr">
        <is>
          <t>nâu</t>
        </is>
      </c>
      <c r="F624" s="4" t="inlineStr"/>
      <c r="G624" s="4" t="inlineStr"/>
    </row>
    <row r="625">
      <c r="A625" s="4" t="inlineStr">
        <is>
          <t>MX_HTP-03B (2)</t>
        </is>
      </c>
      <c r="B625" s="4" t="inlineStr">
        <is>
          <t>MX_HTP-03B (2)|AD134</t>
        </is>
      </c>
      <c r="C625" s="4" t="n">
        <v>23</v>
      </c>
      <c r="D625" s="4" t="n">
        <v>4</v>
      </c>
      <c r="E625" s="4" t="inlineStr">
        <is>
          <t>xám</t>
        </is>
      </c>
      <c r="F625" s="4" t="inlineStr"/>
      <c r="G625" s="4" t="inlineStr"/>
    </row>
    <row r="626">
      <c r="A626" s="4" t="inlineStr">
        <is>
          <t>MX_HTP-03B (2)</t>
        </is>
      </c>
      <c r="B626" s="4" t="inlineStr">
        <is>
          <t>MX_HTP-03B (2)|AD134</t>
        </is>
      </c>
      <c r="C626" s="4" t="n">
        <v>24</v>
      </c>
      <c r="D626" s="4" t="n">
        <v>4</v>
      </c>
      <c r="E626" s="4" t="inlineStr">
        <is>
          <t>trắng</t>
        </is>
      </c>
      <c r="F626" s="4" t="inlineStr"/>
      <c r="G626" s="4" t="inlineStr"/>
    </row>
    <row r="627">
      <c r="A627" s="4" t="inlineStr">
        <is>
          <t>MX_HTP-03B (2)</t>
        </is>
      </c>
      <c r="B627" s="4" t="inlineStr">
        <is>
          <t>MX_HTP-03B (2)|AD147</t>
        </is>
      </c>
      <c r="C627" s="4" t="n">
        <v>1</v>
      </c>
      <c r="D627" s="4" t="n">
        <v>1</v>
      </c>
      <c r="E627" s="4" t="inlineStr">
        <is>
          <t>xanh dương</t>
        </is>
      </c>
      <c r="F627" s="4" t="inlineStr"/>
      <c r="G627" s="4" t="inlineStr"/>
    </row>
    <row r="628">
      <c r="A628" s="4" t="inlineStr">
        <is>
          <t>MX_HTP-03B (2)</t>
        </is>
      </c>
      <c r="B628" s="4" t="inlineStr">
        <is>
          <t>MX_HTP-03B (2)|AD147</t>
        </is>
      </c>
      <c r="C628" s="4" t="n">
        <v>2</v>
      </c>
      <c r="D628" s="4" t="n">
        <v>1</v>
      </c>
      <c r="E628" s="4" t="inlineStr">
        <is>
          <t>cam</t>
        </is>
      </c>
      <c r="F628" s="4" t="inlineStr"/>
      <c r="G628" s="4" t="inlineStr"/>
    </row>
    <row r="629">
      <c r="A629" s="4" t="inlineStr">
        <is>
          <t>MX_HTP-03B (2)</t>
        </is>
      </c>
      <c r="B629" s="4" t="inlineStr">
        <is>
          <t>MX_HTP-03B (2)|AD147</t>
        </is>
      </c>
      <c r="C629" s="4" t="n">
        <v>3</v>
      </c>
      <c r="D629" s="4" t="n">
        <v>1</v>
      </c>
      <c r="E629" s="4" t="inlineStr">
        <is>
          <t>xanh lá</t>
        </is>
      </c>
      <c r="F629" s="4" t="inlineStr"/>
      <c r="G629" s="4" t="inlineStr"/>
    </row>
    <row r="630">
      <c r="A630" s="4" t="inlineStr">
        <is>
          <t>MX_HTP-03B (2)</t>
        </is>
      </c>
      <c r="B630" s="4" t="inlineStr">
        <is>
          <t>MX_HTP-03B (2)|AD147</t>
        </is>
      </c>
      <c r="C630" s="4" t="n">
        <v>4</v>
      </c>
      <c r="D630" s="4" t="n">
        <v>1</v>
      </c>
      <c r="E630" s="4" t="inlineStr">
        <is>
          <t>nâu</t>
        </is>
      </c>
      <c r="F630" s="4" t="inlineStr"/>
      <c r="G630" s="4" t="inlineStr"/>
    </row>
    <row r="631">
      <c r="A631" s="4" t="inlineStr">
        <is>
          <t>MX_HTP-03B (2)</t>
        </is>
      </c>
      <c r="B631" s="4" t="inlineStr">
        <is>
          <t>MX_HTP-03B (2)|AD147</t>
        </is>
      </c>
      <c r="C631" s="4" t="n">
        <v>5</v>
      </c>
      <c r="D631" s="4" t="n">
        <v>1</v>
      </c>
      <c r="E631" s="4" t="inlineStr">
        <is>
          <t>xám</t>
        </is>
      </c>
      <c r="F631" s="4" t="inlineStr"/>
      <c r="G631" s="4" t="inlineStr"/>
    </row>
    <row r="632">
      <c r="A632" s="4" t="inlineStr">
        <is>
          <t>MX_HTP-03B (2)</t>
        </is>
      </c>
      <c r="B632" s="4" t="inlineStr">
        <is>
          <t>MX_HTP-03B (2)|AD147</t>
        </is>
      </c>
      <c r="C632" s="4" t="n">
        <v>6</v>
      </c>
      <c r="D632" s="4" t="n">
        <v>1</v>
      </c>
      <c r="E632" s="4" t="inlineStr">
        <is>
          <t>trắng</t>
        </is>
      </c>
      <c r="F632" s="4" t="inlineStr"/>
      <c r="G632" s="4" t="inlineStr"/>
    </row>
    <row r="633">
      <c r="A633" s="4" t="inlineStr">
        <is>
          <t>MX_HTP-03B (2)</t>
        </is>
      </c>
      <c r="B633" s="4" t="inlineStr">
        <is>
          <t>MX_HTP-03B (2)|AD147</t>
        </is>
      </c>
      <c r="C633" s="4" t="n">
        <v>7</v>
      </c>
      <c r="D633" s="4" t="n">
        <v>2</v>
      </c>
      <c r="E633" s="4" t="inlineStr">
        <is>
          <t>xanh dương</t>
        </is>
      </c>
      <c r="F633" s="4" t="inlineStr"/>
      <c r="G633" s="4" t="inlineStr"/>
    </row>
    <row r="634">
      <c r="A634" s="4" t="inlineStr">
        <is>
          <t>MX_HTP-03B (2)</t>
        </is>
      </c>
      <c r="B634" s="4" t="inlineStr">
        <is>
          <t>MX_HTP-03B (2)|AD147</t>
        </is>
      </c>
      <c r="C634" s="4" t="n">
        <v>8</v>
      </c>
      <c r="D634" s="4" t="n">
        <v>2</v>
      </c>
      <c r="E634" s="4" t="inlineStr">
        <is>
          <t>cam</t>
        </is>
      </c>
      <c r="F634" s="4" t="inlineStr"/>
      <c r="G634" s="4" t="inlineStr"/>
    </row>
    <row r="635">
      <c r="A635" s="4" t="inlineStr">
        <is>
          <t>MX_HTP-03B (2)</t>
        </is>
      </c>
      <c r="B635" s="4" t="inlineStr">
        <is>
          <t>MX_HTP-03B (2)|AD147</t>
        </is>
      </c>
      <c r="C635" s="4" t="n">
        <v>9</v>
      </c>
      <c r="D635" s="4" t="n">
        <v>2</v>
      </c>
      <c r="E635" s="4" t="inlineStr">
        <is>
          <t>xanh lá</t>
        </is>
      </c>
      <c r="F635" s="4" t="inlineStr"/>
      <c r="G635" s="4" t="inlineStr"/>
    </row>
    <row r="636">
      <c r="A636" s="4" t="inlineStr">
        <is>
          <t>MX_HTP-03B (2)</t>
        </is>
      </c>
      <c r="B636" s="4" t="inlineStr">
        <is>
          <t>MX_HTP-03B (2)|AD147</t>
        </is>
      </c>
      <c r="C636" s="4" t="n">
        <v>10</v>
      </c>
      <c r="D636" s="4" t="n">
        <v>2</v>
      </c>
      <c r="E636" s="4" t="inlineStr">
        <is>
          <t>nâu</t>
        </is>
      </c>
      <c r="F636" s="4" t="inlineStr"/>
      <c r="G636" s="4" t="inlineStr"/>
    </row>
    <row r="637">
      <c r="A637" s="4" t="inlineStr">
        <is>
          <t>MX_HTP-03B (2)</t>
        </is>
      </c>
      <c r="B637" s="4" t="inlineStr">
        <is>
          <t>MX_HTP-03B (2)|AD147</t>
        </is>
      </c>
      <c r="C637" s="4" t="n">
        <v>11</v>
      </c>
      <c r="D637" s="4" t="n">
        <v>2</v>
      </c>
      <c r="E637" s="4" t="inlineStr">
        <is>
          <t>xám</t>
        </is>
      </c>
      <c r="F637" s="4" t="inlineStr"/>
      <c r="G637" s="4" t="inlineStr"/>
    </row>
    <row r="638">
      <c r="A638" s="4" t="inlineStr">
        <is>
          <t>MX_HTP-03B (2)</t>
        </is>
      </c>
      <c r="B638" s="4" t="inlineStr">
        <is>
          <t>MX_HTP-03B (2)|AD147</t>
        </is>
      </c>
      <c r="C638" s="4" t="n">
        <v>12</v>
      </c>
      <c r="D638" s="4" t="n">
        <v>2</v>
      </c>
      <c r="E638" s="4" t="inlineStr">
        <is>
          <t>trắng</t>
        </is>
      </c>
      <c r="F638" s="4" t="inlineStr"/>
      <c r="G638" s="4" t="inlineStr"/>
    </row>
    <row r="639">
      <c r="A639" s="4" t="inlineStr">
        <is>
          <t>MX_NVT_01</t>
        </is>
      </c>
      <c r="B639" s="4" t="inlineStr">
        <is>
          <t>MX_NVT_01|AD154</t>
        </is>
      </c>
      <c r="C639" s="4" t="n">
        <v>1</v>
      </c>
      <c r="D639" s="4" t="n">
        <v>1</v>
      </c>
      <c r="E639" s="4" t="inlineStr">
        <is>
          <t>xanh dương</t>
        </is>
      </c>
      <c r="F639" s="4" t="inlineStr"/>
      <c r="G639" s="4" t="inlineStr"/>
    </row>
    <row r="640">
      <c r="A640" s="4" t="inlineStr">
        <is>
          <t>MX_NVT_01</t>
        </is>
      </c>
      <c r="B640" s="4" t="inlineStr">
        <is>
          <t>MX_NVT_01|AD154</t>
        </is>
      </c>
      <c r="C640" s="4" t="n">
        <v>2</v>
      </c>
      <c r="D640" s="4" t="n">
        <v>1</v>
      </c>
      <c r="E640" s="4" t="inlineStr">
        <is>
          <t>cam</t>
        </is>
      </c>
      <c r="F640" s="4" t="inlineStr"/>
      <c r="G640" s="4" t="inlineStr"/>
    </row>
    <row r="641">
      <c r="A641" s="4" t="inlineStr">
        <is>
          <t>MX_NVT_01</t>
        </is>
      </c>
      <c r="B641" s="4" t="inlineStr">
        <is>
          <t>MX_NVT_01|AD154</t>
        </is>
      </c>
      <c r="C641" s="4" t="n">
        <v>3</v>
      </c>
      <c r="D641" s="4" t="n">
        <v>1</v>
      </c>
      <c r="E641" s="4" t="inlineStr">
        <is>
          <t>xanh lá</t>
        </is>
      </c>
      <c r="F641" s="4" t="inlineStr"/>
      <c r="G641" s="4" t="inlineStr"/>
    </row>
    <row r="642">
      <c r="A642" s="4" t="inlineStr">
        <is>
          <t>MX_NVT_01</t>
        </is>
      </c>
      <c r="B642" s="4" t="inlineStr">
        <is>
          <t>MX_NVT_01|AD154</t>
        </is>
      </c>
      <c r="C642" s="4" t="n">
        <v>4</v>
      </c>
      <c r="D642" s="4" t="n">
        <v>1</v>
      </c>
      <c r="E642" s="4" t="inlineStr">
        <is>
          <t>nâu</t>
        </is>
      </c>
      <c r="F642" s="4" t="inlineStr"/>
      <c r="G642" s="4" t="inlineStr"/>
    </row>
    <row r="643">
      <c r="A643" s="4" t="inlineStr">
        <is>
          <t>MX_NVT_01</t>
        </is>
      </c>
      <c r="B643" s="4" t="inlineStr">
        <is>
          <t>MX_NVT_01|AD154</t>
        </is>
      </c>
      <c r="C643" s="4" t="n">
        <v>5</v>
      </c>
      <c r="D643" s="4" t="n">
        <v>1</v>
      </c>
      <c r="E643" s="4" t="inlineStr">
        <is>
          <t>xám</t>
        </is>
      </c>
      <c r="F643" s="4" t="inlineStr"/>
      <c r="G643" s="4" t="inlineStr"/>
    </row>
    <row r="644">
      <c r="A644" s="4" t="inlineStr">
        <is>
          <t>MX_NVT_01</t>
        </is>
      </c>
      <c r="B644" s="4" t="inlineStr">
        <is>
          <t>MX_NVT_01|AD154</t>
        </is>
      </c>
      <c r="C644" s="4" t="n">
        <v>6</v>
      </c>
      <c r="D644" s="4" t="n">
        <v>1</v>
      </c>
      <c r="E644" s="4" t="inlineStr">
        <is>
          <t>trắng</t>
        </is>
      </c>
      <c r="F644" s="4" t="inlineStr"/>
      <c r="G644" s="4" t="inlineStr"/>
    </row>
    <row r="645">
      <c r="A645" s="4" t="inlineStr">
        <is>
          <t>MX_NVT_01</t>
        </is>
      </c>
      <c r="B645" s="4" t="inlineStr">
        <is>
          <t>MX_NVT_01|AD154</t>
        </is>
      </c>
      <c r="C645" s="4" t="n">
        <v>7</v>
      </c>
      <c r="D645" s="4" t="n">
        <v>2</v>
      </c>
      <c r="E645" s="4" t="inlineStr">
        <is>
          <t>xanh dương</t>
        </is>
      </c>
      <c r="F645" s="4" t="inlineStr"/>
      <c r="G645" s="4" t="inlineStr"/>
    </row>
    <row r="646">
      <c r="A646" s="4" t="inlineStr">
        <is>
          <t>MX_NVT_01</t>
        </is>
      </c>
      <c r="B646" s="4" t="inlineStr">
        <is>
          <t>MX_NVT_01|AD154</t>
        </is>
      </c>
      <c r="C646" s="4" t="n">
        <v>8</v>
      </c>
      <c r="D646" s="4" t="n">
        <v>2</v>
      </c>
      <c r="E646" s="4" t="inlineStr">
        <is>
          <t>cam</t>
        </is>
      </c>
      <c r="F646" s="4" t="inlineStr"/>
      <c r="G646" s="4" t="inlineStr"/>
    </row>
    <row r="647">
      <c r="A647" s="4" t="inlineStr">
        <is>
          <t>MX_NVT_01</t>
        </is>
      </c>
      <c r="B647" s="4" t="inlineStr">
        <is>
          <t>MX_NVT_01|AD154</t>
        </is>
      </c>
      <c r="C647" s="4" t="n">
        <v>9</v>
      </c>
      <c r="D647" s="4" t="n">
        <v>2</v>
      </c>
      <c r="E647" s="4" t="inlineStr">
        <is>
          <t>xanh lá</t>
        </is>
      </c>
      <c r="F647" s="4" t="inlineStr"/>
      <c r="G647" s="4" t="inlineStr"/>
    </row>
    <row r="648">
      <c r="A648" s="4" t="inlineStr">
        <is>
          <t>MX_NVT_01</t>
        </is>
      </c>
      <c r="B648" s="4" t="inlineStr">
        <is>
          <t>MX_NVT_01|AD154</t>
        </is>
      </c>
      <c r="C648" s="4" t="n">
        <v>10</v>
      </c>
      <c r="D648" s="4" t="n">
        <v>2</v>
      </c>
      <c r="E648" s="4" t="inlineStr">
        <is>
          <t>nâu</t>
        </is>
      </c>
      <c r="F648" s="4" t="inlineStr"/>
      <c r="G648" s="4" t="inlineStr"/>
    </row>
    <row r="649">
      <c r="A649" s="4" t="inlineStr">
        <is>
          <t>MX_NVT_01</t>
        </is>
      </c>
      <c r="B649" s="4" t="inlineStr">
        <is>
          <t>MX_NVT_01|AD154</t>
        </is>
      </c>
      <c r="C649" s="4" t="n">
        <v>11</v>
      </c>
      <c r="D649" s="4" t="n">
        <v>2</v>
      </c>
      <c r="E649" s="4" t="inlineStr">
        <is>
          <t>xám</t>
        </is>
      </c>
      <c r="F649" s="4" t="inlineStr"/>
      <c r="G649" s="4" t="inlineStr"/>
    </row>
    <row r="650">
      <c r="A650" s="4" t="inlineStr">
        <is>
          <t>MX_NVT_01</t>
        </is>
      </c>
      <c r="B650" s="4" t="inlineStr">
        <is>
          <t>MX_NVT_01|AD154</t>
        </is>
      </c>
      <c r="C650" s="4" t="n">
        <v>12</v>
      </c>
      <c r="D650" s="4" t="n">
        <v>2</v>
      </c>
      <c r="E650" s="4" t="inlineStr">
        <is>
          <t>trắng</t>
        </is>
      </c>
      <c r="F650" s="4" t="inlineStr"/>
      <c r="G650" s="4" t="inlineStr"/>
    </row>
    <row r="651">
      <c r="A651" s="4" t="inlineStr">
        <is>
          <t>MX_NVT_01</t>
        </is>
      </c>
      <c r="B651" s="4" t="inlineStr">
        <is>
          <t>MX_NVT_01|AQ154</t>
        </is>
      </c>
      <c r="C651" s="4" t="n">
        <v>1</v>
      </c>
      <c r="D651" s="4" t="n">
        <v>1</v>
      </c>
      <c r="E651" s="4" t="inlineStr">
        <is>
          <t>xanh dương</t>
        </is>
      </c>
      <c r="F651" s="4" t="inlineStr"/>
      <c r="G651" s="4" t="inlineStr"/>
    </row>
    <row r="652">
      <c r="A652" s="4" t="inlineStr">
        <is>
          <t>MX_NVT_01</t>
        </is>
      </c>
      <c r="B652" s="4" t="inlineStr">
        <is>
          <t>MX_NVT_01|AQ154</t>
        </is>
      </c>
      <c r="C652" s="4" t="n">
        <v>2</v>
      </c>
      <c r="D652" s="4" t="n">
        <v>1</v>
      </c>
      <c r="E652" s="4" t="inlineStr">
        <is>
          <t>cam</t>
        </is>
      </c>
      <c r="F652" s="4" t="inlineStr"/>
      <c r="G652" s="4" t="inlineStr"/>
    </row>
    <row r="653">
      <c r="A653" s="4" t="inlineStr">
        <is>
          <t>MX_NVT_01</t>
        </is>
      </c>
      <c r="B653" s="4" t="inlineStr">
        <is>
          <t>MX_NVT_01|AQ154</t>
        </is>
      </c>
      <c r="C653" s="4" t="n">
        <v>3</v>
      </c>
      <c r="D653" s="4" t="n">
        <v>1</v>
      </c>
      <c r="E653" s="4" t="inlineStr">
        <is>
          <t>xanh lá</t>
        </is>
      </c>
      <c r="F653" s="4" t="inlineStr"/>
      <c r="G653" s="4" t="inlineStr"/>
    </row>
    <row r="654">
      <c r="A654" s="4" t="inlineStr">
        <is>
          <t>MX_NVT_01</t>
        </is>
      </c>
      <c r="B654" s="4" t="inlineStr">
        <is>
          <t>MX_NVT_01|AQ154</t>
        </is>
      </c>
      <c r="C654" s="4" t="n">
        <v>4</v>
      </c>
      <c r="D654" s="4" t="n">
        <v>1</v>
      </c>
      <c r="E654" s="4" t="inlineStr">
        <is>
          <t>nâu</t>
        </is>
      </c>
      <c r="F654" s="4" t="inlineStr"/>
      <c r="G654" s="4" t="inlineStr"/>
    </row>
    <row r="655">
      <c r="A655" s="4" t="inlineStr">
        <is>
          <t>MX_NVT_01</t>
        </is>
      </c>
      <c r="B655" s="4" t="inlineStr">
        <is>
          <t>MX_NVT_01|AQ154</t>
        </is>
      </c>
      <c r="C655" s="4" t="n">
        <v>5</v>
      </c>
      <c r="D655" s="4" t="n">
        <v>1</v>
      </c>
      <c r="E655" s="4" t="inlineStr">
        <is>
          <t>xám</t>
        </is>
      </c>
      <c r="F655" s="4" t="inlineStr"/>
      <c r="G655" s="4" t="inlineStr"/>
    </row>
    <row r="656">
      <c r="A656" s="4" t="inlineStr">
        <is>
          <t>MX_NVT_01</t>
        </is>
      </c>
      <c r="B656" s="4" t="inlineStr">
        <is>
          <t>MX_NVT_01|AQ154</t>
        </is>
      </c>
      <c r="C656" s="4" t="n">
        <v>6</v>
      </c>
      <c r="D656" s="4" t="n">
        <v>1</v>
      </c>
      <c r="E656" s="4" t="inlineStr">
        <is>
          <t>trắng</t>
        </is>
      </c>
      <c r="F656" s="4" t="inlineStr"/>
      <c r="G656" s="4" t="inlineStr"/>
    </row>
    <row r="657">
      <c r="A657" s="4" t="inlineStr">
        <is>
          <t>MX_NVT_01</t>
        </is>
      </c>
      <c r="B657" s="4" t="inlineStr">
        <is>
          <t>MX_NVT_01|AQ154</t>
        </is>
      </c>
      <c r="C657" s="4" t="n">
        <v>7</v>
      </c>
      <c r="D657" s="4" t="n">
        <v>2</v>
      </c>
      <c r="E657" s="4" t="inlineStr">
        <is>
          <t>xanh dương</t>
        </is>
      </c>
      <c r="F657" s="4" t="inlineStr"/>
      <c r="G657" s="4" t="inlineStr"/>
    </row>
    <row r="658">
      <c r="A658" s="4" t="inlineStr">
        <is>
          <t>MX_NVT_01</t>
        </is>
      </c>
      <c r="B658" s="4" t="inlineStr">
        <is>
          <t>MX_NVT_01|AQ154</t>
        </is>
      </c>
      <c r="C658" s="4" t="n">
        <v>8</v>
      </c>
      <c r="D658" s="4" t="n">
        <v>2</v>
      </c>
      <c r="E658" s="4" t="inlineStr">
        <is>
          <t>cam</t>
        </is>
      </c>
      <c r="F658" s="4" t="inlineStr"/>
      <c r="G658" s="4" t="inlineStr"/>
    </row>
    <row r="659">
      <c r="A659" s="4" t="inlineStr">
        <is>
          <t>MX_NVT_01</t>
        </is>
      </c>
      <c r="B659" s="4" t="inlineStr">
        <is>
          <t>MX_NVT_01|AD167</t>
        </is>
      </c>
      <c r="C659" s="4" t="n">
        <v>1</v>
      </c>
      <c r="D659" s="4" t="n">
        <v>1</v>
      </c>
      <c r="E659" s="4" t="inlineStr">
        <is>
          <t>xanh dương</t>
        </is>
      </c>
      <c r="F659" s="4" t="inlineStr"/>
      <c r="G659" s="4" t="inlineStr"/>
    </row>
    <row r="660">
      <c r="A660" s="4" t="inlineStr">
        <is>
          <t>MX_NVT_01</t>
        </is>
      </c>
      <c r="B660" s="4" t="inlineStr">
        <is>
          <t>MX_NVT_01|AD167</t>
        </is>
      </c>
      <c r="C660" s="4" t="n">
        <v>2</v>
      </c>
      <c r="D660" s="4" t="n">
        <v>1</v>
      </c>
      <c r="E660" s="4" t="inlineStr">
        <is>
          <t>cam</t>
        </is>
      </c>
      <c r="F660" s="4" t="inlineStr"/>
      <c r="G660" s="4" t="inlineStr"/>
    </row>
    <row r="661">
      <c r="A661" s="4" t="inlineStr">
        <is>
          <t>MX_NVT_01</t>
        </is>
      </c>
      <c r="B661" s="4" t="inlineStr">
        <is>
          <t>MX_NVT_01|AD167</t>
        </is>
      </c>
      <c r="C661" s="4" t="n">
        <v>3</v>
      </c>
      <c r="D661" s="4" t="n">
        <v>1</v>
      </c>
      <c r="E661" s="4" t="inlineStr">
        <is>
          <t>xanh lá</t>
        </is>
      </c>
      <c r="F661" s="4" t="inlineStr"/>
      <c r="G661" s="4" t="inlineStr"/>
    </row>
    <row r="662">
      <c r="A662" s="4" t="inlineStr">
        <is>
          <t>MX_NVT_01</t>
        </is>
      </c>
      <c r="B662" s="4" t="inlineStr">
        <is>
          <t>MX_NVT_01|AD167</t>
        </is>
      </c>
      <c r="C662" s="4" t="n">
        <v>4</v>
      </c>
      <c r="D662" s="4" t="n">
        <v>1</v>
      </c>
      <c r="E662" s="4" t="inlineStr">
        <is>
          <t>nâu</t>
        </is>
      </c>
      <c r="F662" s="4" t="inlineStr"/>
      <c r="G662" s="4" t="inlineStr"/>
    </row>
    <row r="663">
      <c r="A663" s="4" t="inlineStr">
        <is>
          <t>MX_NVT_01</t>
        </is>
      </c>
      <c r="B663" s="4" t="inlineStr">
        <is>
          <t>MX_NVT_01|AD167</t>
        </is>
      </c>
      <c r="C663" s="4" t="n">
        <v>5</v>
      </c>
      <c r="D663" s="4" t="n">
        <v>1</v>
      </c>
      <c r="E663" s="4" t="inlineStr">
        <is>
          <t>xám</t>
        </is>
      </c>
      <c r="F663" s="4" t="inlineStr"/>
      <c r="G663" s="4" t="inlineStr"/>
    </row>
    <row r="664">
      <c r="A664" s="4" t="inlineStr">
        <is>
          <t>MX_NVT_01</t>
        </is>
      </c>
      <c r="B664" s="4" t="inlineStr">
        <is>
          <t>MX_NVT_01|AD167</t>
        </is>
      </c>
      <c r="C664" s="4" t="n">
        <v>6</v>
      </c>
      <c r="D664" s="4" t="n">
        <v>1</v>
      </c>
      <c r="E664" s="4" t="inlineStr">
        <is>
          <t>trắng</t>
        </is>
      </c>
      <c r="F664" s="4" t="inlineStr"/>
      <c r="G664" s="4" t="inlineStr"/>
    </row>
    <row r="665">
      <c r="A665" s="4" t="inlineStr">
        <is>
          <t>MX_NVT_01</t>
        </is>
      </c>
      <c r="B665" s="4" t="inlineStr">
        <is>
          <t>MX_NVT_01|AD167</t>
        </is>
      </c>
      <c r="C665" s="4" t="n">
        <v>7</v>
      </c>
      <c r="D665" s="4" t="n">
        <v>2</v>
      </c>
      <c r="E665" s="4" t="inlineStr">
        <is>
          <t>xanh dương</t>
        </is>
      </c>
      <c r="F665" s="4" t="inlineStr"/>
      <c r="G665" s="4" t="inlineStr"/>
    </row>
    <row r="666">
      <c r="A666" s="4" t="inlineStr">
        <is>
          <t>MX_NVT_01</t>
        </is>
      </c>
      <c r="B666" s="4" t="inlineStr">
        <is>
          <t>MX_NVT_01|AD167</t>
        </is>
      </c>
      <c r="C666" s="4" t="n">
        <v>8</v>
      </c>
      <c r="D666" s="4" t="n">
        <v>2</v>
      </c>
      <c r="E666" s="4" t="inlineStr">
        <is>
          <t>cam</t>
        </is>
      </c>
      <c r="F666" s="4" t="inlineStr"/>
      <c r="G666" s="4" t="inlineStr"/>
    </row>
    <row r="667">
      <c r="A667" s="4" t="inlineStr">
        <is>
          <t>MX_NVT_01</t>
        </is>
      </c>
      <c r="B667" s="4" t="inlineStr">
        <is>
          <t>MX_NVT_01|AD167</t>
        </is>
      </c>
      <c r="C667" s="4" t="n">
        <v>9</v>
      </c>
      <c r="D667" s="4" t="n">
        <v>2</v>
      </c>
      <c r="E667" s="4" t="inlineStr">
        <is>
          <t>xanh lá</t>
        </is>
      </c>
      <c r="F667" s="4" t="inlineStr"/>
      <c r="G667" s="4" t="inlineStr"/>
    </row>
    <row r="668">
      <c r="A668" s="4" t="inlineStr">
        <is>
          <t>MX_NVT_01</t>
        </is>
      </c>
      <c r="B668" s="4" t="inlineStr">
        <is>
          <t>MX_NVT_01|AD167</t>
        </is>
      </c>
      <c r="C668" s="4" t="n">
        <v>10</v>
      </c>
      <c r="D668" s="4" t="n">
        <v>2</v>
      </c>
      <c r="E668" s="4" t="inlineStr">
        <is>
          <t>nâu</t>
        </is>
      </c>
      <c r="F668" s="4" t="inlineStr"/>
      <c r="G668" s="4" t="inlineStr"/>
    </row>
    <row r="669">
      <c r="A669" s="4" t="inlineStr">
        <is>
          <t>MX_NVT_01</t>
        </is>
      </c>
      <c r="B669" s="4" t="inlineStr">
        <is>
          <t>MX_NVT_01|AD167</t>
        </is>
      </c>
      <c r="C669" s="4" t="n">
        <v>11</v>
      </c>
      <c r="D669" s="4" t="n">
        <v>2</v>
      </c>
      <c r="E669" s="4" t="inlineStr">
        <is>
          <t>xám</t>
        </is>
      </c>
      <c r="F669" s="4" t="inlineStr"/>
      <c r="G669" s="4" t="inlineStr"/>
    </row>
    <row r="670">
      <c r="A670" s="4" t="inlineStr">
        <is>
          <t>MX_NVT_01</t>
        </is>
      </c>
      <c r="B670" s="4" t="inlineStr">
        <is>
          <t>MX_NVT_01|AD167</t>
        </is>
      </c>
      <c r="C670" s="4" t="n">
        <v>12</v>
      </c>
      <c r="D670" s="4" t="n">
        <v>2</v>
      </c>
      <c r="E670" s="4" t="inlineStr">
        <is>
          <t>trắng</t>
        </is>
      </c>
      <c r="F670" s="4" t="inlineStr"/>
      <c r="G670" s="4" t="inlineStr"/>
    </row>
    <row r="671">
      <c r="A671" s="4" t="inlineStr">
        <is>
          <t>MX_NVT_02B</t>
        </is>
      </c>
      <c r="B671" s="4" t="inlineStr">
        <is>
          <t>MX_NVT_02B|H174</t>
        </is>
      </c>
      <c r="C671" s="4" t="n">
        <v>1</v>
      </c>
      <c r="D671" s="4" t="n">
        <v>1</v>
      </c>
      <c r="E671" s="4" t="inlineStr">
        <is>
          <t>xanh dương</t>
        </is>
      </c>
      <c r="F671" s="4" t="inlineStr">
        <is>
          <t>A</t>
        </is>
      </c>
      <c r="G671" s="4" t="inlineStr"/>
    </row>
    <row r="672">
      <c r="A672" s="4" t="inlineStr">
        <is>
          <t>MX_NVT_02B</t>
        </is>
      </c>
      <c r="B672" s="4" t="inlineStr">
        <is>
          <t>MX_NVT_02B|H174</t>
        </is>
      </c>
      <c r="C672" s="4" t="n">
        <v>2</v>
      </c>
      <c r="D672" s="4" t="n">
        <v>1</v>
      </c>
      <c r="E672" s="4" t="inlineStr">
        <is>
          <t>cam</t>
        </is>
      </c>
      <c r="F672" s="4" t="inlineStr">
        <is>
          <t>A</t>
        </is>
      </c>
      <c r="G672" s="4" t="inlineStr"/>
    </row>
    <row r="673">
      <c r="A673" s="4" t="inlineStr">
        <is>
          <t>MX_NVT_02B</t>
        </is>
      </c>
      <c r="B673" s="4" t="inlineStr">
        <is>
          <t>MX_NVT_02B|H174</t>
        </is>
      </c>
      <c r="C673" s="4" t="n">
        <v>3</v>
      </c>
      <c r="D673" s="4" t="n">
        <v>1</v>
      </c>
      <c r="E673" s="4" t="inlineStr">
        <is>
          <t>xanh lá</t>
        </is>
      </c>
      <c r="F673" s="4" t="inlineStr">
        <is>
          <t>B</t>
        </is>
      </c>
      <c r="G673" s="4" t="inlineStr"/>
    </row>
    <row r="674">
      <c r="A674" s="4" t="inlineStr">
        <is>
          <t>MX_NVT_02B</t>
        </is>
      </c>
      <c r="B674" s="4" t="inlineStr">
        <is>
          <t>MX_NVT_02B|H174</t>
        </is>
      </c>
      <c r="C674" s="4" t="n">
        <v>4</v>
      </c>
      <c r="D674" s="4" t="n">
        <v>1</v>
      </c>
      <c r="E674" s="4" t="inlineStr">
        <is>
          <t>nâu</t>
        </is>
      </c>
      <c r="F674" s="4" t="inlineStr">
        <is>
          <t>B</t>
        </is>
      </c>
      <c r="G674" s="4" t="inlineStr"/>
    </row>
    <row r="675">
      <c r="A675" s="4" t="inlineStr">
        <is>
          <t>MX_NVT_02B</t>
        </is>
      </c>
      <c r="B675" s="4" t="inlineStr">
        <is>
          <t>MX_NVT_02B|H174</t>
        </is>
      </c>
      <c r="C675" s="4" t="n">
        <v>5</v>
      </c>
      <c r="D675" s="4" t="n">
        <v>1</v>
      </c>
      <c r="E675" s="4" t="inlineStr">
        <is>
          <t>xám</t>
        </is>
      </c>
      <c r="F675" s="4" t="inlineStr"/>
      <c r="G675" s="4" t="inlineStr"/>
    </row>
    <row r="676">
      <c r="A676" s="4" t="inlineStr">
        <is>
          <t>MX_NVT_02B</t>
        </is>
      </c>
      <c r="B676" s="4" t="inlineStr">
        <is>
          <t>MX_NVT_02B|H174</t>
        </is>
      </c>
      <c r="C676" s="4" t="n">
        <v>6</v>
      </c>
      <c r="D676" s="4" t="n">
        <v>1</v>
      </c>
      <c r="E676" s="4" t="inlineStr">
        <is>
          <t>trắng</t>
        </is>
      </c>
      <c r="F676" s="4" t="inlineStr"/>
      <c r="G676" s="4" t="inlineStr"/>
    </row>
    <row r="677">
      <c r="A677" s="4" t="inlineStr">
        <is>
          <t>MX_NVT_02B</t>
        </is>
      </c>
      <c r="B677" s="4" t="inlineStr">
        <is>
          <t>MX_NVT_02B|H174</t>
        </is>
      </c>
      <c r="C677" s="4" t="n">
        <v>7</v>
      </c>
      <c r="D677" s="4" t="n">
        <v>2</v>
      </c>
      <c r="E677" s="4" t="inlineStr">
        <is>
          <t>xanh dương</t>
        </is>
      </c>
      <c r="F677" s="4" t="inlineStr">
        <is>
          <t>C</t>
        </is>
      </c>
      <c r="G677" s="4" t="inlineStr"/>
    </row>
    <row r="678">
      <c r="A678" s="4" t="inlineStr">
        <is>
          <t>MX_NVT_02B</t>
        </is>
      </c>
      <c r="B678" s="4" t="inlineStr">
        <is>
          <t>MX_NVT_02B|H174</t>
        </is>
      </c>
      <c r="C678" s="4" t="n">
        <v>8</v>
      </c>
      <c r="D678" s="4" t="n">
        <v>2</v>
      </c>
      <c r="E678" s="4" t="inlineStr">
        <is>
          <t>cam</t>
        </is>
      </c>
      <c r="F678" s="4" t="inlineStr">
        <is>
          <t>C</t>
        </is>
      </c>
      <c r="G678" s="4" t="inlineStr"/>
    </row>
    <row r="679">
      <c r="A679" s="4" t="inlineStr">
        <is>
          <t>MX_NVT_02B</t>
        </is>
      </c>
      <c r="B679" s="4" t="inlineStr">
        <is>
          <t>MX_NVT_02B|H174</t>
        </is>
      </c>
      <c r="C679" s="4" t="n">
        <v>9</v>
      </c>
      <c r="D679" s="4" t="n">
        <v>2</v>
      </c>
      <c r="E679" s="4" t="inlineStr">
        <is>
          <t>xanh lá</t>
        </is>
      </c>
      <c r="F679" s="4" t="inlineStr">
        <is>
          <t>C</t>
        </is>
      </c>
      <c r="G679" s="4" t="inlineStr">
        <is>
          <t>HNB066</t>
        </is>
      </c>
    </row>
    <row r="680">
      <c r="A680" s="4" t="inlineStr">
        <is>
          <t>MX_NVT_02B</t>
        </is>
      </c>
      <c r="B680" s="4" t="inlineStr">
        <is>
          <t>MX_NVT_02B|H174</t>
        </is>
      </c>
      <c r="C680" s="4" t="n">
        <v>10</v>
      </c>
      <c r="D680" s="4" t="n">
        <v>2</v>
      </c>
      <c r="E680" s="4" t="inlineStr">
        <is>
          <t>nâu</t>
        </is>
      </c>
      <c r="F680" s="4" t="inlineStr">
        <is>
          <t>C</t>
        </is>
      </c>
      <c r="G680" s="4" t="inlineStr">
        <is>
          <t>HNB066</t>
        </is>
      </c>
    </row>
    <row r="681">
      <c r="A681" s="4" t="inlineStr">
        <is>
          <t>MX_NVT_02B</t>
        </is>
      </c>
      <c r="B681" s="4" t="inlineStr">
        <is>
          <t>MX_NVT_02B|H174</t>
        </is>
      </c>
      <c r="C681" s="4" t="n">
        <v>11</v>
      </c>
      <c r="D681" s="4" t="n">
        <v>2</v>
      </c>
      <c r="E681" s="4" t="inlineStr">
        <is>
          <t>xám</t>
        </is>
      </c>
      <c r="F681" s="4" t="inlineStr">
        <is>
          <t>C</t>
        </is>
      </c>
      <c r="G681" s="4" t="inlineStr">
        <is>
          <t>HNB005</t>
        </is>
      </c>
    </row>
    <row r="682">
      <c r="A682" s="4" t="inlineStr">
        <is>
          <t>MX_NVT_02B</t>
        </is>
      </c>
      <c r="B682" s="4" t="inlineStr">
        <is>
          <t>MX_NVT_02B|H174</t>
        </is>
      </c>
      <c r="C682" s="4" t="n">
        <v>12</v>
      </c>
      <c r="D682" s="4" t="n">
        <v>2</v>
      </c>
      <c r="E682" s="4" t="inlineStr">
        <is>
          <t>trắng</t>
        </is>
      </c>
      <c r="F682" s="4" t="inlineStr">
        <is>
          <t>C</t>
        </is>
      </c>
      <c r="G682" s="4" t="inlineStr">
        <is>
          <t>HNB005</t>
        </is>
      </c>
    </row>
    <row r="683">
      <c r="A683" s="4" t="inlineStr">
        <is>
          <t>MX_NVT_02B</t>
        </is>
      </c>
      <c r="B683" s="4" t="inlineStr">
        <is>
          <t>MX_NVT_02B|U174</t>
        </is>
      </c>
      <c r="C683" s="4" t="n">
        <v>1</v>
      </c>
      <c r="D683" s="4" t="n">
        <v>1</v>
      </c>
      <c r="E683" s="4" t="inlineStr">
        <is>
          <t>xanh dương</t>
        </is>
      </c>
      <c r="F683" s="4" t="inlineStr">
        <is>
          <t>C</t>
        </is>
      </c>
      <c r="G683" s="4" t="inlineStr"/>
    </row>
    <row r="684">
      <c r="A684" s="4" t="inlineStr">
        <is>
          <t>MX_NVT_02B</t>
        </is>
      </c>
      <c r="B684" s="4" t="inlineStr">
        <is>
          <t>MX_NVT_02B|U174</t>
        </is>
      </c>
      <c r="C684" s="4" t="n">
        <v>2</v>
      </c>
      <c r="D684" s="4" t="n">
        <v>1</v>
      </c>
      <c r="E684" s="4" t="inlineStr">
        <is>
          <t>cam</t>
        </is>
      </c>
      <c r="F684" s="4" t="inlineStr">
        <is>
          <t>C</t>
        </is>
      </c>
      <c r="G684" s="4" t="inlineStr"/>
    </row>
    <row r="685">
      <c r="A685" s="4" t="inlineStr">
        <is>
          <t>MX_NVT_02B</t>
        </is>
      </c>
      <c r="B685" s="4" t="inlineStr">
        <is>
          <t>MX_NVT_02B|U174</t>
        </is>
      </c>
      <c r="C685" s="4" t="n">
        <v>3</v>
      </c>
      <c r="D685" s="4" t="n">
        <v>1</v>
      </c>
      <c r="E685" s="4" t="inlineStr">
        <is>
          <t>xanh lá</t>
        </is>
      </c>
      <c r="F685" s="4" t="inlineStr">
        <is>
          <t>C</t>
        </is>
      </c>
      <c r="G685" s="4" t="inlineStr">
        <is>
          <t>HNB066</t>
        </is>
      </c>
    </row>
    <row r="686">
      <c r="A686" s="4" t="inlineStr">
        <is>
          <t>MX_NVT_02B</t>
        </is>
      </c>
      <c r="B686" s="4" t="inlineStr">
        <is>
          <t>MX_NVT_02B|U174</t>
        </is>
      </c>
      <c r="C686" s="4" t="n">
        <v>4</v>
      </c>
      <c r="D686" s="4" t="n">
        <v>1</v>
      </c>
      <c r="E686" s="4" t="inlineStr">
        <is>
          <t>nâu</t>
        </is>
      </c>
      <c r="F686" s="4" t="inlineStr">
        <is>
          <t>C</t>
        </is>
      </c>
      <c r="G686" s="4" t="inlineStr">
        <is>
          <t>HNB066</t>
        </is>
      </c>
    </row>
    <row r="687">
      <c r="A687" s="4" t="inlineStr">
        <is>
          <t>MX_NVT_02B</t>
        </is>
      </c>
      <c r="B687" s="4" t="inlineStr">
        <is>
          <t>MX_NVT_02B|U174</t>
        </is>
      </c>
      <c r="C687" s="4" t="n">
        <v>5</v>
      </c>
      <c r="D687" s="4" t="n">
        <v>1</v>
      </c>
      <c r="E687" s="4" t="inlineStr">
        <is>
          <t>xám</t>
        </is>
      </c>
      <c r="F687" s="4" t="inlineStr">
        <is>
          <t>C</t>
        </is>
      </c>
      <c r="G687" s="4" t="inlineStr">
        <is>
          <t>HNB005</t>
        </is>
      </c>
    </row>
    <row r="688">
      <c r="A688" s="4" t="inlineStr">
        <is>
          <t>MX_NVT_02B</t>
        </is>
      </c>
      <c r="B688" s="4" t="inlineStr">
        <is>
          <t>MX_NVT_02B|U174</t>
        </is>
      </c>
      <c r="C688" s="4" t="n">
        <v>6</v>
      </c>
      <c r="D688" s="4" t="n">
        <v>1</v>
      </c>
      <c r="E688" s="4" t="inlineStr">
        <is>
          <t>trắng</t>
        </is>
      </c>
      <c r="F688" s="4" t="inlineStr">
        <is>
          <t>C</t>
        </is>
      </c>
      <c r="G688" s="4" t="inlineStr">
        <is>
          <t>HNB005</t>
        </is>
      </c>
    </row>
    <row r="689">
      <c r="A689" s="4" t="inlineStr">
        <is>
          <t>MX_NVT_02B</t>
        </is>
      </c>
      <c r="B689" s="4" t="inlineStr">
        <is>
          <t>MX_NVT_02B|U174</t>
        </is>
      </c>
      <c r="C689" s="4" t="n">
        <v>7</v>
      </c>
      <c r="D689" s="4" t="n">
        <v>2</v>
      </c>
      <c r="E689" s="4" t="inlineStr">
        <is>
          <t>xanh dương</t>
        </is>
      </c>
      <c r="F689" s="4" t="inlineStr"/>
      <c r="G689" s="4" t="inlineStr"/>
    </row>
    <row r="690">
      <c r="A690" s="4" t="inlineStr">
        <is>
          <t>MX_NVT_02B</t>
        </is>
      </c>
      <c r="B690" s="4" t="inlineStr">
        <is>
          <t>MX_NVT_02B|U174</t>
        </is>
      </c>
      <c r="C690" s="4" t="n">
        <v>8</v>
      </c>
      <c r="D690" s="4" t="n">
        <v>2</v>
      </c>
      <c r="E690" s="4" t="inlineStr">
        <is>
          <t>cam</t>
        </is>
      </c>
      <c r="F690" s="4" t="inlineStr"/>
      <c r="G690" s="4" t="inlineStr"/>
    </row>
    <row r="691">
      <c r="A691" s="4" t="inlineStr">
        <is>
          <t>MX_NVT_02B</t>
        </is>
      </c>
      <c r="B691" s="4" t="inlineStr">
        <is>
          <t>MX_NVT_02B|H187</t>
        </is>
      </c>
      <c r="C691" s="4" t="n">
        <v>1</v>
      </c>
      <c r="D691" s="4" t="n">
        <v>1</v>
      </c>
      <c r="E691" s="4" t="inlineStr">
        <is>
          <t>xanh dương</t>
        </is>
      </c>
      <c r="F691" s="4" t="inlineStr">
        <is>
          <t>A</t>
        </is>
      </c>
      <c r="G691" s="4" t="inlineStr"/>
    </row>
    <row r="692">
      <c r="A692" s="4" t="inlineStr">
        <is>
          <t>MX_NVT_02B</t>
        </is>
      </c>
      <c r="B692" s="4" t="inlineStr">
        <is>
          <t>MX_NVT_02B|H187</t>
        </is>
      </c>
      <c r="C692" s="4" t="n">
        <v>2</v>
      </c>
      <c r="D692" s="4" t="n">
        <v>1</v>
      </c>
      <c r="E692" s="4" t="inlineStr">
        <is>
          <t>cam</t>
        </is>
      </c>
      <c r="F692" s="4" t="inlineStr">
        <is>
          <t>A</t>
        </is>
      </c>
      <c r="G692" s="4" t="inlineStr"/>
    </row>
    <row r="693">
      <c r="A693" s="4" t="inlineStr">
        <is>
          <t>MX_NVT_02B</t>
        </is>
      </c>
      <c r="B693" s="4" t="inlineStr">
        <is>
          <t>MX_NVT_02B|H187</t>
        </is>
      </c>
      <c r="C693" s="4" t="n">
        <v>3</v>
      </c>
      <c r="D693" s="4" t="n">
        <v>1</v>
      </c>
      <c r="E693" s="4" t="inlineStr">
        <is>
          <t>xanh lá</t>
        </is>
      </c>
      <c r="F693" s="4" t="inlineStr">
        <is>
          <t>B</t>
        </is>
      </c>
      <c r="G693" s="4" t="inlineStr"/>
    </row>
    <row r="694">
      <c r="A694" s="4" t="inlineStr">
        <is>
          <t>MX_NVT_02B</t>
        </is>
      </c>
      <c r="B694" s="4" t="inlineStr">
        <is>
          <t>MX_NVT_02B|H187</t>
        </is>
      </c>
      <c r="C694" s="4" t="n">
        <v>4</v>
      </c>
      <c r="D694" s="4" t="n">
        <v>1</v>
      </c>
      <c r="E694" s="4" t="inlineStr">
        <is>
          <t>nâu</t>
        </is>
      </c>
      <c r="F694" s="4" t="inlineStr">
        <is>
          <t>B</t>
        </is>
      </c>
      <c r="G694" s="4" t="inlineStr"/>
    </row>
    <row r="695">
      <c r="A695" s="4" t="inlineStr">
        <is>
          <t>MX_NVT_02B</t>
        </is>
      </c>
      <c r="B695" s="4" t="inlineStr">
        <is>
          <t>MX_NVT_02B|H187</t>
        </is>
      </c>
      <c r="C695" s="4" t="n">
        <v>5</v>
      </c>
      <c r="D695" s="4" t="n">
        <v>1</v>
      </c>
      <c r="E695" s="4" t="inlineStr">
        <is>
          <t>xám</t>
        </is>
      </c>
      <c r="F695" s="4" t="inlineStr"/>
      <c r="G695" s="4" t="inlineStr"/>
    </row>
    <row r="696">
      <c r="A696" s="4" t="inlineStr">
        <is>
          <t>MX_NVT_02B</t>
        </is>
      </c>
      <c r="B696" s="4" t="inlineStr">
        <is>
          <t>MX_NVT_02B|H187</t>
        </is>
      </c>
      <c r="C696" s="4" t="n">
        <v>6</v>
      </c>
      <c r="D696" s="4" t="n">
        <v>1</v>
      </c>
      <c r="E696" s="4" t="inlineStr">
        <is>
          <t>trắng</t>
        </is>
      </c>
      <c r="F696" s="4" t="inlineStr"/>
      <c r="G696" s="4" t="inlineStr"/>
    </row>
    <row r="697">
      <c r="A697" s="4" t="inlineStr">
        <is>
          <t>MX_NVT_02B</t>
        </is>
      </c>
      <c r="B697" s="4" t="inlineStr">
        <is>
          <t>MX_NVT_02B|H187</t>
        </is>
      </c>
      <c r="C697" s="4" t="n">
        <v>7</v>
      </c>
      <c r="D697" s="4" t="n">
        <v>2</v>
      </c>
      <c r="E697" s="4" t="inlineStr">
        <is>
          <t>xanh dương</t>
        </is>
      </c>
      <c r="F697" s="4" t="inlineStr"/>
      <c r="G697" s="4" t="inlineStr"/>
    </row>
    <row r="698">
      <c r="A698" s="4" t="inlineStr">
        <is>
          <t>MX_NVT_02B</t>
        </is>
      </c>
      <c r="B698" s="4" t="inlineStr">
        <is>
          <t>MX_NVT_02B|H187</t>
        </is>
      </c>
      <c r="C698" s="4" t="n">
        <v>8</v>
      </c>
      <c r="D698" s="4" t="n">
        <v>2</v>
      </c>
      <c r="E698" s="4" t="inlineStr">
        <is>
          <t>cam</t>
        </is>
      </c>
      <c r="F698" s="4" t="inlineStr"/>
      <c r="G698" s="4" t="inlineStr"/>
    </row>
    <row r="699">
      <c r="A699" s="4" t="inlineStr">
        <is>
          <t>MX_NVT_02B</t>
        </is>
      </c>
      <c r="B699" s="4" t="inlineStr">
        <is>
          <t>MX_NVT_02B|H187</t>
        </is>
      </c>
      <c r="C699" s="4" t="n">
        <v>9</v>
      </c>
      <c r="D699" s="4" t="n">
        <v>2</v>
      </c>
      <c r="E699" s="4" t="inlineStr">
        <is>
          <t>xanh lá</t>
        </is>
      </c>
      <c r="F699" s="4" t="inlineStr"/>
      <c r="G699" s="4" t="inlineStr"/>
    </row>
    <row r="700">
      <c r="A700" s="4" t="inlineStr">
        <is>
          <t>MX_NVT_02B</t>
        </is>
      </c>
      <c r="B700" s="4" t="inlineStr">
        <is>
          <t>MX_NVT_02B|H187</t>
        </is>
      </c>
      <c r="C700" s="4" t="n">
        <v>10</v>
      </c>
      <c r="D700" s="4" t="n">
        <v>2</v>
      </c>
      <c r="E700" s="4" t="inlineStr">
        <is>
          <t>nâu</t>
        </is>
      </c>
      <c r="F700" s="4" t="inlineStr"/>
      <c r="G700" s="4" t="inlineStr"/>
    </row>
    <row r="701">
      <c r="A701" s="4" t="inlineStr">
        <is>
          <t>MX_NVT_02B</t>
        </is>
      </c>
      <c r="B701" s="4" t="inlineStr">
        <is>
          <t>MX_NVT_02B|H187</t>
        </is>
      </c>
      <c r="C701" s="4" t="n">
        <v>11</v>
      </c>
      <c r="D701" s="4" t="n">
        <v>2</v>
      </c>
      <c r="E701" s="4" t="inlineStr">
        <is>
          <t>xám</t>
        </is>
      </c>
      <c r="F701" s="4" t="inlineStr"/>
      <c r="G701" s="4" t="inlineStr"/>
    </row>
    <row r="702">
      <c r="A702" s="4" t="inlineStr">
        <is>
          <t>MX_NVT_02B</t>
        </is>
      </c>
      <c r="B702" s="4" t="inlineStr">
        <is>
          <t>MX_NVT_02B|H187</t>
        </is>
      </c>
      <c r="C702" s="4" t="n">
        <v>12</v>
      </c>
      <c r="D702" s="4" t="n">
        <v>2</v>
      </c>
      <c r="E702" s="4" t="inlineStr">
        <is>
          <t>trắng</t>
        </is>
      </c>
      <c r="F702" s="4" t="inlineStr"/>
      <c r="G702" s="4" t="inlineStr"/>
    </row>
    <row r="703">
      <c r="A703" s="4" t="inlineStr">
        <is>
          <t>MX_NVT_02A</t>
        </is>
      </c>
      <c r="B703" s="4" t="inlineStr">
        <is>
          <t>MX_NVT_02A|AD174</t>
        </is>
      </c>
      <c r="C703" s="4" t="n">
        <v>1</v>
      </c>
      <c r="D703" s="4" t="n">
        <v>1</v>
      </c>
      <c r="E703" s="4" t="inlineStr">
        <is>
          <t>xanh dương</t>
        </is>
      </c>
      <c r="F703" s="4" t="inlineStr">
        <is>
          <t>A</t>
        </is>
      </c>
      <c r="G703" s="4" t="inlineStr"/>
    </row>
    <row r="704">
      <c r="A704" s="4" t="inlineStr">
        <is>
          <t>MX_NVT_02A</t>
        </is>
      </c>
      <c r="B704" s="4" t="inlineStr">
        <is>
          <t>MX_NVT_02A|AD174</t>
        </is>
      </c>
      <c r="C704" s="4" t="n">
        <v>2</v>
      </c>
      <c r="D704" s="4" t="n">
        <v>1</v>
      </c>
      <c r="E704" s="4" t="inlineStr">
        <is>
          <t>cam</t>
        </is>
      </c>
      <c r="F704" s="4" t="inlineStr">
        <is>
          <t>A</t>
        </is>
      </c>
      <c r="G704" s="4" t="inlineStr"/>
    </row>
    <row r="705">
      <c r="A705" s="4" t="inlineStr">
        <is>
          <t>MX_NVT_02A</t>
        </is>
      </c>
      <c r="B705" s="4" t="inlineStr">
        <is>
          <t>MX_NVT_02A|AD174</t>
        </is>
      </c>
      <c r="C705" s="4" t="n">
        <v>3</v>
      </c>
      <c r="D705" s="4" t="n">
        <v>1</v>
      </c>
      <c r="E705" s="4" t="inlineStr">
        <is>
          <t>xanh lá</t>
        </is>
      </c>
      <c r="F705" s="4" t="inlineStr">
        <is>
          <t>B</t>
        </is>
      </c>
      <c r="G705" s="4" t="inlineStr"/>
    </row>
    <row r="706">
      <c r="A706" s="4" t="inlineStr">
        <is>
          <t>MX_NVT_02A</t>
        </is>
      </c>
      <c r="B706" s="4" t="inlineStr">
        <is>
          <t>MX_NVT_02A|AD174</t>
        </is>
      </c>
      <c r="C706" s="4" t="n">
        <v>4</v>
      </c>
      <c r="D706" s="4" t="n">
        <v>1</v>
      </c>
      <c r="E706" s="4" t="inlineStr">
        <is>
          <t>nâu</t>
        </is>
      </c>
      <c r="F706" s="4" t="inlineStr">
        <is>
          <t>B</t>
        </is>
      </c>
      <c r="G706" s="4" t="inlineStr"/>
    </row>
    <row r="707">
      <c r="A707" s="4" t="inlineStr">
        <is>
          <t>MX_NVT_02A</t>
        </is>
      </c>
      <c r="B707" s="4" t="inlineStr">
        <is>
          <t>MX_NVT_02A|AD174</t>
        </is>
      </c>
      <c r="C707" s="4" t="n">
        <v>5</v>
      </c>
      <c r="D707" s="4" t="n">
        <v>1</v>
      </c>
      <c r="E707" s="4" t="inlineStr">
        <is>
          <t>xám</t>
        </is>
      </c>
      <c r="F707" s="4" t="inlineStr"/>
      <c r="G707" s="4" t="inlineStr"/>
    </row>
    <row r="708">
      <c r="A708" s="4" t="inlineStr">
        <is>
          <t>MX_NVT_02A</t>
        </is>
      </c>
      <c r="B708" s="4" t="inlineStr">
        <is>
          <t>MX_NVT_02A|AD174</t>
        </is>
      </c>
      <c r="C708" s="4" t="n">
        <v>6</v>
      </c>
      <c r="D708" s="4" t="n">
        <v>1</v>
      </c>
      <c r="E708" s="4" t="inlineStr">
        <is>
          <t>trắng</t>
        </is>
      </c>
      <c r="F708" s="4" t="inlineStr"/>
      <c r="G708" s="4" t="inlineStr"/>
    </row>
    <row r="709">
      <c r="A709" s="4" t="inlineStr">
        <is>
          <t>MX_NVT_02A</t>
        </is>
      </c>
      <c r="B709" s="4" t="inlineStr">
        <is>
          <t>MX_NVT_02A|AD174</t>
        </is>
      </c>
      <c r="C709" s="4" t="n">
        <v>7</v>
      </c>
      <c r="D709" s="4" t="n">
        <v>2</v>
      </c>
      <c r="E709" s="4" t="inlineStr">
        <is>
          <t>xanh dương</t>
        </is>
      </c>
      <c r="F709" s="4" t="inlineStr">
        <is>
          <t>C</t>
        </is>
      </c>
      <c r="G709" s="4" t="inlineStr"/>
    </row>
    <row r="710">
      <c r="A710" s="4" t="inlineStr">
        <is>
          <t>MX_NVT_02A</t>
        </is>
      </c>
      <c r="B710" s="4" t="inlineStr">
        <is>
          <t>MX_NVT_02A|AD174</t>
        </is>
      </c>
      <c r="C710" s="4" t="n">
        <v>8</v>
      </c>
      <c r="D710" s="4" t="n">
        <v>2</v>
      </c>
      <c r="E710" s="4" t="inlineStr">
        <is>
          <t>cam</t>
        </is>
      </c>
      <c r="F710" s="4" t="inlineStr">
        <is>
          <t>C</t>
        </is>
      </c>
      <c r="G710" s="4" t="inlineStr"/>
    </row>
    <row r="711">
      <c r="A711" s="4" t="inlineStr">
        <is>
          <t>MX_NVT_02A</t>
        </is>
      </c>
      <c r="B711" s="4" t="inlineStr">
        <is>
          <t>MX_NVT_02A|AD174</t>
        </is>
      </c>
      <c r="C711" s="4" t="n">
        <v>9</v>
      </c>
      <c r="D711" s="4" t="n">
        <v>2</v>
      </c>
      <c r="E711" s="4" t="inlineStr">
        <is>
          <t>xanh lá</t>
        </is>
      </c>
      <c r="F711" s="4" t="inlineStr">
        <is>
          <t>C</t>
        </is>
      </c>
      <c r="G711" s="4" t="inlineStr">
        <is>
          <t>HNB066</t>
        </is>
      </c>
    </row>
    <row r="712">
      <c r="A712" s="4" t="inlineStr">
        <is>
          <t>MX_NVT_02A</t>
        </is>
      </c>
      <c r="B712" s="4" t="inlineStr">
        <is>
          <t>MX_NVT_02A|AD174</t>
        </is>
      </c>
      <c r="C712" s="4" t="n">
        <v>10</v>
      </c>
      <c r="D712" s="4" t="n">
        <v>2</v>
      </c>
      <c r="E712" s="4" t="inlineStr">
        <is>
          <t>nâu</t>
        </is>
      </c>
      <c r="F712" s="4" t="inlineStr">
        <is>
          <t>C</t>
        </is>
      </c>
      <c r="G712" s="4" t="inlineStr">
        <is>
          <t>HNB066</t>
        </is>
      </c>
    </row>
    <row r="713">
      <c r="A713" s="4" t="inlineStr">
        <is>
          <t>MX_NVT_02A</t>
        </is>
      </c>
      <c r="B713" s="4" t="inlineStr">
        <is>
          <t>MX_NVT_02A|AD174</t>
        </is>
      </c>
      <c r="C713" s="4" t="n">
        <v>11</v>
      </c>
      <c r="D713" s="4" t="n">
        <v>2</v>
      </c>
      <c r="E713" s="4" t="inlineStr">
        <is>
          <t>xám</t>
        </is>
      </c>
      <c r="F713" s="4" t="inlineStr">
        <is>
          <t>C</t>
        </is>
      </c>
      <c r="G713" s="4" t="inlineStr">
        <is>
          <t>HNB005</t>
        </is>
      </c>
    </row>
    <row r="714">
      <c r="A714" s="4" t="inlineStr">
        <is>
          <t>MX_NVT_02A</t>
        </is>
      </c>
      <c r="B714" s="4" t="inlineStr">
        <is>
          <t>MX_NVT_02A|AD174</t>
        </is>
      </c>
      <c r="C714" s="4" t="n">
        <v>12</v>
      </c>
      <c r="D714" s="4" t="n">
        <v>2</v>
      </c>
      <c r="E714" s="4" t="inlineStr">
        <is>
          <t>trắng</t>
        </is>
      </c>
      <c r="F714" s="4" t="inlineStr">
        <is>
          <t>C</t>
        </is>
      </c>
      <c r="G714" s="4" t="inlineStr">
        <is>
          <t>HNB005</t>
        </is>
      </c>
    </row>
    <row r="715">
      <c r="A715" s="4" t="inlineStr">
        <is>
          <t>MX_NVT_02A</t>
        </is>
      </c>
      <c r="B715" s="4" t="inlineStr">
        <is>
          <t>MX_NVT_02A|AQ174</t>
        </is>
      </c>
      <c r="C715" s="4" t="n">
        <v>1</v>
      </c>
      <c r="D715" s="4" t="n">
        <v>1</v>
      </c>
      <c r="E715" s="4" t="inlineStr">
        <is>
          <t>xanh dương</t>
        </is>
      </c>
      <c r="F715" s="4" t="inlineStr">
        <is>
          <t>C</t>
        </is>
      </c>
      <c r="G715" s="4" t="inlineStr"/>
    </row>
    <row r="716">
      <c r="A716" s="4" t="inlineStr">
        <is>
          <t>MX_NVT_02A</t>
        </is>
      </c>
      <c r="B716" s="4" t="inlineStr">
        <is>
          <t>MX_NVT_02A|AQ174</t>
        </is>
      </c>
      <c r="C716" s="4" t="n">
        <v>2</v>
      </c>
      <c r="D716" s="4" t="n">
        <v>1</v>
      </c>
      <c r="E716" s="4" t="inlineStr">
        <is>
          <t>cam</t>
        </is>
      </c>
      <c r="F716" s="4" t="inlineStr">
        <is>
          <t>C</t>
        </is>
      </c>
      <c r="G716" s="4" t="inlineStr"/>
    </row>
    <row r="717">
      <c r="A717" s="4" t="inlineStr">
        <is>
          <t>MX_NVT_02A</t>
        </is>
      </c>
      <c r="B717" s="4" t="inlineStr">
        <is>
          <t>MX_NVT_02A|AQ174</t>
        </is>
      </c>
      <c r="C717" s="4" t="n">
        <v>3</v>
      </c>
      <c r="D717" s="4" t="n">
        <v>1</v>
      </c>
      <c r="E717" s="4" t="inlineStr">
        <is>
          <t>xanh lá</t>
        </is>
      </c>
      <c r="F717" s="4" t="inlineStr">
        <is>
          <t>C</t>
        </is>
      </c>
      <c r="G717" s="4" t="inlineStr">
        <is>
          <t>HNB066</t>
        </is>
      </c>
    </row>
    <row r="718">
      <c r="A718" s="4" t="inlineStr">
        <is>
          <t>MX_NVT_02A</t>
        </is>
      </c>
      <c r="B718" s="4" t="inlineStr">
        <is>
          <t>MX_NVT_02A|AQ174</t>
        </is>
      </c>
      <c r="C718" s="4" t="n">
        <v>4</v>
      </c>
      <c r="D718" s="4" t="n">
        <v>1</v>
      </c>
      <c r="E718" s="4" t="inlineStr">
        <is>
          <t>nâu</t>
        </is>
      </c>
      <c r="F718" s="4" t="inlineStr">
        <is>
          <t>C</t>
        </is>
      </c>
      <c r="G718" s="4" t="inlineStr">
        <is>
          <t>HNB066</t>
        </is>
      </c>
    </row>
    <row r="719">
      <c r="A719" s="4" t="inlineStr">
        <is>
          <t>MX_NVT_02A</t>
        </is>
      </c>
      <c r="B719" s="4" t="inlineStr">
        <is>
          <t>MX_NVT_02A|AQ174</t>
        </is>
      </c>
      <c r="C719" s="4" t="n">
        <v>5</v>
      </c>
      <c r="D719" s="4" t="n">
        <v>1</v>
      </c>
      <c r="E719" s="4" t="inlineStr">
        <is>
          <t>xám</t>
        </is>
      </c>
      <c r="F719" s="4" t="inlineStr">
        <is>
          <t>C</t>
        </is>
      </c>
      <c r="G719" s="4" t="inlineStr">
        <is>
          <t>HNB005</t>
        </is>
      </c>
    </row>
    <row r="720">
      <c r="A720" s="4" t="inlineStr">
        <is>
          <t>MX_NVT_02A</t>
        </is>
      </c>
      <c r="B720" s="4" t="inlineStr">
        <is>
          <t>MX_NVT_02A|AQ174</t>
        </is>
      </c>
      <c r="C720" s="4" t="n">
        <v>6</v>
      </c>
      <c r="D720" s="4" t="n">
        <v>1</v>
      </c>
      <c r="E720" s="4" t="inlineStr">
        <is>
          <t>trắng</t>
        </is>
      </c>
      <c r="F720" s="4" t="inlineStr">
        <is>
          <t>C</t>
        </is>
      </c>
      <c r="G720" s="4" t="inlineStr">
        <is>
          <t>HNB005</t>
        </is>
      </c>
    </row>
    <row r="721">
      <c r="A721" s="4" t="inlineStr">
        <is>
          <t>MX_NVT_02A</t>
        </is>
      </c>
      <c r="B721" s="4" t="inlineStr">
        <is>
          <t>MX_NVT_02A|AQ174</t>
        </is>
      </c>
      <c r="C721" s="4" t="n">
        <v>7</v>
      </c>
      <c r="D721" s="4" t="n">
        <v>2</v>
      </c>
      <c r="E721" s="4" t="inlineStr">
        <is>
          <t>xanh dương</t>
        </is>
      </c>
      <c r="F721" s="4" t="inlineStr"/>
      <c r="G721" s="4" t="inlineStr"/>
    </row>
    <row r="722">
      <c r="A722" s="4" t="inlineStr">
        <is>
          <t>MX_NVT_02A</t>
        </is>
      </c>
      <c r="B722" s="4" t="inlineStr">
        <is>
          <t>MX_NVT_02A|AQ174</t>
        </is>
      </c>
      <c r="C722" s="4" t="n">
        <v>8</v>
      </c>
      <c r="D722" s="4" t="n">
        <v>2</v>
      </c>
      <c r="E722" s="4" t="inlineStr">
        <is>
          <t>cam</t>
        </is>
      </c>
      <c r="F722" s="4" t="inlineStr"/>
      <c r="G722" s="4" t="inlineStr"/>
    </row>
    <row r="723">
      <c r="A723" s="4" t="inlineStr">
        <is>
          <t>MX_NVT_02A</t>
        </is>
      </c>
      <c r="B723" s="4" t="inlineStr">
        <is>
          <t>MX_NVT_02A|AD187</t>
        </is>
      </c>
      <c r="C723" s="4" t="n">
        <v>1</v>
      </c>
      <c r="D723" s="4" t="n">
        <v>1</v>
      </c>
      <c r="E723" s="4" t="inlineStr">
        <is>
          <t>xanh dương</t>
        </is>
      </c>
      <c r="F723" s="4" t="inlineStr">
        <is>
          <t>HƯ</t>
        </is>
      </c>
      <c r="G723" s="4" t="inlineStr"/>
    </row>
    <row r="724">
      <c r="A724" s="4" t="inlineStr">
        <is>
          <t>MX_NVT_02A</t>
        </is>
      </c>
      <c r="B724" s="4" t="inlineStr">
        <is>
          <t>MX_NVT_02A|AD187</t>
        </is>
      </c>
      <c r="C724" s="4" t="n">
        <v>2</v>
      </c>
      <c r="D724" s="4" t="n">
        <v>1</v>
      </c>
      <c r="E724" s="4" t="inlineStr">
        <is>
          <t>cam</t>
        </is>
      </c>
      <c r="F724" s="4" t="inlineStr">
        <is>
          <t>D</t>
        </is>
      </c>
      <c r="G724" s="4" t="inlineStr"/>
    </row>
    <row r="725">
      <c r="A725" s="4" t="inlineStr">
        <is>
          <t>MX_NVT_02A</t>
        </is>
      </c>
      <c r="B725" s="4" t="inlineStr">
        <is>
          <t>MX_NVT_02A|AD187</t>
        </is>
      </c>
      <c r="C725" s="4" t="n">
        <v>3</v>
      </c>
      <c r="D725" s="4" t="n">
        <v>1</v>
      </c>
      <c r="E725" s="4" t="inlineStr">
        <is>
          <t>xanh lá</t>
        </is>
      </c>
      <c r="F725" s="4" t="inlineStr">
        <is>
          <t>B</t>
        </is>
      </c>
      <c r="G725" s="4" t="inlineStr"/>
    </row>
    <row r="726">
      <c r="A726" s="4" t="inlineStr">
        <is>
          <t>MX_NVT_02A</t>
        </is>
      </c>
      <c r="B726" s="4" t="inlineStr">
        <is>
          <t>MX_NVT_02A|AD187</t>
        </is>
      </c>
      <c r="C726" s="4" t="n">
        <v>4</v>
      </c>
      <c r="D726" s="4" t="n">
        <v>1</v>
      </c>
      <c r="E726" s="4" t="inlineStr">
        <is>
          <t>nâu</t>
        </is>
      </c>
      <c r="F726" s="4" t="inlineStr">
        <is>
          <t>B</t>
        </is>
      </c>
      <c r="G726" s="4" t="inlineStr"/>
    </row>
    <row r="727">
      <c r="A727" s="4" t="inlineStr">
        <is>
          <t>MX_NVT_02A</t>
        </is>
      </c>
      <c r="B727" s="4" t="inlineStr">
        <is>
          <t>MX_NVT_02A|AD187</t>
        </is>
      </c>
      <c r="C727" s="4" t="n">
        <v>5</v>
      </c>
      <c r="D727" s="4" t="n">
        <v>1</v>
      </c>
      <c r="E727" s="4" t="inlineStr">
        <is>
          <t>xám</t>
        </is>
      </c>
      <c r="F727" s="4" t="inlineStr">
        <is>
          <t>D</t>
        </is>
      </c>
      <c r="G727" s="4" t="inlineStr"/>
    </row>
    <row r="728">
      <c r="A728" s="4" t="inlineStr">
        <is>
          <t>MX_NVT_02A</t>
        </is>
      </c>
      <c r="B728" s="4" t="inlineStr">
        <is>
          <t>MX_NVT_02A|AD187</t>
        </is>
      </c>
      <c r="C728" s="4" t="n">
        <v>6</v>
      </c>
      <c r="D728" s="4" t="n">
        <v>1</v>
      </c>
      <c r="E728" s="4" t="inlineStr">
        <is>
          <t>trắng</t>
        </is>
      </c>
      <c r="F728" s="4" t="inlineStr"/>
      <c r="G728" s="4" t="inlineStr"/>
    </row>
    <row r="729">
      <c r="A729" s="4" t="inlineStr">
        <is>
          <t>MX_NVT_02A</t>
        </is>
      </c>
      <c r="B729" s="4" t="inlineStr">
        <is>
          <t>MX_NVT_02A|AD187</t>
        </is>
      </c>
      <c r="C729" s="4" t="n">
        <v>7</v>
      </c>
      <c r="D729" s="4" t="n">
        <v>2</v>
      </c>
      <c r="E729" s="4" t="inlineStr">
        <is>
          <t>xanh dương</t>
        </is>
      </c>
      <c r="F729" s="4" t="inlineStr"/>
      <c r="G729" s="4" t="inlineStr"/>
    </row>
    <row r="730">
      <c r="A730" s="4" t="inlineStr">
        <is>
          <t>MX_NVT_02A</t>
        </is>
      </c>
      <c r="B730" s="4" t="inlineStr">
        <is>
          <t>MX_NVT_02A|AD187</t>
        </is>
      </c>
      <c r="C730" s="4" t="n">
        <v>8</v>
      </c>
      <c r="D730" s="4" t="n">
        <v>2</v>
      </c>
      <c r="E730" s="4" t="inlineStr">
        <is>
          <t>cam</t>
        </is>
      </c>
      <c r="F730" s="4" t="inlineStr"/>
      <c r="G730" s="4" t="inlineStr"/>
    </row>
    <row r="731">
      <c r="A731" s="4" t="inlineStr">
        <is>
          <t>MX_NVT_02A</t>
        </is>
      </c>
      <c r="B731" s="4" t="inlineStr">
        <is>
          <t>MX_NVT_02A|AD187</t>
        </is>
      </c>
      <c r="C731" s="4" t="n">
        <v>9</v>
      </c>
      <c r="D731" s="4" t="n">
        <v>2</v>
      </c>
      <c r="E731" s="4" t="inlineStr">
        <is>
          <t>xanh lá</t>
        </is>
      </c>
      <c r="F731" s="4" t="inlineStr"/>
      <c r="G731" s="4" t="inlineStr"/>
    </row>
    <row r="732">
      <c r="A732" s="4" t="inlineStr">
        <is>
          <t>MX_NVT_02A</t>
        </is>
      </c>
      <c r="B732" s="4" t="inlineStr">
        <is>
          <t>MX_NVT_02A|AD187</t>
        </is>
      </c>
      <c r="C732" s="4" t="n">
        <v>10</v>
      </c>
      <c r="D732" s="4" t="n">
        <v>2</v>
      </c>
      <c r="E732" s="4" t="inlineStr">
        <is>
          <t>nâu</t>
        </is>
      </c>
      <c r="F732" s="4" t="inlineStr"/>
      <c r="G732" s="4" t="inlineStr"/>
    </row>
    <row r="733">
      <c r="A733" s="4" t="inlineStr">
        <is>
          <t>MX_NVT_02A</t>
        </is>
      </c>
      <c r="B733" s="4" t="inlineStr">
        <is>
          <t>MX_NVT_02A|AD187</t>
        </is>
      </c>
      <c r="C733" s="4" t="n">
        <v>11</v>
      </c>
      <c r="D733" s="4" t="n">
        <v>2</v>
      </c>
      <c r="E733" s="4" t="inlineStr">
        <is>
          <t>xám</t>
        </is>
      </c>
      <c r="F733" s="4" t="inlineStr"/>
      <c r="G733" s="4" t="inlineStr"/>
    </row>
    <row r="734">
      <c r="A734" s="4" t="inlineStr">
        <is>
          <t>MX_NVT_02A</t>
        </is>
      </c>
      <c r="B734" s="4" t="inlineStr">
        <is>
          <t>MX_NVT_02A|AD187</t>
        </is>
      </c>
      <c r="C734" s="4" t="n">
        <v>12</v>
      </c>
      <c r="D734" s="4" t="n">
        <v>2</v>
      </c>
      <c r="E734" s="4" t="inlineStr">
        <is>
          <t>trắng</t>
        </is>
      </c>
      <c r="F734" s="4" t="inlineStr"/>
      <c r="G734" s="4" t="inlineStr"/>
    </row>
    <row r="735">
      <c r="A735" s="4" t="inlineStr">
        <is>
          <t>MX_NVT_02A</t>
        </is>
      </c>
      <c r="B735" s="4" t="inlineStr">
        <is>
          <t>MX_NVT_02A|AQ187</t>
        </is>
      </c>
      <c r="C735" s="4" t="n">
        <v>1</v>
      </c>
      <c r="D735" s="4" t="n">
        <v>1</v>
      </c>
      <c r="E735" s="4" t="inlineStr">
        <is>
          <t>xanh dương</t>
        </is>
      </c>
      <c r="F735" s="4" t="inlineStr">
        <is>
          <t>A</t>
        </is>
      </c>
      <c r="G735" s="4" t="inlineStr"/>
    </row>
    <row r="736">
      <c r="A736" s="4" t="inlineStr">
        <is>
          <t>MX_NVT_02A</t>
        </is>
      </c>
      <c r="B736" s="4" t="inlineStr">
        <is>
          <t>MX_NVT_02A|AQ187</t>
        </is>
      </c>
      <c r="C736" s="4" t="n">
        <v>2</v>
      </c>
      <c r="D736" s="4" t="n">
        <v>1</v>
      </c>
      <c r="E736" s="4" t="inlineStr">
        <is>
          <t>cam</t>
        </is>
      </c>
      <c r="F736" s="4" t="inlineStr">
        <is>
          <t>A</t>
        </is>
      </c>
      <c r="G736" s="4" t="inlineStr"/>
    </row>
    <row r="737">
      <c r="A737" s="4" t="inlineStr">
        <is>
          <t>MX_NVT_02A</t>
        </is>
      </c>
      <c r="B737" s="4" t="inlineStr">
        <is>
          <t>MX_NVT_02A|AQ187</t>
        </is>
      </c>
      <c r="C737" s="4" t="n">
        <v>3</v>
      </c>
      <c r="D737" s="4" t="n">
        <v>1</v>
      </c>
      <c r="E737" s="4" t="inlineStr">
        <is>
          <t>xanh lá</t>
        </is>
      </c>
      <c r="F737" s="4" t="inlineStr">
        <is>
          <t>D</t>
        </is>
      </c>
      <c r="G737" s="4" t="inlineStr"/>
    </row>
    <row r="738">
      <c r="A738" s="4" t="inlineStr">
        <is>
          <t>MX_NVT_02A</t>
        </is>
      </c>
      <c r="B738" s="4" t="inlineStr">
        <is>
          <t>MX_NVT_02A|AQ187</t>
        </is>
      </c>
      <c r="C738" s="4" t="n">
        <v>4</v>
      </c>
      <c r="D738" s="4" t="n">
        <v>1</v>
      </c>
      <c r="E738" s="4" t="inlineStr">
        <is>
          <t>nâu</t>
        </is>
      </c>
      <c r="F738" s="4" t="inlineStr">
        <is>
          <t>D</t>
        </is>
      </c>
      <c r="G738" s="4" t="inlineStr"/>
    </row>
    <row r="739">
      <c r="A739" s="4" t="inlineStr">
        <is>
          <t>MX_NVT_02A</t>
        </is>
      </c>
      <c r="B739" s="4" t="inlineStr">
        <is>
          <t>MX_NVT_02A|AQ187</t>
        </is>
      </c>
      <c r="C739" s="4" t="n">
        <v>5</v>
      </c>
      <c r="D739" s="4" t="n">
        <v>1</v>
      </c>
      <c r="E739" s="4" t="inlineStr">
        <is>
          <t>xám</t>
        </is>
      </c>
      <c r="F739" s="4" t="inlineStr"/>
      <c r="G739" s="4" t="inlineStr"/>
    </row>
    <row r="740">
      <c r="A740" s="4" t="inlineStr">
        <is>
          <t>MX_NVT_02A</t>
        </is>
      </c>
      <c r="B740" s="4" t="inlineStr">
        <is>
          <t>MX_NVT_02A|AQ187</t>
        </is>
      </c>
      <c r="C740" s="4" t="n">
        <v>6</v>
      </c>
      <c r="D740" s="4" t="n">
        <v>1</v>
      </c>
      <c r="E740" s="4" t="inlineStr">
        <is>
          <t>trắng</t>
        </is>
      </c>
      <c r="F740" s="4" t="inlineStr"/>
      <c r="G740" s="4" t="inlineStr"/>
    </row>
    <row r="741">
      <c r="A741" s="4" t="inlineStr">
        <is>
          <t>MX_NVT_02A</t>
        </is>
      </c>
      <c r="B741" s="4" t="inlineStr">
        <is>
          <t>MX_NVT_02A|AQ187</t>
        </is>
      </c>
      <c r="C741" s="4" t="n">
        <v>7</v>
      </c>
      <c r="D741" s="4" t="n">
        <v>2</v>
      </c>
      <c r="E741" s="4" t="inlineStr">
        <is>
          <t>xanh dương</t>
        </is>
      </c>
      <c r="F741" s="4" t="inlineStr"/>
      <c r="G741" s="4" t="inlineStr"/>
    </row>
    <row r="742">
      <c r="A742" s="4" t="inlineStr">
        <is>
          <t>MX_NVT_02A</t>
        </is>
      </c>
      <c r="B742" s="4" t="inlineStr">
        <is>
          <t>MX_NVT_02A|AQ187</t>
        </is>
      </c>
      <c r="C742" s="4" t="n">
        <v>8</v>
      </c>
      <c r="D742" s="4" t="n">
        <v>2</v>
      </c>
      <c r="E742" s="4" t="inlineStr">
        <is>
          <t>cam</t>
        </is>
      </c>
      <c r="F742" s="4" t="inlineStr"/>
      <c r="G742" s="4" t="inlineStr"/>
    </row>
    <row r="743">
      <c r="A743" s="4" t="inlineStr">
        <is>
          <t>MX_NVT_03B</t>
        </is>
      </c>
      <c r="B743" s="4" t="inlineStr">
        <is>
          <t>MX_NVT_03B|H193</t>
        </is>
      </c>
      <c r="C743" s="4" t="n">
        <v>1</v>
      </c>
      <c r="D743" s="4" t="n">
        <v>1</v>
      </c>
      <c r="E743" s="4" t="inlineStr">
        <is>
          <t>xanh dương</t>
        </is>
      </c>
      <c r="F743" s="4" t="inlineStr"/>
      <c r="G743" s="4" t="inlineStr"/>
    </row>
    <row r="744">
      <c r="A744" s="4" t="inlineStr">
        <is>
          <t>MX_NVT_03B</t>
        </is>
      </c>
      <c r="B744" s="4" t="inlineStr">
        <is>
          <t>MX_NVT_03B|H193</t>
        </is>
      </c>
      <c r="C744" s="4" t="n">
        <v>2</v>
      </c>
      <c r="D744" s="4" t="n">
        <v>1</v>
      </c>
      <c r="E744" s="4" t="inlineStr">
        <is>
          <t>cam</t>
        </is>
      </c>
      <c r="F744" s="4" t="inlineStr"/>
      <c r="G744" s="4" t="inlineStr"/>
    </row>
    <row r="745">
      <c r="A745" s="4" t="inlineStr">
        <is>
          <t>MX_NVT_03B</t>
        </is>
      </c>
      <c r="B745" s="4" t="inlineStr">
        <is>
          <t>MX_NVT_03B|H193</t>
        </is>
      </c>
      <c r="C745" s="4" t="n">
        <v>3</v>
      </c>
      <c r="D745" s="4" t="n">
        <v>1</v>
      </c>
      <c r="E745" s="4" t="inlineStr">
        <is>
          <t>xanh lá</t>
        </is>
      </c>
      <c r="F745" s="4" t="inlineStr"/>
      <c r="G745" s="4" t="inlineStr"/>
    </row>
    <row r="746">
      <c r="A746" s="4" t="inlineStr">
        <is>
          <t>MX_NVT_03B</t>
        </is>
      </c>
      <c r="B746" s="4" t="inlineStr">
        <is>
          <t>MX_NVT_03B|H193</t>
        </is>
      </c>
      <c r="C746" s="4" t="n">
        <v>4</v>
      </c>
      <c r="D746" s="4" t="n">
        <v>1</v>
      </c>
      <c r="E746" s="4" t="inlineStr">
        <is>
          <t>nâu</t>
        </is>
      </c>
      <c r="F746" s="4" t="inlineStr"/>
      <c r="G746" s="4" t="inlineStr"/>
    </row>
    <row r="747">
      <c r="A747" s="4" t="inlineStr">
        <is>
          <t>MX_NVT_03B</t>
        </is>
      </c>
      <c r="B747" s="4" t="inlineStr">
        <is>
          <t>MX_NVT_03B|H193</t>
        </is>
      </c>
      <c r="C747" s="4" t="n">
        <v>5</v>
      </c>
      <c r="D747" s="4" t="n">
        <v>1</v>
      </c>
      <c r="E747" s="4" t="inlineStr">
        <is>
          <t>xám</t>
        </is>
      </c>
      <c r="F747" s="4" t="inlineStr"/>
      <c r="G747" s="4" t="inlineStr"/>
    </row>
    <row r="748">
      <c r="A748" s="4" t="inlineStr">
        <is>
          <t>MX_NVT_03B</t>
        </is>
      </c>
      <c r="B748" s="4" t="inlineStr">
        <is>
          <t>MX_NVT_03B|H193</t>
        </is>
      </c>
      <c r="C748" s="4" t="n">
        <v>6</v>
      </c>
      <c r="D748" s="4" t="n">
        <v>1</v>
      </c>
      <c r="E748" s="4" t="inlineStr">
        <is>
          <t>trắng</t>
        </is>
      </c>
      <c r="F748" s="4" t="inlineStr"/>
      <c r="G748" s="4" t="inlineStr"/>
    </row>
    <row r="749">
      <c r="A749" s="4" t="inlineStr">
        <is>
          <t>MX_NVT_03B</t>
        </is>
      </c>
      <c r="B749" s="4" t="inlineStr">
        <is>
          <t>MX_NVT_03B|H193</t>
        </is>
      </c>
      <c r="C749" s="4" t="n">
        <v>7</v>
      </c>
      <c r="D749" s="4" t="n">
        <v>2</v>
      </c>
      <c r="E749" s="4" t="inlineStr">
        <is>
          <t>xanh dương</t>
        </is>
      </c>
      <c r="F749" s="4" t="inlineStr"/>
      <c r="G749" s="4" t="inlineStr"/>
    </row>
    <row r="750">
      <c r="A750" s="4" t="inlineStr">
        <is>
          <t>MX_NVT_03B</t>
        </is>
      </c>
      <c r="B750" s="4" t="inlineStr">
        <is>
          <t>MX_NVT_03B|H193</t>
        </is>
      </c>
      <c r="C750" s="4" t="n">
        <v>8</v>
      </c>
      <c r="D750" s="4" t="n">
        <v>2</v>
      </c>
      <c r="E750" s="4" t="inlineStr">
        <is>
          <t>cam</t>
        </is>
      </c>
      <c r="F750" s="4" t="inlineStr"/>
      <c r="G750" s="4" t="inlineStr"/>
    </row>
    <row r="751">
      <c r="A751" s="4" t="inlineStr">
        <is>
          <t>MX_NVT_03B</t>
        </is>
      </c>
      <c r="B751" s="4" t="inlineStr">
        <is>
          <t>MX_NVT_03B|H193</t>
        </is>
      </c>
      <c r="C751" s="4" t="n">
        <v>9</v>
      </c>
      <c r="D751" s="4" t="n">
        <v>2</v>
      </c>
      <c r="E751" s="4" t="inlineStr">
        <is>
          <t>xanh lá</t>
        </is>
      </c>
      <c r="F751" s="4" t="inlineStr"/>
      <c r="G751" s="4" t="inlineStr"/>
    </row>
    <row r="752">
      <c r="A752" s="4" t="inlineStr">
        <is>
          <t>MX_NVT_03B</t>
        </is>
      </c>
      <c r="B752" s="4" t="inlineStr">
        <is>
          <t>MX_NVT_03B|H193</t>
        </is>
      </c>
      <c r="C752" s="4" t="n">
        <v>10</v>
      </c>
      <c r="D752" s="4" t="n">
        <v>2</v>
      </c>
      <c r="E752" s="4" t="inlineStr">
        <is>
          <t>nâu</t>
        </is>
      </c>
      <c r="F752" s="4" t="inlineStr"/>
      <c r="G752" s="4" t="inlineStr"/>
    </row>
    <row r="753">
      <c r="A753" s="4" t="inlineStr">
        <is>
          <t>MX_NVT_03B</t>
        </is>
      </c>
      <c r="B753" s="4" t="inlineStr">
        <is>
          <t>MX_NVT_03B|H193</t>
        </is>
      </c>
      <c r="C753" s="4" t="n">
        <v>11</v>
      </c>
      <c r="D753" s="4" t="n">
        <v>2</v>
      </c>
      <c r="E753" s="4" t="inlineStr">
        <is>
          <t>xám</t>
        </is>
      </c>
      <c r="F753" s="4" t="inlineStr"/>
      <c r="G753" s="4" t="inlineStr"/>
    </row>
    <row r="754">
      <c r="A754" s="4" t="inlineStr">
        <is>
          <t>MX_NVT_03B</t>
        </is>
      </c>
      <c r="B754" s="4" t="inlineStr">
        <is>
          <t>MX_NVT_03B|H193</t>
        </is>
      </c>
      <c r="C754" s="4" t="n">
        <v>12</v>
      </c>
      <c r="D754" s="4" t="n">
        <v>2</v>
      </c>
      <c r="E754" s="4" t="inlineStr">
        <is>
          <t>trắng</t>
        </is>
      </c>
      <c r="F754" s="4" t="inlineStr"/>
      <c r="G754" s="4" t="inlineStr"/>
    </row>
    <row r="755">
      <c r="A755" s="4" t="inlineStr">
        <is>
          <t>MX_NVT_03B</t>
        </is>
      </c>
      <c r="B755" s="4" t="inlineStr">
        <is>
          <t>MX_NVT_03B|H206</t>
        </is>
      </c>
      <c r="C755" s="4" t="n">
        <v>1</v>
      </c>
      <c r="D755" s="4" t="n">
        <v>1</v>
      </c>
      <c r="E755" s="4" t="inlineStr">
        <is>
          <t>xanh dương</t>
        </is>
      </c>
      <c r="F755" s="4" t="inlineStr">
        <is>
          <t>A</t>
        </is>
      </c>
      <c r="G755" s="4" t="inlineStr"/>
    </row>
    <row r="756">
      <c r="A756" s="4" t="inlineStr">
        <is>
          <t>MX_NVT_03B</t>
        </is>
      </c>
      <c r="B756" s="4" t="inlineStr">
        <is>
          <t>MX_NVT_03B|H206</t>
        </is>
      </c>
      <c r="C756" s="4" t="n">
        <v>2</v>
      </c>
      <c r="D756" s="4" t="n">
        <v>1</v>
      </c>
      <c r="E756" s="4" t="inlineStr">
        <is>
          <t>cam</t>
        </is>
      </c>
      <c r="F756" s="4" t="inlineStr">
        <is>
          <t>A</t>
        </is>
      </c>
      <c r="G756" s="4" t="inlineStr"/>
    </row>
    <row r="757">
      <c r="A757" s="4" t="inlineStr">
        <is>
          <t>MX_NVT_03B</t>
        </is>
      </c>
      <c r="B757" s="4" t="inlineStr">
        <is>
          <t>MX_NVT_03B|H206</t>
        </is>
      </c>
      <c r="C757" s="4" t="n">
        <v>3</v>
      </c>
      <c r="D757" s="4" t="n">
        <v>1</v>
      </c>
      <c r="E757" s="4" t="inlineStr">
        <is>
          <t>xanh lá</t>
        </is>
      </c>
      <c r="F757" s="4" t="inlineStr">
        <is>
          <t>A</t>
        </is>
      </c>
      <c r="G757" s="4" t="inlineStr"/>
    </row>
    <row r="758">
      <c r="A758" s="4" t="inlineStr">
        <is>
          <t>MX_NVT_03B</t>
        </is>
      </c>
      <c r="B758" s="4" t="inlineStr">
        <is>
          <t>MX_NVT_03B|H206</t>
        </is>
      </c>
      <c r="C758" s="4" t="n">
        <v>4</v>
      </c>
      <c r="D758" s="4" t="n">
        <v>1</v>
      </c>
      <c r="E758" s="4" t="inlineStr">
        <is>
          <t>nâu</t>
        </is>
      </c>
      <c r="F758" s="4" t="inlineStr">
        <is>
          <t>A</t>
        </is>
      </c>
      <c r="G758" s="4" t="inlineStr"/>
    </row>
    <row r="759">
      <c r="A759" s="4" t="inlineStr">
        <is>
          <t>MX_NVT_03B</t>
        </is>
      </c>
      <c r="B759" s="4" t="inlineStr">
        <is>
          <t>MX_NVT_03B|H206</t>
        </is>
      </c>
      <c r="C759" s="4" t="n">
        <v>5</v>
      </c>
      <c r="D759" s="4" t="n">
        <v>1</v>
      </c>
      <c r="E759" s="4" t="inlineStr">
        <is>
          <t>xám</t>
        </is>
      </c>
      <c r="F759" s="4" t="inlineStr"/>
      <c r="G759" s="4" t="inlineStr"/>
    </row>
    <row r="760">
      <c r="A760" s="4" t="inlineStr">
        <is>
          <t>MX_NVT_03B</t>
        </is>
      </c>
      <c r="B760" s="4" t="inlineStr">
        <is>
          <t>MX_NVT_03B|H206</t>
        </is>
      </c>
      <c r="C760" s="4" t="n">
        <v>6</v>
      </c>
      <c r="D760" s="4" t="n">
        <v>1</v>
      </c>
      <c r="E760" s="4" t="inlineStr">
        <is>
          <t>trắng</t>
        </is>
      </c>
      <c r="F760" s="4" t="inlineStr"/>
      <c r="G760" s="4" t="inlineStr"/>
    </row>
    <row r="761">
      <c r="A761" s="4" t="inlineStr">
        <is>
          <t>MX_NVT_03B</t>
        </is>
      </c>
      <c r="B761" s="4" t="inlineStr">
        <is>
          <t>MX_NVT_03B|H206</t>
        </is>
      </c>
      <c r="C761" s="4" t="n">
        <v>7</v>
      </c>
      <c r="D761" s="4" t="n">
        <v>2</v>
      </c>
      <c r="E761" s="4" t="inlineStr">
        <is>
          <t>xanh dương</t>
        </is>
      </c>
      <c r="F761" s="4" t="inlineStr"/>
      <c r="G761" s="4" t="inlineStr"/>
    </row>
    <row r="762">
      <c r="A762" s="4" t="inlineStr">
        <is>
          <t>MX_NVT_03B</t>
        </is>
      </c>
      <c r="B762" s="4" t="inlineStr">
        <is>
          <t>MX_NVT_03B|H206</t>
        </is>
      </c>
      <c r="C762" s="4" t="n">
        <v>8</v>
      </c>
      <c r="D762" s="4" t="n">
        <v>2</v>
      </c>
      <c r="E762" s="4" t="inlineStr">
        <is>
          <t>cam</t>
        </is>
      </c>
      <c r="F762" s="4" t="inlineStr"/>
      <c r="G762" s="4" t="inlineStr"/>
    </row>
    <row r="763">
      <c r="A763" s="4" t="inlineStr">
        <is>
          <t>MX_NVT_03B</t>
        </is>
      </c>
      <c r="B763" s="4" t="inlineStr">
        <is>
          <t>MX_NVT_03B|Q206</t>
        </is>
      </c>
      <c r="C763" s="4" t="n">
        <v>1</v>
      </c>
      <c r="D763" s="4" t="n">
        <v>1</v>
      </c>
      <c r="E763" s="4" t="inlineStr">
        <is>
          <t>xanh dương</t>
        </is>
      </c>
      <c r="F763" s="4" t="inlineStr">
        <is>
          <t>A</t>
        </is>
      </c>
      <c r="G763" s="4" t="inlineStr"/>
    </row>
    <row r="764">
      <c r="A764" s="4" t="inlineStr">
        <is>
          <t>MX_NVT_03B</t>
        </is>
      </c>
      <c r="B764" s="4" t="inlineStr">
        <is>
          <t>MX_NVT_03B|Q206</t>
        </is>
      </c>
      <c r="C764" s="4" t="n">
        <v>2</v>
      </c>
      <c r="D764" s="4" t="n">
        <v>1</v>
      </c>
      <c r="E764" s="4" t="inlineStr">
        <is>
          <t>cam</t>
        </is>
      </c>
      <c r="F764" s="4" t="inlineStr">
        <is>
          <t>A</t>
        </is>
      </c>
      <c r="G764" s="4" t="inlineStr"/>
    </row>
    <row r="765">
      <c r="A765" s="4" t="inlineStr">
        <is>
          <t>MX_NVT_03B</t>
        </is>
      </c>
      <c r="B765" s="4" t="inlineStr">
        <is>
          <t>MX_NVT_03B|Q206</t>
        </is>
      </c>
      <c r="C765" s="4" t="n">
        <v>3</v>
      </c>
      <c r="D765" s="4" t="n">
        <v>1</v>
      </c>
      <c r="E765" s="4" t="inlineStr">
        <is>
          <t>xanh lá</t>
        </is>
      </c>
      <c r="F765" s="4" t="inlineStr">
        <is>
          <t>A</t>
        </is>
      </c>
      <c r="G765" s="4" t="inlineStr"/>
    </row>
    <row r="766">
      <c r="A766" s="4" t="inlineStr">
        <is>
          <t>MX_NVT_03B</t>
        </is>
      </c>
      <c r="B766" s="4" t="inlineStr">
        <is>
          <t>MX_NVT_03B|Q206</t>
        </is>
      </c>
      <c r="C766" s="4" t="n">
        <v>4</v>
      </c>
      <c r="D766" s="4" t="n">
        <v>1</v>
      </c>
      <c r="E766" s="4" t="inlineStr">
        <is>
          <t>nâu</t>
        </is>
      </c>
      <c r="F766" s="4" t="inlineStr">
        <is>
          <t>A</t>
        </is>
      </c>
      <c r="G766" s="4" t="inlineStr"/>
    </row>
    <row r="767">
      <c r="A767" s="4" t="inlineStr">
        <is>
          <t>MX_NVT_03B</t>
        </is>
      </c>
      <c r="B767" s="4" t="inlineStr">
        <is>
          <t>MX_NVT_03B|Q206</t>
        </is>
      </c>
      <c r="C767" s="4" t="n">
        <v>5</v>
      </c>
      <c r="D767" s="4" t="n">
        <v>1</v>
      </c>
      <c r="E767" s="4" t="inlineStr">
        <is>
          <t>xám</t>
        </is>
      </c>
      <c r="F767" s="4" t="inlineStr"/>
      <c r="G767" s="4" t="inlineStr"/>
    </row>
    <row r="768">
      <c r="A768" s="4" t="inlineStr">
        <is>
          <t>MX_NVT_03B</t>
        </is>
      </c>
      <c r="B768" s="4" t="inlineStr">
        <is>
          <t>MX_NVT_03B|Q206</t>
        </is>
      </c>
      <c r="C768" s="4" t="n">
        <v>6</v>
      </c>
      <c r="D768" s="4" t="n">
        <v>1</v>
      </c>
      <c r="E768" s="4" t="inlineStr">
        <is>
          <t>trắng</t>
        </is>
      </c>
      <c r="F768" s="4" t="inlineStr"/>
      <c r="G768" s="4" t="inlineStr"/>
    </row>
    <row r="769">
      <c r="A769" s="4" t="inlineStr">
        <is>
          <t>MX_NVT_03B</t>
        </is>
      </c>
      <c r="B769" s="4" t="inlineStr">
        <is>
          <t>MX_NVT_03B|Q206</t>
        </is>
      </c>
      <c r="C769" s="4" t="n">
        <v>7</v>
      </c>
      <c r="D769" s="4" t="n">
        <v>2</v>
      </c>
      <c r="E769" s="4" t="inlineStr">
        <is>
          <t>xanh dương</t>
        </is>
      </c>
      <c r="F769" s="4" t="inlineStr"/>
      <c r="G769" s="4" t="inlineStr"/>
    </row>
    <row r="770">
      <c r="A770" s="4" t="inlineStr">
        <is>
          <t>MX_NVT_03B</t>
        </is>
      </c>
      <c r="B770" s="4" t="inlineStr">
        <is>
          <t>MX_NVT_03B|Q206</t>
        </is>
      </c>
      <c r="C770" s="4" t="n">
        <v>8</v>
      </c>
      <c r="D770" s="4" t="n">
        <v>2</v>
      </c>
      <c r="E770" s="4" t="inlineStr">
        <is>
          <t>cam</t>
        </is>
      </c>
      <c r="F770" s="4" t="inlineStr"/>
      <c r="G770" s="4" t="inlineStr"/>
    </row>
    <row r="771">
      <c r="A771" s="4" t="inlineStr">
        <is>
          <t>MX_NVT_03A</t>
        </is>
      </c>
      <c r="B771" s="4" t="inlineStr">
        <is>
          <t>MX_NVT_03A|AD193</t>
        </is>
      </c>
      <c r="C771" s="4" t="n">
        <v>1</v>
      </c>
      <c r="D771" s="4" t="n">
        <v>1</v>
      </c>
      <c r="E771" s="4" t="inlineStr">
        <is>
          <t>xanh dương</t>
        </is>
      </c>
      <c r="F771" s="4" t="inlineStr"/>
      <c r="G771" s="4" t="inlineStr"/>
    </row>
    <row r="772">
      <c r="A772" s="4" t="inlineStr">
        <is>
          <t>MX_NVT_03A</t>
        </is>
      </c>
      <c r="B772" s="4" t="inlineStr">
        <is>
          <t>MX_NVT_03A|AD193</t>
        </is>
      </c>
      <c r="C772" s="4" t="n">
        <v>2</v>
      </c>
      <c r="D772" s="4" t="n">
        <v>1</v>
      </c>
      <c r="E772" s="4" t="inlineStr">
        <is>
          <t>cam</t>
        </is>
      </c>
      <c r="F772" s="4" t="inlineStr"/>
      <c r="G772" s="4" t="inlineStr"/>
    </row>
    <row r="773">
      <c r="A773" s="4" t="inlineStr">
        <is>
          <t>MX_NVT_03A</t>
        </is>
      </c>
      <c r="B773" s="4" t="inlineStr">
        <is>
          <t>MX_NVT_03A|AD193</t>
        </is>
      </c>
      <c r="C773" s="4" t="n">
        <v>3</v>
      </c>
      <c r="D773" s="4" t="n">
        <v>1</v>
      </c>
      <c r="E773" s="4" t="inlineStr">
        <is>
          <t>xanh lá</t>
        </is>
      </c>
      <c r="F773" s="4" t="inlineStr"/>
      <c r="G773" s="4" t="inlineStr"/>
    </row>
    <row r="774">
      <c r="A774" s="4" t="inlineStr">
        <is>
          <t>MX_NVT_03A</t>
        </is>
      </c>
      <c r="B774" s="4" t="inlineStr">
        <is>
          <t>MX_NVT_03A|AD193</t>
        </is>
      </c>
      <c r="C774" s="4" t="n">
        <v>4</v>
      </c>
      <c r="D774" s="4" t="n">
        <v>1</v>
      </c>
      <c r="E774" s="4" t="inlineStr">
        <is>
          <t>nâu</t>
        </is>
      </c>
      <c r="F774" s="4" t="inlineStr"/>
      <c r="G774" s="4" t="inlineStr"/>
    </row>
    <row r="775">
      <c r="A775" s="4" t="inlineStr">
        <is>
          <t>MX_NVT_03A</t>
        </is>
      </c>
      <c r="B775" s="4" t="inlineStr">
        <is>
          <t>MX_NVT_03A|AD193</t>
        </is>
      </c>
      <c r="C775" s="4" t="n">
        <v>5</v>
      </c>
      <c r="D775" s="4" t="n">
        <v>1</v>
      </c>
      <c r="E775" s="4" t="inlineStr">
        <is>
          <t>xám</t>
        </is>
      </c>
      <c r="F775" s="4" t="inlineStr"/>
      <c r="G775" s="4" t="inlineStr"/>
    </row>
    <row r="776">
      <c r="A776" s="4" t="inlineStr">
        <is>
          <t>MX_NVT_03A</t>
        </is>
      </c>
      <c r="B776" s="4" t="inlineStr">
        <is>
          <t>MX_NVT_03A|AD193</t>
        </is>
      </c>
      <c r="C776" s="4" t="n">
        <v>6</v>
      </c>
      <c r="D776" s="4" t="n">
        <v>1</v>
      </c>
      <c r="E776" s="4" t="inlineStr">
        <is>
          <t>trắng</t>
        </is>
      </c>
      <c r="F776" s="4" t="inlineStr"/>
      <c r="G776" s="4" t="inlineStr"/>
    </row>
    <row r="777">
      <c r="A777" s="4" t="inlineStr">
        <is>
          <t>MX_NVT_03A</t>
        </is>
      </c>
      <c r="B777" s="4" t="inlineStr">
        <is>
          <t>MX_NVT_03A|AD193</t>
        </is>
      </c>
      <c r="C777" s="4" t="n">
        <v>7</v>
      </c>
      <c r="D777" s="4" t="n">
        <v>2</v>
      </c>
      <c r="E777" s="4" t="inlineStr">
        <is>
          <t>xanh dương</t>
        </is>
      </c>
      <c r="F777" s="4" t="inlineStr"/>
      <c r="G777" s="4" t="inlineStr"/>
    </row>
    <row r="778">
      <c r="A778" s="4" t="inlineStr">
        <is>
          <t>MX_NVT_03A</t>
        </is>
      </c>
      <c r="B778" s="4" t="inlineStr">
        <is>
          <t>MX_NVT_03A|AD193</t>
        </is>
      </c>
      <c r="C778" s="4" t="n">
        <v>8</v>
      </c>
      <c r="D778" s="4" t="n">
        <v>2</v>
      </c>
      <c r="E778" s="4" t="inlineStr">
        <is>
          <t>cam</t>
        </is>
      </c>
      <c r="F778" s="4" t="inlineStr"/>
      <c r="G778" s="4" t="inlineStr"/>
    </row>
    <row r="779">
      <c r="A779" s="4" t="inlineStr">
        <is>
          <t>MX_NVT_03A</t>
        </is>
      </c>
      <c r="B779" s="4" t="inlineStr">
        <is>
          <t>MX_NVT_03A|AD193</t>
        </is>
      </c>
      <c r="C779" s="4" t="n">
        <v>9</v>
      </c>
      <c r="D779" s="4" t="n">
        <v>2</v>
      </c>
      <c r="E779" s="4" t="inlineStr">
        <is>
          <t>xanh lá</t>
        </is>
      </c>
      <c r="F779" s="4" t="inlineStr"/>
      <c r="G779" s="4" t="inlineStr"/>
    </row>
    <row r="780">
      <c r="A780" s="4" t="inlineStr">
        <is>
          <t>MX_NVT_03A</t>
        </is>
      </c>
      <c r="B780" s="4" t="inlineStr">
        <is>
          <t>MX_NVT_03A|AD193</t>
        </is>
      </c>
      <c r="C780" s="4" t="n">
        <v>10</v>
      </c>
      <c r="D780" s="4" t="n">
        <v>2</v>
      </c>
      <c r="E780" s="4" t="inlineStr">
        <is>
          <t>nâu</t>
        </is>
      </c>
      <c r="F780" s="4" t="inlineStr"/>
      <c r="G780" s="4" t="inlineStr"/>
    </row>
    <row r="781">
      <c r="A781" s="4" t="inlineStr">
        <is>
          <t>MX_NVT_03A</t>
        </is>
      </c>
      <c r="B781" s="4" t="inlineStr">
        <is>
          <t>MX_NVT_03A|AD193</t>
        </is>
      </c>
      <c r="C781" s="4" t="n">
        <v>11</v>
      </c>
      <c r="D781" s="4" t="n">
        <v>2</v>
      </c>
      <c r="E781" s="4" t="inlineStr">
        <is>
          <t>xám</t>
        </is>
      </c>
      <c r="F781" s="4" t="inlineStr"/>
      <c r="G781" s="4" t="inlineStr"/>
    </row>
    <row r="782">
      <c r="A782" s="4" t="inlineStr">
        <is>
          <t>MX_NVT_03A</t>
        </is>
      </c>
      <c r="B782" s="4" t="inlineStr">
        <is>
          <t>MX_NVT_03A|AD193</t>
        </is>
      </c>
      <c r="C782" s="4" t="n">
        <v>12</v>
      </c>
      <c r="D782" s="4" t="n">
        <v>2</v>
      </c>
      <c r="E782" s="4" t="inlineStr">
        <is>
          <t>trắng</t>
        </is>
      </c>
      <c r="F782" s="4" t="inlineStr"/>
      <c r="G782" s="4" t="inlineStr"/>
    </row>
    <row r="783">
      <c r="A783" s="4" t="inlineStr">
        <is>
          <t>MX_NVT_03A</t>
        </is>
      </c>
      <c r="B783" s="4" t="inlineStr">
        <is>
          <t>MX_NVT_03A|AD206</t>
        </is>
      </c>
      <c r="C783" s="4" t="n">
        <v>1</v>
      </c>
      <c r="D783" s="4" t="n">
        <v>1</v>
      </c>
      <c r="E783" s="4" t="inlineStr">
        <is>
          <t>xanh dương</t>
        </is>
      </c>
      <c r="F783" s="4" t="inlineStr">
        <is>
          <t>A</t>
        </is>
      </c>
      <c r="G783" s="4" t="inlineStr"/>
    </row>
    <row r="784">
      <c r="A784" s="4" t="inlineStr">
        <is>
          <t>MX_NVT_03A</t>
        </is>
      </c>
      <c r="B784" s="4" t="inlineStr">
        <is>
          <t>MX_NVT_03A|AD206</t>
        </is>
      </c>
      <c r="C784" s="4" t="n">
        <v>2</v>
      </c>
      <c r="D784" s="4" t="n">
        <v>1</v>
      </c>
      <c r="E784" s="4" t="inlineStr">
        <is>
          <t>cam</t>
        </is>
      </c>
      <c r="F784" s="4" t="inlineStr">
        <is>
          <t>A</t>
        </is>
      </c>
      <c r="G784" s="4" t="inlineStr"/>
    </row>
    <row r="785">
      <c r="A785" s="4" t="inlineStr">
        <is>
          <t>MX_NVT_03A</t>
        </is>
      </c>
      <c r="B785" s="4" t="inlineStr">
        <is>
          <t>MX_NVT_03A|AD206</t>
        </is>
      </c>
      <c r="C785" s="4" t="n">
        <v>3</v>
      </c>
      <c r="D785" s="4" t="n">
        <v>1</v>
      </c>
      <c r="E785" s="4" t="inlineStr">
        <is>
          <t>xanh lá</t>
        </is>
      </c>
      <c r="F785" s="4" t="inlineStr">
        <is>
          <t>A</t>
        </is>
      </c>
      <c r="G785" s="4" t="inlineStr"/>
    </row>
    <row r="786">
      <c r="A786" s="4" t="inlineStr">
        <is>
          <t>MX_NVT_03A</t>
        </is>
      </c>
      <c r="B786" s="4" t="inlineStr">
        <is>
          <t>MX_NVT_03A|AD206</t>
        </is>
      </c>
      <c r="C786" s="4" t="n">
        <v>4</v>
      </c>
      <c r="D786" s="4" t="n">
        <v>1</v>
      </c>
      <c r="E786" s="4" t="inlineStr">
        <is>
          <t>nâu</t>
        </is>
      </c>
      <c r="F786" s="4" t="inlineStr">
        <is>
          <t>A</t>
        </is>
      </c>
      <c r="G786" s="4" t="inlineStr"/>
    </row>
    <row r="787">
      <c r="A787" s="4" t="inlineStr">
        <is>
          <t>MX_NVT_03A</t>
        </is>
      </c>
      <c r="B787" s="4" t="inlineStr">
        <is>
          <t>MX_NVT_03A|AD206</t>
        </is>
      </c>
      <c r="C787" s="4" t="n">
        <v>5</v>
      </c>
      <c r="D787" s="4" t="n">
        <v>1</v>
      </c>
      <c r="E787" s="4" t="inlineStr">
        <is>
          <t>xám</t>
        </is>
      </c>
      <c r="F787" s="4" t="inlineStr"/>
      <c r="G787" s="4" t="inlineStr"/>
    </row>
    <row r="788">
      <c r="A788" s="4" t="inlineStr">
        <is>
          <t>MX_NVT_03A</t>
        </is>
      </c>
      <c r="B788" s="4" t="inlineStr">
        <is>
          <t>MX_NVT_03A|AD206</t>
        </is>
      </c>
      <c r="C788" s="4" t="n">
        <v>6</v>
      </c>
      <c r="D788" s="4" t="n">
        <v>1</v>
      </c>
      <c r="E788" s="4" t="inlineStr">
        <is>
          <t>trắng</t>
        </is>
      </c>
      <c r="F788" s="4" t="inlineStr"/>
      <c r="G788" s="4" t="inlineStr"/>
    </row>
    <row r="789">
      <c r="A789" s="4" t="inlineStr">
        <is>
          <t>MX_NVT_03A</t>
        </is>
      </c>
      <c r="B789" s="4" t="inlineStr">
        <is>
          <t>MX_NVT_03A|AD206</t>
        </is>
      </c>
      <c r="C789" s="4" t="n">
        <v>7</v>
      </c>
      <c r="D789" s="4" t="n">
        <v>2</v>
      </c>
      <c r="E789" s="4" t="inlineStr">
        <is>
          <t>xanh dương</t>
        </is>
      </c>
      <c r="F789" s="4" t="inlineStr"/>
      <c r="G789" s="4" t="inlineStr"/>
    </row>
    <row r="790">
      <c r="A790" s="4" t="inlineStr">
        <is>
          <t>MX_NVT_03A</t>
        </is>
      </c>
      <c r="B790" s="4" t="inlineStr">
        <is>
          <t>MX_NVT_03A|AD206</t>
        </is>
      </c>
      <c r="C790" s="4" t="n">
        <v>8</v>
      </c>
      <c r="D790" s="4" t="n">
        <v>2</v>
      </c>
      <c r="E790" s="4" t="inlineStr">
        <is>
          <t>cam</t>
        </is>
      </c>
      <c r="F790" s="4" t="inlineStr"/>
      <c r="G790" s="4" t="inlineStr"/>
    </row>
    <row r="791">
      <c r="A791" s="4" t="inlineStr">
        <is>
          <t>MX_NVT_03A</t>
        </is>
      </c>
      <c r="B791" s="4" t="inlineStr">
        <is>
          <t>MX_NVT_03A|AM206</t>
        </is>
      </c>
      <c r="C791" s="4" t="n">
        <v>1</v>
      </c>
      <c r="D791" s="4" t="n">
        <v>1</v>
      </c>
      <c r="E791" s="4" t="inlineStr">
        <is>
          <t>xanh dương</t>
        </is>
      </c>
      <c r="F791" s="4" t="inlineStr">
        <is>
          <t>A</t>
        </is>
      </c>
      <c r="G791" s="4" t="inlineStr"/>
    </row>
    <row r="792">
      <c r="A792" s="4" t="inlineStr">
        <is>
          <t>MX_NVT_03A</t>
        </is>
      </c>
      <c r="B792" s="4" t="inlineStr">
        <is>
          <t>MX_NVT_03A|AM206</t>
        </is>
      </c>
      <c r="C792" s="4" t="n">
        <v>2</v>
      </c>
      <c r="D792" s="4" t="n">
        <v>1</v>
      </c>
      <c r="E792" s="4" t="inlineStr">
        <is>
          <t>cam</t>
        </is>
      </c>
      <c r="F792" s="4" t="inlineStr">
        <is>
          <t>A</t>
        </is>
      </c>
      <c r="G792" s="4" t="inlineStr"/>
    </row>
    <row r="793">
      <c r="A793" s="4" t="inlineStr">
        <is>
          <t>MX_NVT_03A</t>
        </is>
      </c>
      <c r="B793" s="4" t="inlineStr">
        <is>
          <t>MX_NVT_03A|AM206</t>
        </is>
      </c>
      <c r="C793" s="4" t="n">
        <v>3</v>
      </c>
      <c r="D793" s="4" t="n">
        <v>1</v>
      </c>
      <c r="E793" s="4" t="inlineStr">
        <is>
          <t>xanh lá</t>
        </is>
      </c>
      <c r="F793" s="4" t="inlineStr">
        <is>
          <t>A</t>
        </is>
      </c>
      <c r="G793" s="4" t="inlineStr"/>
    </row>
    <row r="794">
      <c r="A794" s="4" t="inlineStr">
        <is>
          <t>MX_NVT_03A</t>
        </is>
      </c>
      <c r="B794" s="4" t="inlineStr">
        <is>
          <t>MX_NVT_03A|AM206</t>
        </is>
      </c>
      <c r="C794" s="4" t="n">
        <v>4</v>
      </c>
      <c r="D794" s="4" t="n">
        <v>1</v>
      </c>
      <c r="E794" s="4" t="inlineStr">
        <is>
          <t>nâu</t>
        </is>
      </c>
      <c r="F794" s="4" t="inlineStr">
        <is>
          <t>A</t>
        </is>
      </c>
      <c r="G794" s="4" t="inlineStr"/>
    </row>
    <row r="795">
      <c r="A795" s="4" t="inlineStr">
        <is>
          <t>MX_NVT_03A</t>
        </is>
      </c>
      <c r="B795" s="4" t="inlineStr">
        <is>
          <t>MX_NVT_03A|AM206</t>
        </is>
      </c>
      <c r="C795" s="4" t="n">
        <v>5</v>
      </c>
      <c r="D795" s="4" t="n">
        <v>1</v>
      </c>
      <c r="E795" s="4" t="inlineStr">
        <is>
          <t>xám</t>
        </is>
      </c>
      <c r="F795" s="4" t="inlineStr"/>
      <c r="G795" s="4" t="inlineStr"/>
    </row>
    <row r="796">
      <c r="A796" s="4" t="inlineStr">
        <is>
          <t>MX_NVT_03A</t>
        </is>
      </c>
      <c r="B796" s="4" t="inlineStr">
        <is>
          <t>MX_NVT_03A|AM206</t>
        </is>
      </c>
      <c r="C796" s="4" t="n">
        <v>6</v>
      </c>
      <c r="D796" s="4" t="n">
        <v>1</v>
      </c>
      <c r="E796" s="4" t="inlineStr">
        <is>
          <t>trắng</t>
        </is>
      </c>
      <c r="F796" s="4" t="inlineStr"/>
      <c r="G796" s="4" t="inlineStr"/>
    </row>
    <row r="797">
      <c r="A797" s="4" t="inlineStr">
        <is>
          <t>MX_NVT_03A</t>
        </is>
      </c>
      <c r="B797" s="4" t="inlineStr">
        <is>
          <t>MX_NVT_03A|AM206</t>
        </is>
      </c>
      <c r="C797" s="4" t="n">
        <v>7</v>
      </c>
      <c r="D797" s="4" t="n">
        <v>2</v>
      </c>
      <c r="E797" s="4" t="inlineStr">
        <is>
          <t>xanh dương</t>
        </is>
      </c>
      <c r="F797" s="4" t="inlineStr"/>
      <c r="G797" s="4" t="inlineStr"/>
    </row>
    <row r="798">
      <c r="A798" s="4" t="inlineStr">
        <is>
          <t>MX_NVT_03A</t>
        </is>
      </c>
      <c r="B798" s="4" t="inlineStr">
        <is>
          <t>MX_NVT_03A|AM206</t>
        </is>
      </c>
      <c r="C798" s="4" t="n">
        <v>8</v>
      </c>
      <c r="D798" s="4" t="n">
        <v>2</v>
      </c>
      <c r="E798" s="4" t="inlineStr">
        <is>
          <t>cam</t>
        </is>
      </c>
      <c r="F798" s="4" t="inlineStr"/>
      <c r="G798" s="4" t="inlineStr"/>
    </row>
  </sheetData>
  <autoFilter ref="A4:G798"/>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C43"/>
  <sheetViews>
    <sheetView showGridLines="0" workbookViewId="0">
      <selection activeCell="A1" sqref="A1"/>
    </sheetView>
  </sheetViews>
  <sheetFormatPr baseColWidth="8" defaultRowHeight="15"/>
  <cols>
    <col width="18" customWidth="1" min="1" max="1"/>
    <col width="100" customWidth="1" min="2" max="2"/>
    <col width="30" customWidth="1" min="3" max="3"/>
  </cols>
  <sheetData>
    <row r="1">
      <c r="A1" s="1" t="inlineStr">
        <is>
          <t>Cảnh báo khi suy bảng phối core từ sơ đồ MX</t>
        </is>
      </c>
    </row>
    <row r="3" ht="32" customHeight="1">
      <c r="A3" s="3" t="inlineStr">
        <is>
          <t>Măng xông</t>
        </is>
      </c>
      <c r="B3" s="3" t="inlineStr">
        <is>
          <t>Nội dung</t>
        </is>
      </c>
      <c r="C3" s="3" t="inlineStr">
        <is>
          <t>Xác nhận</t>
        </is>
      </c>
    </row>
    <row r="4">
      <c r="A4" s="4" t="inlineStr">
        <is>
          <t>MX_DST</t>
        </is>
      </c>
      <c r="B4" s="4" t="inlineStr">
        <is>
          <t>C23: chưa ghi nhãn core (chưa có dữ liệu phối)</t>
        </is>
      </c>
      <c r="C4" s="22" t="n"/>
    </row>
    <row r="5">
      <c r="A5" s="4" t="inlineStr">
        <is>
          <t>MX_DST</t>
        </is>
      </c>
      <c r="B5" s="4" t="inlineStr">
        <is>
          <t>L23: chưa ghi nhãn core (chưa có dữ liệu phối)</t>
        </is>
      </c>
      <c r="C5" s="22" t="n"/>
    </row>
    <row r="6">
      <c r="A6" s="4" t="inlineStr">
        <is>
          <t>MX_DST</t>
        </is>
      </c>
      <c r="B6" s="4" t="inlineStr">
        <is>
          <t>L36: chưa ghi nhãn core (chưa có dữ liệu phối)</t>
        </is>
      </c>
      <c r="C6" s="22" t="n"/>
    </row>
    <row r="7">
      <c r="A7" s="4" t="inlineStr">
        <is>
          <t>MX_LVL-04</t>
        </is>
      </c>
      <c r="B7" s="4" t="inlineStr">
        <is>
          <t>nhãn A: số sợi khác nhau (MX_LVL-04|AD67:10 vs MX_LVL-04|AD80:8)</t>
        </is>
      </c>
      <c r="C7" s="22" t="n"/>
    </row>
    <row r="8">
      <c r="A8" s="4" t="inlineStr">
        <is>
          <t>MX_NB-01</t>
        </is>
      </c>
      <c r="B8" s="4" t="inlineStr">
        <is>
          <t>nhãn A: số sợi khác nhau (MX_NB-01|AD109:12 vs MX_NB-01|AJ126:4)</t>
        </is>
      </c>
      <c r="C8" s="22" t="n"/>
    </row>
    <row r="9">
      <c r="A9" s="4" t="inlineStr">
        <is>
          <t>MX_NB-01</t>
        </is>
      </c>
      <c r="B9" s="4" t="inlineStr">
        <is>
          <t>nhãn C: chỉ có ở một đầu cáp (MX_NB-01|BD112)</t>
        </is>
      </c>
      <c r="C9" s="22" t="n"/>
    </row>
    <row r="10">
      <c r="A10" s="4" t="inlineStr">
        <is>
          <t>MX_NB-02</t>
        </is>
      </c>
      <c r="B10" s="4" t="inlineStr">
        <is>
          <t>BI109: chưa ghi nhãn core (chưa có dữ liệu phối)</t>
        </is>
      </c>
      <c r="C10" s="22" t="n"/>
    </row>
    <row r="11">
      <c r="A11" s="4" t="inlineStr">
        <is>
          <t>MX_NB-02</t>
        </is>
      </c>
      <c r="B11" s="4" t="inlineStr">
        <is>
          <t>BV109: chưa ghi nhãn core (chưa có dữ liệu phối)</t>
        </is>
      </c>
      <c r="C11" s="22" t="n"/>
    </row>
    <row r="12">
      <c r="A12" s="4" t="inlineStr">
        <is>
          <t>MX_NB-02</t>
        </is>
      </c>
      <c r="B12" s="4" t="inlineStr">
        <is>
          <t>BI122: chưa ghi nhãn core (chưa có dữ liệu phối)</t>
        </is>
      </c>
      <c r="C12" s="22" t="n"/>
    </row>
    <row r="13">
      <c r="A13" s="4" t="inlineStr">
        <is>
          <t>MX_HTP-03B</t>
        </is>
      </c>
      <c r="B13" s="4" t="inlineStr">
        <is>
          <t>CE109: chưa ghi nhãn core (chưa có dữ liệu phối)</t>
        </is>
      </c>
      <c r="C13" s="22" t="n"/>
    </row>
    <row r="14">
      <c r="A14" s="4" t="inlineStr">
        <is>
          <t>MX_HTP-03B</t>
        </is>
      </c>
      <c r="B14" s="4" t="inlineStr">
        <is>
          <t>CE122: chưa ghi nhãn core (chưa có dữ liệu phối)</t>
        </is>
      </c>
      <c r="C14" s="22" t="n"/>
    </row>
    <row r="15">
      <c r="A15" s="4" t="inlineStr">
        <is>
          <t>MX_NB-03</t>
        </is>
      </c>
      <c r="B15" s="4" t="inlineStr">
        <is>
          <t>BI129: chưa ghi nhãn core (chưa có dữ liệu phối)</t>
        </is>
      </c>
      <c r="C15" s="22" t="n"/>
    </row>
    <row r="16">
      <c r="A16" s="4" t="inlineStr">
        <is>
          <t>MX_NB-03</t>
        </is>
      </c>
      <c r="B16" s="4" t="inlineStr">
        <is>
          <t>BI142: chưa ghi nhãn core (chưa có dữ liệu phối)</t>
        </is>
      </c>
      <c r="C16" s="22" t="n"/>
    </row>
    <row r="17">
      <c r="A17" s="4" t="inlineStr">
        <is>
          <t>MX_NB-03</t>
        </is>
      </c>
      <c r="B17" s="4" t="inlineStr">
        <is>
          <t>BV142: chưa ghi nhãn core (chưa có dữ liệu phối)</t>
        </is>
      </c>
      <c r="C17" s="22" t="n"/>
    </row>
    <row r="18">
      <c r="A18" s="4" t="inlineStr">
        <is>
          <t>MX_NB-04</t>
        </is>
      </c>
      <c r="B18" s="4" t="inlineStr">
        <is>
          <t>CE129: chưa ghi nhãn core (chưa có dữ liệu phối)</t>
        </is>
      </c>
      <c r="C18" s="22" t="n"/>
    </row>
    <row r="19">
      <c r="A19" s="4" t="inlineStr">
        <is>
          <t>MX_NB-04</t>
        </is>
      </c>
      <c r="B19" s="4" t="inlineStr">
        <is>
          <t>CR129: chưa ghi nhãn core (chưa có dữ liệu phối)</t>
        </is>
      </c>
      <c r="C19" s="22" t="n"/>
    </row>
    <row r="20">
      <c r="A20" s="4" t="inlineStr">
        <is>
          <t>MX_NB-04</t>
        </is>
      </c>
      <c r="B20" s="4" t="inlineStr">
        <is>
          <t>CE142: chưa ghi nhãn core (chưa có dữ liệu phối)</t>
        </is>
      </c>
      <c r="C20" s="22" t="n"/>
    </row>
    <row r="21">
      <c r="A21" s="4" t="inlineStr">
        <is>
          <t>MX_NB-04</t>
        </is>
      </c>
      <c r="B21" s="4" t="inlineStr">
        <is>
          <t>CR142: chưa ghi nhãn core (chưa có dữ liệu phối)</t>
        </is>
      </c>
      <c r="C21" s="22" t="n"/>
    </row>
    <row r="22">
      <c r="A22" s="4" t="inlineStr">
        <is>
          <t>MX_HTP-03B (2)</t>
        </is>
      </c>
      <c r="B22" s="4" t="inlineStr">
        <is>
          <t>AD134: chưa ghi nhãn core (chưa có dữ liệu phối)</t>
        </is>
      </c>
      <c r="C22" s="22" t="n"/>
    </row>
    <row r="23">
      <c r="A23" s="4" t="inlineStr">
        <is>
          <t>MX_HTP-03B (2)</t>
        </is>
      </c>
      <c r="B23" s="4" t="inlineStr">
        <is>
          <t>AD147: chưa ghi nhãn core (chưa có dữ liệu phối)</t>
        </is>
      </c>
      <c r="C23" s="22" t="n"/>
    </row>
    <row r="24">
      <c r="A24" s="4" t="inlineStr">
        <is>
          <t>MX_NVT_01</t>
        </is>
      </c>
      <c r="B24" s="4" t="inlineStr">
        <is>
          <t>AD154: chưa ghi nhãn core (chưa có dữ liệu phối)</t>
        </is>
      </c>
      <c r="C24" s="22" t="n"/>
    </row>
    <row r="25">
      <c r="A25" s="4" t="inlineStr">
        <is>
          <t>MX_NVT_01</t>
        </is>
      </c>
      <c r="B25" s="4" t="inlineStr">
        <is>
          <t>AQ154: chưa ghi nhãn core (chưa có dữ liệu phối)</t>
        </is>
      </c>
      <c r="C25" s="22" t="n"/>
    </row>
    <row r="26">
      <c r="A26" s="4" t="inlineStr">
        <is>
          <t>MX_NVT_01</t>
        </is>
      </c>
      <c r="B26" s="4" t="inlineStr">
        <is>
          <t>AD167: chưa ghi nhãn core (chưa có dữ liệu phối)</t>
        </is>
      </c>
      <c r="C26" s="22" t="n"/>
    </row>
    <row r="27">
      <c r="A27" s="4" t="inlineStr">
        <is>
          <t>MX_NVT_03B</t>
        </is>
      </c>
      <c r="B27" s="4" t="inlineStr">
        <is>
          <t>H193: chưa ghi nhãn core (chưa có dữ liệu phối)</t>
        </is>
      </c>
      <c r="C27" s="22" t="n"/>
    </row>
    <row r="28">
      <c r="A28" s="4" t="inlineStr">
        <is>
          <t>MX_NVT_03A</t>
        </is>
      </c>
      <c r="B28" s="4" t="inlineStr">
        <is>
          <t>AD193: chưa ghi nhãn core (chưa có dữ liệu phối)</t>
        </is>
      </c>
      <c r="C28" s="22" t="n"/>
    </row>
    <row r="29">
      <c r="A29" s="4" t="inlineStr">
        <is>
          <t>ghi chú tay o</t>
        </is>
      </c>
      <c r="B29" s="4" t="inlineStr">
        <is>
          <t>noi_dung</t>
        </is>
      </c>
      <c r="C29" s="22" t="n"/>
    </row>
    <row r="30">
      <c r="A30" s="4" t="inlineStr">
        <is>
          <t>ghi chú tay o</t>
        </is>
      </c>
      <c r="B30" s="4" t="inlineStr">
        <is>
          <t>noi_dung</t>
        </is>
      </c>
      <c r="C30" s="22" t="n"/>
    </row>
    <row r="31">
      <c r="A31" s="4" t="inlineStr">
        <is>
          <t>ghi chú tay o</t>
        </is>
      </c>
      <c r="B31" s="4" t="inlineStr">
        <is>
          <t>noi_dung</t>
        </is>
      </c>
      <c r="C31" s="22" t="n"/>
    </row>
    <row r="32">
      <c r="A32" s="4" t="inlineStr">
        <is>
          <t>ghi chú tay o</t>
        </is>
      </c>
      <c r="B32" s="4" t="inlineStr">
        <is>
          <t>noi_dung</t>
        </is>
      </c>
      <c r="C32" s="22" t="n"/>
    </row>
    <row r="33">
      <c r="A33" s="4" t="inlineStr">
        <is>
          <t>ghi chú tay o</t>
        </is>
      </c>
      <c r="B33" s="4" t="inlineStr">
        <is>
          <t>noi_dung</t>
        </is>
      </c>
      <c r="C33" s="22" t="n"/>
    </row>
    <row r="34">
      <c r="A34" s="4" t="inlineStr">
        <is>
          <t>ghi chú tay o</t>
        </is>
      </c>
      <c r="B34" s="4" t="inlineStr">
        <is>
          <t>noi_dung</t>
        </is>
      </c>
      <c r="C34" s="22" t="n"/>
    </row>
    <row r="35">
      <c r="A35" s="4" t="inlineStr">
        <is>
          <t>ghi chú tay o</t>
        </is>
      </c>
      <c r="B35" s="4" t="inlineStr">
        <is>
          <t>noi_dung</t>
        </is>
      </c>
      <c r="C35" s="22" t="n"/>
    </row>
    <row r="36">
      <c r="A36" s="4" t="inlineStr">
        <is>
          <t>ghi chú tay o</t>
        </is>
      </c>
      <c r="B36" s="4" t="inlineStr">
        <is>
          <t>noi_dung</t>
        </is>
      </c>
      <c r="C36" s="22" t="n"/>
    </row>
    <row r="37">
      <c r="A37" s="4" t="inlineStr">
        <is>
          <t>ghi chú tay o</t>
        </is>
      </c>
      <c r="B37" s="4" t="inlineStr">
        <is>
          <t>noi_dung</t>
        </is>
      </c>
      <c r="C37" s="22" t="n"/>
    </row>
    <row r="38">
      <c r="A38" s="4" t="inlineStr">
        <is>
          <t>ghi chú tay o</t>
        </is>
      </c>
      <c r="B38" s="4" t="inlineStr">
        <is>
          <t>noi_dung</t>
        </is>
      </c>
      <c r="C38" s="22" t="n"/>
    </row>
    <row r="39">
      <c r="A39" s="4" t="inlineStr">
        <is>
          <t>ghi chú tay o</t>
        </is>
      </c>
      <c r="B39" s="4" t="inlineStr">
        <is>
          <t>noi_dung</t>
        </is>
      </c>
      <c r="C39" s="22" t="n"/>
    </row>
    <row r="40">
      <c r="A40" s="4" t="inlineStr">
        <is>
          <t>ghi chú tay o</t>
        </is>
      </c>
      <c r="B40" s="4" t="inlineStr">
        <is>
          <t>noi_dung</t>
        </is>
      </c>
      <c r="C40" s="22" t="n"/>
    </row>
    <row r="41">
      <c r="A41" s="4" t="inlineStr">
        <is>
          <t>ghi chú tay o</t>
        </is>
      </c>
      <c r="B41" s="4" t="inlineStr">
        <is>
          <t>noi_dung</t>
        </is>
      </c>
      <c r="C41" s="22" t="n"/>
    </row>
    <row r="42">
      <c r="A42" s="4" t="inlineStr">
        <is>
          <t>ghi chú tay o</t>
        </is>
      </c>
      <c r="B42" s="4" t="inlineStr">
        <is>
          <t>noi_dung</t>
        </is>
      </c>
      <c r="C42" s="22" t="n"/>
    </row>
    <row r="43">
      <c r="A43" s="4" t="inlineStr">
        <is>
          <t>ghi chú tay o</t>
        </is>
      </c>
      <c r="B43" s="4" t="inlineStr">
        <is>
          <t>noi_dung</t>
        </is>
      </c>
      <c r="C43" s="22" t="n"/>
    </row>
  </sheetData>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N30"/>
  <sheetViews>
    <sheetView showGridLines="0" workbookViewId="0">
      <selection activeCell="A1" sqref="A1"/>
    </sheetView>
  </sheetViews>
  <sheetFormatPr baseColWidth="8" defaultRowHeight="15"/>
  <cols>
    <col width="7" customWidth="1" min="1" max="1"/>
    <col width="62" customWidth="1" min="2" max="2"/>
    <col width="8" customWidth="1" min="3" max="3"/>
    <col width="9" customWidth="1" min="4" max="4"/>
    <col width="11" customWidth="1" min="5" max="5"/>
    <col width="12" customWidth="1" min="6" max="6"/>
    <col width="12" customWidth="1" min="7" max="7"/>
    <col width="10" customWidth="1" min="8" max="8"/>
    <col width="22"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s>
  <sheetData>
    <row r="1">
      <c r="A1" s="1" t="inlineStr">
        <is>
          <t>8 ring AGG-HCMNBE12 ↔ AGG-HCMNBE22</t>
        </is>
      </c>
    </row>
    <row r="2">
      <c r="A2" s="2" t="inlineStr">
        <is>
          <t>Tổng km chỉ để tham khảo; quỹ suy hao KHÔNG cộng dồn.</t>
        </is>
      </c>
    </row>
    <row r="4" ht="32" customHeight="1">
      <c r="A4" s="3" t="inlineStr">
        <is>
          <t>Ring</t>
        </is>
      </c>
      <c r="B4" s="3" t="inlineStr">
        <is>
          <t>Chuỗi (từ NBE12 sang NBE22)</t>
        </is>
      </c>
      <c r="C4" s="3" t="inlineStr">
        <is>
          <t>Số CSG</t>
        </is>
      </c>
      <c r="D4" s="3" t="inlineStr">
        <is>
          <t>Số đoạn ring</t>
        </is>
      </c>
      <c r="E4" s="3" t="inlineStr">
        <is>
          <t>Tổng km tính</t>
        </is>
      </c>
      <c r="F4" s="3" t="inlineStr">
        <is>
          <t>Đoạn dài nhất (km)</t>
        </is>
      </c>
      <c r="G4" s="3" t="inlineStr">
        <is>
          <t>Dư thấp nhất (dB)</t>
        </is>
      </c>
      <c r="H4" s="3" t="inlineStr">
        <is>
          <t>Đoạn cảnh báo</t>
        </is>
      </c>
      <c r="I4" s="3" t="inlineStr">
        <is>
          <t>Nhánh cụt</t>
        </is>
      </c>
    </row>
    <row r="5">
      <c r="A5" s="23" t="inlineStr">
        <is>
          <t>R1</t>
        </is>
      </c>
      <c r="B5" s="4" t="inlineStr">
        <is>
          <t>NBE12 ─ HNB059 ─ HNB060 ─ HNB048 ─ NBE22</t>
        </is>
      </c>
      <c r="C5" s="4" t="n">
        <v>3</v>
      </c>
      <c r="D5" s="4">
        <f>COUNTIFS('Đoạn &amp; quỹ suy hao'!$B$5:$B$42,A5,'Đoạn &amp; quỹ suy hao'!$E$5:$E$42,"ring")</f>
        <v/>
      </c>
      <c r="E5" s="24">
        <f>SUMIFS('Đoạn &amp; quỹ suy hao'!$K$5:$K$42,'Đoạn &amp; quỹ suy hao'!$B$5:$B$42,A5,'Đoạn &amp; quỹ suy hao'!$E$5:$E$42,"ring")</f>
        <v/>
      </c>
      <c r="F5" s="24">
        <f>_xlfn.MAXIFS('Đoạn &amp; quỹ suy hao'!$K$5:$K$42,'Đoạn &amp; quỹ suy hao'!$B$5:$B$42,A5,'Đoạn &amp; quỹ suy hao'!$E$5:$E$42,"ring")</f>
        <v/>
      </c>
      <c r="G5" s="24">
        <f>_xlfn.MINIFS('Đoạn &amp; quỹ suy hao'!$P$5:$P$42,'Đoạn &amp; quỹ suy hao'!$B$5:$B$42,A5,'Đoạn &amp; quỹ suy hao'!$E$5:$E$42,"ring")</f>
        <v/>
      </c>
      <c r="H5" s="4">
        <f>COUNTIFS('Đoạn &amp; quỹ suy hao'!$B$5:$B$42,A5,'Đoạn &amp; quỹ suy hao'!$R$5:$R$42,"Cảnh báo")</f>
        <v/>
      </c>
      <c r="I5" s="4" t="inlineStr">
        <is>
          <t>—</t>
        </is>
      </c>
    </row>
    <row r="6">
      <c r="A6" s="25" t="inlineStr">
        <is>
          <t>R2</t>
        </is>
      </c>
      <c r="B6" s="4" t="inlineStr">
        <is>
          <t>NBE12 ─ HNB054 ─ HNB006 ─ HNB091 ─ NBE22</t>
        </is>
      </c>
      <c r="C6" s="4" t="n">
        <v>3</v>
      </c>
      <c r="D6" s="4">
        <f>COUNTIFS('Đoạn &amp; quỹ suy hao'!$B$5:$B$42,A6,'Đoạn &amp; quỹ suy hao'!$E$5:$E$42,"ring")</f>
        <v/>
      </c>
      <c r="E6" s="24">
        <f>SUMIFS('Đoạn &amp; quỹ suy hao'!$K$5:$K$42,'Đoạn &amp; quỹ suy hao'!$B$5:$B$42,A6,'Đoạn &amp; quỹ suy hao'!$E$5:$E$42,"ring")</f>
        <v/>
      </c>
      <c r="F6" s="24">
        <f>_xlfn.MAXIFS('Đoạn &amp; quỹ suy hao'!$K$5:$K$42,'Đoạn &amp; quỹ suy hao'!$B$5:$B$42,A6,'Đoạn &amp; quỹ suy hao'!$E$5:$E$42,"ring")</f>
        <v/>
      </c>
      <c r="G6" s="24">
        <f>_xlfn.MINIFS('Đoạn &amp; quỹ suy hao'!$P$5:$P$42,'Đoạn &amp; quỹ suy hao'!$B$5:$B$42,A6,'Đoạn &amp; quỹ suy hao'!$E$5:$E$42,"ring")</f>
        <v/>
      </c>
      <c r="H6" s="4">
        <f>COUNTIFS('Đoạn &amp; quỹ suy hao'!$B$5:$B$42,A6,'Đoạn &amp; quỹ suy hao'!$R$5:$R$42,"Cảnh báo")</f>
        <v/>
      </c>
      <c r="I6" s="4" t="inlineStr">
        <is>
          <t>—</t>
        </is>
      </c>
    </row>
    <row r="7">
      <c r="A7" s="26" t="inlineStr">
        <is>
          <t>R3</t>
        </is>
      </c>
      <c r="B7" s="4" t="inlineStr">
        <is>
          <t>NBE12 ─ HNB055 ─ HNB065 ─ HNB094 ─ NBE22</t>
        </is>
      </c>
      <c r="C7" s="4" t="n">
        <v>3</v>
      </c>
      <c r="D7" s="4">
        <f>COUNTIFS('Đoạn &amp; quỹ suy hao'!$B$5:$B$42,A7,'Đoạn &amp; quỹ suy hao'!$E$5:$E$42,"ring")</f>
        <v/>
      </c>
      <c r="E7" s="24">
        <f>SUMIFS('Đoạn &amp; quỹ suy hao'!$K$5:$K$42,'Đoạn &amp; quỹ suy hao'!$B$5:$B$42,A7,'Đoạn &amp; quỹ suy hao'!$E$5:$E$42,"ring")</f>
        <v/>
      </c>
      <c r="F7" s="24">
        <f>_xlfn.MAXIFS('Đoạn &amp; quỹ suy hao'!$K$5:$K$42,'Đoạn &amp; quỹ suy hao'!$B$5:$B$42,A7,'Đoạn &amp; quỹ suy hao'!$E$5:$E$42,"ring")</f>
        <v/>
      </c>
      <c r="G7" s="24">
        <f>_xlfn.MINIFS('Đoạn &amp; quỹ suy hao'!$P$5:$P$42,'Đoạn &amp; quỹ suy hao'!$B$5:$B$42,A7,'Đoạn &amp; quỹ suy hao'!$E$5:$E$42,"ring")</f>
        <v/>
      </c>
      <c r="H7" s="4">
        <f>COUNTIFS('Đoạn &amp; quỹ suy hao'!$B$5:$B$42,A7,'Đoạn &amp; quỹ suy hao'!$R$5:$R$42,"Cảnh báo")</f>
        <v/>
      </c>
      <c r="I7" s="4" t="inlineStr">
        <is>
          <t>HNB018</t>
        </is>
      </c>
    </row>
    <row r="8">
      <c r="A8" s="27" t="inlineStr">
        <is>
          <t>R4</t>
        </is>
      </c>
      <c r="B8" s="4" t="inlineStr">
        <is>
          <t>NBE12 ─ HNB011 ─ HNB056 ─ HNB071 ─ HNB073 ─ NBE22</t>
        </is>
      </c>
      <c r="C8" s="4" t="n">
        <v>4</v>
      </c>
      <c r="D8" s="4">
        <f>COUNTIFS('Đoạn &amp; quỹ suy hao'!$B$5:$B$42,A8,'Đoạn &amp; quỹ suy hao'!$E$5:$E$42,"ring")</f>
        <v/>
      </c>
      <c r="E8" s="24">
        <f>SUMIFS('Đoạn &amp; quỹ suy hao'!$K$5:$K$42,'Đoạn &amp; quỹ suy hao'!$B$5:$B$42,A8,'Đoạn &amp; quỹ suy hao'!$E$5:$E$42,"ring")</f>
        <v/>
      </c>
      <c r="F8" s="24">
        <f>_xlfn.MAXIFS('Đoạn &amp; quỹ suy hao'!$K$5:$K$42,'Đoạn &amp; quỹ suy hao'!$B$5:$B$42,A8,'Đoạn &amp; quỹ suy hao'!$E$5:$E$42,"ring")</f>
        <v/>
      </c>
      <c r="G8" s="24">
        <f>_xlfn.MINIFS('Đoạn &amp; quỹ suy hao'!$P$5:$P$42,'Đoạn &amp; quỹ suy hao'!$B$5:$B$42,A8,'Đoạn &amp; quỹ suy hao'!$E$5:$E$42,"ring")</f>
        <v/>
      </c>
      <c r="H8" s="4">
        <f>COUNTIFS('Đoạn &amp; quỹ suy hao'!$B$5:$B$42,A8,'Đoạn &amp; quỹ suy hao'!$R$5:$R$42,"Cảnh báo")</f>
        <v/>
      </c>
      <c r="I8" s="4" t="inlineStr">
        <is>
          <t>—</t>
        </is>
      </c>
    </row>
    <row r="9">
      <c r="A9" s="28" t="inlineStr">
        <is>
          <t>R5</t>
        </is>
      </c>
      <c r="B9" s="4" t="inlineStr">
        <is>
          <t>NBE12 ─ HNB012 ─ HNB014 ─ HNB075 ─ NBE22</t>
        </is>
      </c>
      <c r="C9" s="4" t="n">
        <v>3</v>
      </c>
      <c r="D9" s="4">
        <f>COUNTIFS('Đoạn &amp; quỹ suy hao'!$B$5:$B$42,A9,'Đoạn &amp; quỹ suy hao'!$E$5:$E$42,"ring")</f>
        <v/>
      </c>
      <c r="E9" s="24">
        <f>SUMIFS('Đoạn &amp; quỹ suy hao'!$K$5:$K$42,'Đoạn &amp; quỹ suy hao'!$B$5:$B$42,A9,'Đoạn &amp; quỹ suy hao'!$E$5:$E$42,"ring")</f>
        <v/>
      </c>
      <c r="F9" s="24">
        <f>_xlfn.MAXIFS('Đoạn &amp; quỹ suy hao'!$K$5:$K$42,'Đoạn &amp; quỹ suy hao'!$B$5:$B$42,A9,'Đoạn &amp; quỹ suy hao'!$E$5:$E$42,"ring")</f>
        <v/>
      </c>
      <c r="G9" s="24">
        <f>_xlfn.MINIFS('Đoạn &amp; quỹ suy hao'!$P$5:$P$42,'Đoạn &amp; quỹ suy hao'!$B$5:$B$42,A9,'Đoạn &amp; quỹ suy hao'!$E$5:$E$42,"ring")</f>
        <v/>
      </c>
      <c r="H9" s="4">
        <f>COUNTIFS('Đoạn &amp; quỹ suy hao'!$B$5:$B$42,A9,'Đoạn &amp; quỹ suy hao'!$R$5:$R$42,"Cảnh báo")</f>
        <v/>
      </c>
      <c r="I9" s="4" t="inlineStr">
        <is>
          <t>HNB113</t>
        </is>
      </c>
    </row>
    <row r="10">
      <c r="A10" s="29" t="inlineStr">
        <is>
          <t>R6</t>
        </is>
      </c>
      <c r="B10" s="4" t="inlineStr">
        <is>
          <t>NBE12 ─ HNB086 ─ HNB024 ─ HNB027 ─ HNB031 ─ HNB020 ─ NBE22</t>
        </is>
      </c>
      <c r="C10" s="4" t="n">
        <v>5</v>
      </c>
      <c r="D10" s="4">
        <f>COUNTIFS('Đoạn &amp; quỹ suy hao'!$B$5:$B$42,A10,'Đoạn &amp; quỹ suy hao'!$E$5:$E$42,"ring")</f>
        <v/>
      </c>
      <c r="E10" s="24">
        <f>SUMIFS('Đoạn &amp; quỹ suy hao'!$K$5:$K$42,'Đoạn &amp; quỹ suy hao'!$B$5:$B$42,A10,'Đoạn &amp; quỹ suy hao'!$E$5:$E$42,"ring")</f>
        <v/>
      </c>
      <c r="F10" s="24">
        <f>_xlfn.MAXIFS('Đoạn &amp; quỹ suy hao'!$K$5:$K$42,'Đoạn &amp; quỹ suy hao'!$B$5:$B$42,A10,'Đoạn &amp; quỹ suy hao'!$E$5:$E$42,"ring")</f>
        <v/>
      </c>
      <c r="G10" s="24">
        <f>_xlfn.MINIFS('Đoạn &amp; quỹ suy hao'!$P$5:$P$42,'Đoạn &amp; quỹ suy hao'!$B$5:$B$42,A10,'Đoạn &amp; quỹ suy hao'!$E$5:$E$42,"ring")</f>
        <v/>
      </c>
      <c r="H10" s="4">
        <f>COUNTIFS('Đoạn &amp; quỹ suy hao'!$B$5:$B$42,A10,'Đoạn &amp; quỹ suy hao'!$R$5:$R$42,"Cảnh báo")</f>
        <v/>
      </c>
      <c r="I10" s="4" t="inlineStr">
        <is>
          <t>—</t>
        </is>
      </c>
    </row>
    <row r="11">
      <c r="A11" s="30" t="inlineStr">
        <is>
          <t>R7</t>
        </is>
      </c>
      <c r="B11" s="4" t="inlineStr">
        <is>
          <t>NBE12 ─ HNB005 ─ HNB062 ─ HNB021 ─ HNB013 ─ NBE22</t>
        </is>
      </c>
      <c r="C11" s="4" t="n">
        <v>4</v>
      </c>
      <c r="D11" s="4">
        <f>COUNTIFS('Đoạn &amp; quỹ suy hao'!$B$5:$B$42,A11,'Đoạn &amp; quỹ suy hao'!$E$5:$E$42,"ring")</f>
        <v/>
      </c>
      <c r="E11" s="24">
        <f>SUMIFS('Đoạn &amp; quỹ suy hao'!$K$5:$K$42,'Đoạn &amp; quỹ suy hao'!$B$5:$B$42,A11,'Đoạn &amp; quỹ suy hao'!$E$5:$E$42,"ring")</f>
        <v/>
      </c>
      <c r="F11" s="24">
        <f>_xlfn.MAXIFS('Đoạn &amp; quỹ suy hao'!$K$5:$K$42,'Đoạn &amp; quỹ suy hao'!$B$5:$B$42,A11,'Đoạn &amp; quỹ suy hao'!$E$5:$E$42,"ring")</f>
        <v/>
      </c>
      <c r="G11" s="24">
        <f>_xlfn.MINIFS('Đoạn &amp; quỹ suy hao'!$P$5:$P$42,'Đoạn &amp; quỹ suy hao'!$B$5:$B$42,A11,'Đoạn &amp; quỹ suy hao'!$E$5:$E$42,"ring")</f>
        <v/>
      </c>
      <c r="H11" s="4">
        <f>COUNTIFS('Đoạn &amp; quỹ suy hao'!$B$5:$B$42,A11,'Đoạn &amp; quỹ suy hao'!$R$5:$R$42,"Cảnh báo")</f>
        <v/>
      </c>
      <c r="I11" s="4" t="inlineStr">
        <is>
          <t>—</t>
        </is>
      </c>
    </row>
    <row r="12">
      <c r="A12" s="31" t="inlineStr">
        <is>
          <t>R8</t>
        </is>
      </c>
      <c r="B12" s="4" t="inlineStr">
        <is>
          <t>NBE12 ─ HNB066 ─ HNB016 ─ HNB038 ─ NBE22</t>
        </is>
      </c>
      <c r="C12" s="4" t="n">
        <v>3</v>
      </c>
      <c r="D12" s="4">
        <f>COUNTIFS('Đoạn &amp; quỹ suy hao'!$B$5:$B$42,A12,'Đoạn &amp; quỹ suy hao'!$E$5:$E$42,"ring")</f>
        <v/>
      </c>
      <c r="E12" s="24">
        <f>SUMIFS('Đoạn &amp; quỹ suy hao'!$K$5:$K$42,'Đoạn &amp; quỹ suy hao'!$B$5:$B$42,A12,'Đoạn &amp; quỹ suy hao'!$E$5:$E$42,"ring")</f>
        <v/>
      </c>
      <c r="F12" s="24">
        <f>_xlfn.MAXIFS('Đoạn &amp; quỹ suy hao'!$K$5:$K$42,'Đoạn &amp; quỹ suy hao'!$B$5:$B$42,A12,'Đoạn &amp; quỹ suy hao'!$E$5:$E$42,"ring")</f>
        <v/>
      </c>
      <c r="G12" s="24">
        <f>_xlfn.MINIFS('Đoạn &amp; quỹ suy hao'!$P$5:$P$42,'Đoạn &amp; quỹ suy hao'!$B$5:$B$42,A12,'Đoạn &amp; quỹ suy hao'!$E$5:$E$42,"ring")</f>
        <v/>
      </c>
      <c r="H12" s="4">
        <f>COUNTIFS('Đoạn &amp; quỹ suy hao'!$B$5:$B$42,A12,'Đoạn &amp; quỹ suy hao'!$R$5:$R$42,"Cảnh báo")</f>
        <v/>
      </c>
      <c r="I12" s="4" t="inlineStr">
        <is>
          <t>—</t>
        </is>
      </c>
    </row>
    <row r="15">
      <c r="A15" s="12" t="inlineStr">
        <is>
          <t>Sơ đồ (số trên mũi tên = km tính; ■ AGG, ○ CSG)</t>
        </is>
      </c>
    </row>
    <row r="16">
      <c r="A16" s="32" t="inlineStr">
        <is>
          <t>R1</t>
        </is>
      </c>
      <c r="B16" s="33" t="inlineStr">
        <is>
          <t>■ NBE12</t>
        </is>
      </c>
      <c r="C16" s="34">
        <f>'Đoạn &amp; quỹ suy hao'!K5</f>
        <v/>
      </c>
      <c r="D16" s="35" t="inlineStr">
        <is>
          <t>○ HNB059</t>
        </is>
      </c>
      <c r="E16" s="34">
        <f>'Đoạn &amp; quỹ suy hao'!K6</f>
        <v/>
      </c>
      <c r="F16" s="35" t="inlineStr">
        <is>
          <t>○ HNB060</t>
        </is>
      </c>
      <c r="G16" s="34">
        <f>'Đoạn &amp; quỹ suy hao'!K7</f>
        <v/>
      </c>
      <c r="H16" s="35" t="inlineStr">
        <is>
          <t>○ HNB048</t>
        </is>
      </c>
      <c r="I16" s="34">
        <f>'Đoạn &amp; quỹ suy hao'!K8</f>
        <v/>
      </c>
      <c r="J16" s="33" t="inlineStr">
        <is>
          <t>■ NBE22</t>
        </is>
      </c>
    </row>
    <row r="17">
      <c r="C17" s="36" t="inlineStr">
        <is>
          <t>lề trái</t>
        </is>
      </c>
      <c r="E17" s="36" t="inlineStr">
        <is>
          <t>lề trái</t>
        </is>
      </c>
      <c r="G17" s="36" t="inlineStr">
        <is>
          <t>lề phải</t>
        </is>
      </c>
      <c r="I17" s="36" t="inlineStr">
        <is>
          <t>lề phải</t>
        </is>
      </c>
    </row>
    <row r="18">
      <c r="A18" s="37" t="inlineStr">
        <is>
          <t>R2</t>
        </is>
      </c>
      <c r="B18" s="33" t="inlineStr">
        <is>
          <t>■ NBE12</t>
        </is>
      </c>
      <c r="C18" s="34">
        <f>'Đoạn &amp; quỹ suy hao'!K9</f>
        <v/>
      </c>
      <c r="D18" s="38" t="inlineStr">
        <is>
          <t>○ HNB054</t>
        </is>
      </c>
      <c r="E18" s="34">
        <f>'Đoạn &amp; quỹ suy hao'!K10</f>
        <v/>
      </c>
      <c r="F18" s="38" t="inlineStr">
        <is>
          <t>○ HNB006</t>
        </is>
      </c>
      <c r="G18" s="34">
        <f>'Đoạn &amp; quỹ suy hao'!K11</f>
        <v/>
      </c>
      <c r="H18" s="38" t="inlineStr">
        <is>
          <t>○ HNB091</t>
        </is>
      </c>
      <c r="I18" s="34">
        <f>'Đoạn &amp; quỹ suy hao'!K12</f>
        <v/>
      </c>
      <c r="J18" s="33" t="inlineStr">
        <is>
          <t>■ NBE22</t>
        </is>
      </c>
    </row>
    <row r="19">
      <c r="C19" s="36" t="inlineStr">
        <is>
          <t>lề trái</t>
        </is>
      </c>
      <c r="E19" s="36" t="inlineStr">
        <is>
          <t>lề trái</t>
        </is>
      </c>
      <c r="G19" s="36" t="inlineStr">
        <is>
          <t>lề trái</t>
        </is>
      </c>
      <c r="I19" s="36" t="inlineStr">
        <is>
          <t>lề phải</t>
        </is>
      </c>
    </row>
    <row r="20">
      <c r="A20" s="39" t="inlineStr">
        <is>
          <t>R3</t>
        </is>
      </c>
      <c r="B20" s="33" t="inlineStr">
        <is>
          <t>■ NBE12</t>
        </is>
      </c>
      <c r="C20" s="34">
        <f>'Đoạn &amp; quỹ suy hao'!K13</f>
        <v/>
      </c>
      <c r="D20" s="40" t="inlineStr">
        <is>
          <t>○ HNB055</t>
        </is>
      </c>
      <c r="E20" s="34">
        <f>'Đoạn &amp; quỹ suy hao'!K14</f>
        <v/>
      </c>
      <c r="F20" s="40" t="inlineStr">
        <is>
          <t>○ HNB065</t>
        </is>
      </c>
      <c r="G20" s="34">
        <f>'Đoạn &amp; quỹ suy hao'!K15</f>
        <v/>
      </c>
      <c r="H20" s="40" t="inlineStr">
        <is>
          <t>○ HNB094</t>
        </is>
      </c>
      <c r="I20" s="34">
        <f>'Đoạn &amp; quỹ suy hao'!K16</f>
        <v/>
      </c>
      <c r="J20" s="33" t="inlineStr">
        <is>
          <t>■ NBE22</t>
        </is>
      </c>
    </row>
    <row r="22">
      <c r="A22" s="41" t="inlineStr">
        <is>
          <t>R4</t>
        </is>
      </c>
      <c r="B22" s="33" t="inlineStr">
        <is>
          <t>■ NBE12</t>
        </is>
      </c>
      <c r="C22" s="34">
        <f>'Đoạn &amp; quỹ suy hao'!K18</f>
        <v/>
      </c>
      <c r="D22" s="42" t="inlineStr">
        <is>
          <t>○ HNB011</t>
        </is>
      </c>
      <c r="E22" s="34">
        <f>'Đoạn &amp; quỹ suy hao'!K19</f>
        <v/>
      </c>
      <c r="F22" s="42" t="inlineStr">
        <is>
          <t>○ HNB056</t>
        </is>
      </c>
      <c r="G22" s="34">
        <f>'Đoạn &amp; quỹ suy hao'!K20</f>
        <v/>
      </c>
      <c r="H22" s="42" t="inlineStr">
        <is>
          <t>○ HNB071</t>
        </is>
      </c>
      <c r="I22" s="34">
        <f>'Đoạn &amp; quỹ suy hao'!K21</f>
        <v/>
      </c>
      <c r="J22" s="42" t="inlineStr">
        <is>
          <t>○ HNB073</t>
        </is>
      </c>
      <c r="K22" s="34">
        <f>'Đoạn &amp; quỹ suy hao'!K22</f>
        <v/>
      </c>
      <c r="L22" s="33" t="inlineStr">
        <is>
          <t>■ NBE22</t>
        </is>
      </c>
    </row>
    <row r="24">
      <c r="A24" s="43" t="inlineStr">
        <is>
          <t>R5</t>
        </is>
      </c>
      <c r="B24" s="33" t="inlineStr">
        <is>
          <t>■ NBE12</t>
        </is>
      </c>
      <c r="C24" s="34">
        <f>'Đoạn &amp; quỹ suy hao'!K23</f>
        <v/>
      </c>
      <c r="D24" s="44" t="inlineStr">
        <is>
          <t>○ HNB012</t>
        </is>
      </c>
      <c r="E24" s="34">
        <f>'Đoạn &amp; quỹ suy hao'!K24</f>
        <v/>
      </c>
      <c r="F24" s="44" t="inlineStr">
        <is>
          <t>○ HNB014</t>
        </is>
      </c>
      <c r="G24" s="34">
        <f>'Đoạn &amp; quỹ suy hao'!K25</f>
        <v/>
      </c>
      <c r="H24" s="44" t="inlineStr">
        <is>
          <t>○ HNB075</t>
        </is>
      </c>
      <c r="I24" s="34">
        <f>'Đoạn &amp; quỹ suy hao'!K26</f>
        <v/>
      </c>
      <c r="J24" s="33" t="inlineStr">
        <is>
          <t>■ NBE22</t>
        </is>
      </c>
    </row>
    <row r="26">
      <c r="A26" s="45" t="inlineStr">
        <is>
          <t>R6</t>
        </is>
      </c>
      <c r="B26" s="33" t="inlineStr">
        <is>
          <t>■ NBE12</t>
        </is>
      </c>
      <c r="C26" s="34">
        <f>'Đoạn &amp; quỹ suy hao'!K28</f>
        <v/>
      </c>
      <c r="D26" s="46" t="inlineStr">
        <is>
          <t>○ HNB086</t>
        </is>
      </c>
      <c r="E26" s="34">
        <f>'Đoạn &amp; quỹ suy hao'!K29</f>
        <v/>
      </c>
      <c r="F26" s="46" t="inlineStr">
        <is>
          <t>○ HNB024</t>
        </is>
      </c>
      <c r="G26" s="34">
        <f>'Đoạn &amp; quỹ suy hao'!K30</f>
        <v/>
      </c>
      <c r="H26" s="46" t="inlineStr">
        <is>
          <t>○ HNB027</t>
        </is>
      </c>
      <c r="I26" s="34">
        <f>'Đoạn &amp; quỹ suy hao'!K31</f>
        <v/>
      </c>
      <c r="J26" s="46" t="inlineStr">
        <is>
          <t>○ HNB031</t>
        </is>
      </c>
      <c r="K26" s="34">
        <f>'Đoạn &amp; quỹ suy hao'!K32</f>
        <v/>
      </c>
      <c r="L26" s="46" t="inlineStr">
        <is>
          <t>○ HNB020</t>
        </is>
      </c>
      <c r="M26" s="34">
        <f>'Đoạn &amp; quỹ suy hao'!K33</f>
        <v/>
      </c>
      <c r="N26" s="33" t="inlineStr">
        <is>
          <t>■ NBE22</t>
        </is>
      </c>
    </row>
    <row r="27">
      <c r="K27" s="36" t="inlineStr">
        <is>
          <t>lề hai</t>
        </is>
      </c>
    </row>
    <row r="28">
      <c r="A28" s="47" t="inlineStr">
        <is>
          <t>R7</t>
        </is>
      </c>
      <c r="B28" s="33" t="inlineStr">
        <is>
          <t>■ NBE12</t>
        </is>
      </c>
      <c r="C28" s="34">
        <f>'Đoạn &amp; quỹ suy hao'!K34</f>
        <v/>
      </c>
      <c r="D28" s="48" t="inlineStr">
        <is>
          <t>○ HNB005</t>
        </is>
      </c>
      <c r="E28" s="34">
        <f>'Đoạn &amp; quỹ suy hao'!K35</f>
        <v/>
      </c>
      <c r="F28" s="48" t="inlineStr">
        <is>
          <t>○ HNB062</t>
        </is>
      </c>
      <c r="G28" s="34">
        <f>'Đoạn &amp; quỹ suy hao'!K36</f>
        <v/>
      </c>
      <c r="H28" s="48" t="inlineStr">
        <is>
          <t>○ HNB021</t>
        </is>
      </c>
      <c r="I28" s="34">
        <f>'Đoạn &amp; quỹ suy hao'!K37</f>
        <v/>
      </c>
      <c r="J28" s="48" t="inlineStr">
        <is>
          <t>○ HNB013</t>
        </is>
      </c>
      <c r="K28" s="34">
        <f>'Đoạn &amp; quỹ suy hao'!K38</f>
        <v/>
      </c>
      <c r="L28" s="33" t="inlineStr">
        <is>
          <t>■ NBE22</t>
        </is>
      </c>
    </row>
    <row r="30">
      <c r="A30" s="49" t="inlineStr">
        <is>
          <t>R8</t>
        </is>
      </c>
      <c r="B30" s="33" t="inlineStr">
        <is>
          <t>■ NBE12</t>
        </is>
      </c>
      <c r="C30" s="34">
        <f>'Đoạn &amp; quỹ suy hao'!K39</f>
        <v/>
      </c>
      <c r="D30" s="50" t="inlineStr">
        <is>
          <t>○ HNB066</t>
        </is>
      </c>
      <c r="E30" s="34">
        <f>'Đoạn &amp; quỹ suy hao'!K40</f>
        <v/>
      </c>
      <c r="F30" s="50" t="inlineStr">
        <is>
          <t>○ HNB016</t>
        </is>
      </c>
      <c r="G30" s="34">
        <f>'Đoạn &amp; quỹ suy hao'!K41</f>
        <v/>
      </c>
      <c r="H30" s="50" t="inlineStr">
        <is>
          <t>○ HNB038</t>
        </is>
      </c>
      <c r="I30" s="34">
        <f>'Đoạn &amp; quỹ suy hao'!K42</f>
        <v/>
      </c>
      <c r="J30" s="33" t="inlineStr">
        <is>
          <t>■ NBE22</t>
        </is>
      </c>
    </row>
  </sheetData>
  <conditionalFormatting sqref="H5:H12">
    <cfRule type="cellIs" priority="1" operator="greaterThan" dxfId="0">
      <formula>0</formula>
    </cfRule>
  </conditionalFormatting>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U42"/>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10" customWidth="1" min="3" max="3"/>
    <col width="10" customWidth="1" min="4" max="4"/>
    <col width="10" customWidth="1" min="5" max="5"/>
    <col width="16" customWidth="1" min="6" max="6"/>
    <col width="10" customWidth="1" min="7" max="7"/>
    <col width="10"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11" customWidth="1" min="18" max="18"/>
    <col width="9" customWidth="1" min="19" max="19"/>
    <col width="10" customWidth="1" min="20" max="20"/>
    <col width="8" customWidth="1" min="21" max="21"/>
  </cols>
  <sheetData>
    <row r="1">
      <c r="A1" s="1" t="inlineStr">
        <is>
          <t>Đoạn cáp giữa hai trạm liền kề — quỹ suy hao theo từng đoạn</t>
        </is>
      </c>
    </row>
    <row r="2">
      <c r="A2" s="2" t="inlineStr">
        <is>
          <t>Ô trắng = dữ liệu từ BBNT/KML; cột công thức tự tính. Đoạn đổi tuyến (HNB066, HNB005): dùng km KML × hệ số dự trữ.</t>
        </is>
      </c>
    </row>
    <row r="4" ht="32" customHeight="1">
      <c r="A4" s="3" t="inlineStr">
        <is>
          <t>Mã đoạn</t>
        </is>
      </c>
      <c r="B4" s="3" t="inlineStr">
        <is>
          <t>Ring</t>
        </is>
      </c>
      <c r="C4" s="3" t="inlineStr">
        <is>
          <t>Từ</t>
        </is>
      </c>
      <c r="D4" s="3" t="inlineStr">
        <is>
          <t>Đến</t>
        </is>
      </c>
      <c r="E4" s="3" t="inlineStr">
        <is>
          <t>Loại</t>
        </is>
      </c>
      <c r="F4" s="3" t="inlineStr">
        <is>
          <t>Lề đường</t>
        </is>
      </c>
      <c r="G4" s="3" t="inlineStr">
        <is>
          <t>km HĐ (BBNT)</t>
        </is>
      </c>
      <c r="H4" s="3" t="inlineStr">
        <is>
          <t>km OTDR (BBNT)</t>
        </is>
      </c>
      <c r="I4" s="3" t="inlineStr">
        <is>
          <t>km KML</t>
        </is>
      </c>
      <c r="J4" s="3" t="inlineStr">
        <is>
          <t>Đổi tuyến</t>
        </is>
      </c>
      <c r="K4" s="3" t="inlineStr">
        <is>
          <t>km tính</t>
        </is>
      </c>
      <c r="L4" s="3" t="inlineStr">
        <is>
          <t>dB core #1</t>
        </is>
      </c>
      <c r="M4" s="3" t="inlineStr">
        <is>
          <t>dB core #2</t>
        </is>
      </c>
      <c r="N4" s="3" t="inlineStr">
        <is>
          <t>dB lớn nhất</t>
        </is>
      </c>
      <c r="O4" s="3" t="inlineStr">
        <is>
          <t>Ngưỡng (dB)</t>
        </is>
      </c>
      <c r="P4" s="3" t="inlineStr">
        <is>
          <t>Dư (dB)</t>
        </is>
      </c>
      <c r="Q4" s="3" t="inlineStr">
        <is>
          <t>Chênh core (dB)</t>
        </is>
      </c>
      <c r="R4" s="3" t="inlineStr">
        <is>
          <t>Trạng thái</t>
        </is>
      </c>
      <c r="S4" s="3" t="inlineStr">
        <is>
          <t>OTDR/KML</t>
        </is>
      </c>
      <c r="T4" s="3" t="inlineStr">
        <is>
          <t>HĐ lệch OTDR</t>
        </is>
      </c>
      <c r="U4" s="3" t="inlineStr">
        <is>
          <t>Mã BBNT</t>
        </is>
      </c>
    </row>
    <row r="5">
      <c r="A5" s="23" t="inlineStr">
        <is>
          <t>R1-01</t>
        </is>
      </c>
      <c r="B5" s="4" t="inlineStr">
        <is>
          <t>R1</t>
        </is>
      </c>
      <c r="C5" s="4" t="inlineStr">
        <is>
          <t>NBE12</t>
        </is>
      </c>
      <c r="D5" s="4" t="inlineStr">
        <is>
          <t>HNB059</t>
        </is>
      </c>
      <c r="E5" s="4" t="inlineStr">
        <is>
          <t>ring</t>
        </is>
      </c>
      <c r="F5" s="4" t="inlineStr">
        <is>
          <t>trái</t>
        </is>
      </c>
      <c r="G5" s="4" t="n">
        <v>4.446</v>
      </c>
      <c r="H5" s="4" t="n">
        <v>4.675</v>
      </c>
      <c r="I5" s="4" t="n">
        <v>4.334</v>
      </c>
      <c r="J5" s="4" t="inlineStr"/>
      <c r="K5" s="51">
        <f>IF(J5="Có",I5*'Tham số'!$B$10,IF(H5="",I5*'Tham số'!$B$10,H5))</f>
        <v/>
      </c>
      <c r="L5" s="4" t="n">
        <v>1.664</v>
      </c>
      <c r="M5" s="4" t="n">
        <v>3.069</v>
      </c>
      <c r="N5" s="51">
        <f>IF(L5="","",MAX(L5,M5)*IF(J5="Có",K5/H5,1))</f>
        <v/>
      </c>
      <c r="O5" s="4">
        <f>IF(K5&lt;'Tham số'!$B$7,'Tham số'!$B$4,IF(K5&lt;='Tham số'!$B$8,'Tham số'!$B$5,'Tham số'!$B$6))</f>
        <v/>
      </c>
      <c r="P5" s="51">
        <f>IF(N5="","",O5-N5)</f>
        <v/>
      </c>
      <c r="Q5" s="51">
        <f>IF(L5="","",ABS(L5-M5))</f>
        <v/>
      </c>
      <c r="R5" s="4">
        <f>IF(N5="","Chưa đo",IF(AND(N5&lt;=O5,Q5&lt;='Tham số'!$B$9),"Đạt","Cảnh báo"))</f>
        <v/>
      </c>
      <c r="S5" s="51">
        <f>IF(OR(H5="",I5=""),"",H5/I5)</f>
        <v/>
      </c>
      <c r="T5" s="15">
        <f>IF(OR(G5="",H5=""),"",ABS(H5-G5)/G5)</f>
        <v/>
      </c>
      <c r="U5" s="4" t="n">
        <v>34</v>
      </c>
    </row>
    <row r="6">
      <c r="A6" s="23" t="inlineStr">
        <is>
          <t>R1-02</t>
        </is>
      </c>
      <c r="B6" s="4" t="inlineStr">
        <is>
          <t>R1</t>
        </is>
      </c>
      <c r="C6" s="4" t="inlineStr">
        <is>
          <t>HNB059</t>
        </is>
      </c>
      <c r="D6" s="4" t="inlineStr">
        <is>
          <t>HNB060</t>
        </is>
      </c>
      <c r="E6" s="4" t="inlineStr">
        <is>
          <t>ring</t>
        </is>
      </c>
      <c r="F6" s="4" t="inlineStr">
        <is>
          <t>trái</t>
        </is>
      </c>
      <c r="G6" s="4" t="n">
        <v>2.998</v>
      </c>
      <c r="H6" s="4" t="n">
        <v>3.082</v>
      </c>
      <c r="I6" s="4" t="n">
        <v>2.884</v>
      </c>
      <c r="J6" s="4" t="inlineStr"/>
      <c r="K6" s="51">
        <f>IF(J6="Có",I6*'Tham số'!$B$10,IF(H6="",I6*'Tham số'!$B$10,H6))</f>
        <v/>
      </c>
      <c r="L6" s="4" t="n">
        <v>1.024</v>
      </c>
      <c r="M6" s="4" t="n">
        <v>1.024</v>
      </c>
      <c r="N6" s="51">
        <f>IF(L6="","",MAX(L6,M6)*IF(J6="Có",K6/H6,1))</f>
        <v/>
      </c>
      <c r="O6" s="4">
        <f>IF(K6&lt;'Tham số'!$B$7,'Tham số'!$B$4,IF(K6&lt;='Tham số'!$B$8,'Tham số'!$B$5,'Tham số'!$B$6))</f>
        <v/>
      </c>
      <c r="P6" s="51">
        <f>IF(N6="","",O6-N6)</f>
        <v/>
      </c>
      <c r="Q6" s="51">
        <f>IF(L6="","",ABS(L6-M6))</f>
        <v/>
      </c>
      <c r="R6" s="4">
        <f>IF(N6="","Chưa đo",IF(AND(N6&lt;=O6,Q6&lt;='Tham số'!$B$9),"Đạt","Cảnh báo"))</f>
        <v/>
      </c>
      <c r="S6" s="51">
        <f>IF(OR(H6="",I6=""),"",H6/I6)</f>
        <v/>
      </c>
      <c r="T6" s="15">
        <f>IF(OR(G6="",H6=""),"",ABS(H6-G6)/G6)</f>
        <v/>
      </c>
      <c r="U6" s="4" t="n">
        <v>37</v>
      </c>
    </row>
    <row r="7">
      <c r="A7" s="23" t="inlineStr">
        <is>
          <t>R1-03</t>
        </is>
      </c>
      <c r="B7" s="4" t="inlineStr">
        <is>
          <t>R1</t>
        </is>
      </c>
      <c r="C7" s="4" t="inlineStr">
        <is>
          <t>HNB060</t>
        </is>
      </c>
      <c r="D7" s="4" t="inlineStr">
        <is>
          <t>HNB048</t>
        </is>
      </c>
      <c r="E7" s="4" t="inlineStr">
        <is>
          <t>ring</t>
        </is>
      </c>
      <c r="F7" s="4" t="inlineStr">
        <is>
          <t>phải</t>
        </is>
      </c>
      <c r="G7" s="4" t="n">
        <v>4.291</v>
      </c>
      <c r="H7" s="4" t="n">
        <v>4.41</v>
      </c>
      <c r="I7" s="4" t="n">
        <v>4.114</v>
      </c>
      <c r="J7" s="4" t="inlineStr"/>
      <c r="K7" s="51">
        <f>IF(J7="Có",I7*'Tham số'!$B$10,IF(H7="",I7*'Tham số'!$B$10,H7))</f>
        <v/>
      </c>
      <c r="L7" s="4" t="n">
        <v>1.469</v>
      </c>
      <c r="M7" s="4" t="n">
        <v>1.473</v>
      </c>
      <c r="N7" s="51">
        <f>IF(L7="","",MAX(L7,M7)*IF(J7="Có",K7/H7,1))</f>
        <v/>
      </c>
      <c r="O7" s="4">
        <f>IF(K7&lt;'Tham số'!$B$7,'Tham số'!$B$4,IF(K7&lt;='Tham số'!$B$8,'Tham số'!$B$5,'Tham số'!$B$6))</f>
        <v/>
      </c>
      <c r="P7" s="51">
        <f>IF(N7="","",O7-N7)</f>
        <v/>
      </c>
      <c r="Q7" s="51">
        <f>IF(L7="","",ABS(L7-M7))</f>
        <v/>
      </c>
      <c r="R7" s="4">
        <f>IF(N7="","Chưa đo",IF(AND(N7&lt;=O7,Q7&lt;='Tham số'!$B$9),"Đạt","Cảnh báo"))</f>
        <v/>
      </c>
      <c r="S7" s="51">
        <f>IF(OR(H7="",I7=""),"",H7/I7)</f>
        <v/>
      </c>
      <c r="T7" s="15">
        <f>IF(OR(G7="",H7=""),"",ABS(H7-G7)/G7)</f>
        <v/>
      </c>
      <c r="U7" s="4" t="n">
        <v>36</v>
      </c>
    </row>
    <row r="8">
      <c r="A8" s="23" t="inlineStr">
        <is>
          <t>R1-04</t>
        </is>
      </c>
      <c r="B8" s="4" t="inlineStr">
        <is>
          <t>R1</t>
        </is>
      </c>
      <c r="C8" s="4" t="inlineStr">
        <is>
          <t>HNB048</t>
        </is>
      </c>
      <c r="D8" s="4" t="inlineStr">
        <is>
          <t>NBE22</t>
        </is>
      </c>
      <c r="E8" s="4" t="inlineStr">
        <is>
          <t>ring</t>
        </is>
      </c>
      <c r="F8" s="4" t="inlineStr">
        <is>
          <t>phải</t>
        </is>
      </c>
      <c r="G8" s="4" t="n">
        <v>16.542</v>
      </c>
      <c r="H8" s="4" t="n">
        <v>17.692</v>
      </c>
      <c r="I8" s="4" t="n">
        <v>16.065</v>
      </c>
      <c r="J8" s="4" t="inlineStr"/>
      <c r="K8" s="51">
        <f>IF(J8="Có",I8*'Tham số'!$B$10,IF(H8="",I8*'Tham số'!$B$10,H8))</f>
        <v/>
      </c>
      <c r="L8" s="4" t="n">
        <v>8.118</v>
      </c>
      <c r="M8" s="4" t="n">
        <v>8.118</v>
      </c>
      <c r="N8" s="51">
        <f>IF(L8="","",MAX(L8,M8)*IF(J8="Có",K8/H8,1))</f>
        <v/>
      </c>
      <c r="O8" s="4">
        <f>IF(K8&lt;'Tham số'!$B$7,'Tham số'!$B$4,IF(K8&lt;='Tham số'!$B$8,'Tham số'!$B$5,'Tham số'!$B$6))</f>
        <v/>
      </c>
      <c r="P8" s="51">
        <f>IF(N8="","",O8-N8)</f>
        <v/>
      </c>
      <c r="Q8" s="51">
        <f>IF(L8="","",ABS(L8-M8))</f>
        <v/>
      </c>
      <c r="R8" s="4">
        <f>IF(N8="","Chưa đo",IF(AND(N8&lt;=O8,Q8&lt;='Tham số'!$B$9),"Đạt","Cảnh báo"))</f>
        <v/>
      </c>
      <c r="S8" s="51">
        <f>IF(OR(H8="",I8=""),"",H8/I8)</f>
        <v/>
      </c>
      <c r="T8" s="15">
        <f>IF(OR(G8="",H8=""),"",ABS(H8-G8)/G8)</f>
        <v/>
      </c>
      <c r="U8" s="4" t="n">
        <v>35</v>
      </c>
    </row>
    <row r="9">
      <c r="A9" s="25" t="inlineStr">
        <is>
          <t>R2-01</t>
        </is>
      </c>
      <c r="B9" s="4" t="inlineStr">
        <is>
          <t>R2</t>
        </is>
      </c>
      <c r="C9" s="4" t="inlineStr">
        <is>
          <t>NBE12</t>
        </is>
      </c>
      <c r="D9" s="4" t="inlineStr">
        <is>
          <t>HNB054</t>
        </is>
      </c>
      <c r="E9" s="4" t="inlineStr">
        <is>
          <t>ring</t>
        </is>
      </c>
      <c r="F9" s="4" t="inlineStr">
        <is>
          <t>trái (trục NVT)</t>
        </is>
      </c>
      <c r="G9" s="4" t="n">
        <v>0.931</v>
      </c>
      <c r="H9" s="4" t="n">
        <v>0.995</v>
      </c>
      <c r="I9" s="4" t="n">
        <v>0.82</v>
      </c>
      <c r="J9" s="4" t="inlineStr"/>
      <c r="K9" s="51">
        <f>IF(J9="Có",I9*'Tham số'!$B$10,IF(H9="",I9*'Tham số'!$B$10,H9))</f>
        <v/>
      </c>
      <c r="L9" s="4" t="n">
        <v>0.703</v>
      </c>
      <c r="M9" s="4" t="n">
        <v>0.468</v>
      </c>
      <c r="N9" s="51">
        <f>IF(L9="","",MAX(L9,M9)*IF(J9="Có",K9/H9,1))</f>
        <v/>
      </c>
      <c r="O9" s="4">
        <f>IF(K9&lt;'Tham số'!$B$7,'Tham số'!$B$4,IF(K9&lt;='Tham số'!$B$8,'Tham số'!$B$5,'Tham số'!$B$6))</f>
        <v/>
      </c>
      <c r="P9" s="51">
        <f>IF(N9="","",O9-N9)</f>
        <v/>
      </c>
      <c r="Q9" s="51">
        <f>IF(L9="","",ABS(L9-M9))</f>
        <v/>
      </c>
      <c r="R9" s="4">
        <f>IF(N9="","Chưa đo",IF(AND(N9&lt;=O9,Q9&lt;='Tham số'!$B$9),"Đạt","Cảnh báo"))</f>
        <v/>
      </c>
      <c r="S9" s="51">
        <f>IF(OR(H9="",I9=""),"",H9/I9)</f>
        <v/>
      </c>
      <c r="T9" s="15">
        <f>IF(OR(G9="",H9=""),"",ABS(H9-G9)/G9)</f>
        <v/>
      </c>
      <c r="U9" s="4" t="n">
        <v>30</v>
      </c>
    </row>
    <row r="10">
      <c r="A10" s="25" t="inlineStr">
        <is>
          <t>R2-02</t>
        </is>
      </c>
      <c r="B10" s="4" t="inlineStr">
        <is>
          <t>R2</t>
        </is>
      </c>
      <c r="C10" s="4" t="inlineStr">
        <is>
          <t>HNB054</t>
        </is>
      </c>
      <c r="D10" s="4" t="inlineStr">
        <is>
          <t>HNB006</t>
        </is>
      </c>
      <c r="E10" s="4" t="inlineStr">
        <is>
          <t>ring</t>
        </is>
      </c>
      <c r="F10" s="4" t="inlineStr">
        <is>
          <t>trái (trục NVT)</t>
        </is>
      </c>
      <c r="G10" s="4" t="n">
        <v>1.292</v>
      </c>
      <c r="H10" s="4" t="n">
        <v>1.433</v>
      </c>
      <c r="I10" s="4" t="n">
        <v>1.486</v>
      </c>
      <c r="J10" s="4" t="inlineStr"/>
      <c r="K10" s="51">
        <f>IF(J10="Có",I10*'Tham số'!$B$10,IF(H10="",I10*'Tham số'!$B$10,H10))</f>
        <v/>
      </c>
      <c r="L10" s="4" t="n">
        <v>2.359</v>
      </c>
      <c r="M10" s="4" t="n">
        <v>0.336</v>
      </c>
      <c r="N10" s="51">
        <f>IF(L10="","",MAX(L10,M10)*IF(J10="Có",K10/H10,1))</f>
        <v/>
      </c>
      <c r="O10" s="4">
        <f>IF(K10&lt;'Tham số'!$B$7,'Tham số'!$B$4,IF(K10&lt;='Tham số'!$B$8,'Tham số'!$B$5,'Tham số'!$B$6))</f>
        <v/>
      </c>
      <c r="P10" s="51">
        <f>IF(N10="","",O10-N10)</f>
        <v/>
      </c>
      <c r="Q10" s="51">
        <f>IF(L10="","",ABS(L10-M10))</f>
        <v/>
      </c>
      <c r="R10" s="4">
        <f>IF(N10="","Chưa đo",IF(AND(N10&lt;=O10,Q10&lt;='Tham số'!$B$9),"Đạt","Cảnh báo"))</f>
        <v/>
      </c>
      <c r="S10" s="51">
        <f>IF(OR(H10="",I10=""),"",H10/I10)</f>
        <v/>
      </c>
      <c r="T10" s="15">
        <f>IF(OR(G10="",H10=""),"",ABS(H10-G10)/G10)</f>
        <v/>
      </c>
      <c r="U10" s="4" t="n">
        <v>31</v>
      </c>
    </row>
    <row r="11">
      <c r="A11" s="25" t="inlineStr">
        <is>
          <t>R2-03</t>
        </is>
      </c>
      <c r="B11" s="4" t="inlineStr">
        <is>
          <t>R2</t>
        </is>
      </c>
      <c r="C11" s="4" t="inlineStr">
        <is>
          <t>HNB006</t>
        </is>
      </c>
      <c r="D11" s="4" t="inlineStr">
        <is>
          <t>HNB091</t>
        </is>
      </c>
      <c r="E11" s="4" t="inlineStr">
        <is>
          <t>ring</t>
        </is>
      </c>
      <c r="F11" s="4" t="inlineStr">
        <is>
          <t>trái</t>
        </is>
      </c>
      <c r="G11" s="4" t="n">
        <v>0.962</v>
      </c>
      <c r="H11" s="4" t="n">
        <v>1.607</v>
      </c>
      <c r="I11" s="4" t="n">
        <v>0.779</v>
      </c>
      <c r="J11" s="4" t="inlineStr"/>
      <c r="K11" s="51">
        <f>IF(J11="Có",I11*'Tham số'!$B$10,IF(H11="",I11*'Tham số'!$B$10,H11))</f>
        <v/>
      </c>
      <c r="L11" s="4" t="n">
        <v>0.549</v>
      </c>
      <c r="M11" s="4" t="n">
        <v>0.549</v>
      </c>
      <c r="N11" s="51">
        <f>IF(L11="","",MAX(L11,M11)*IF(J11="Có",K11/H11,1))</f>
        <v/>
      </c>
      <c r="O11" s="4">
        <f>IF(K11&lt;'Tham số'!$B$7,'Tham số'!$B$4,IF(K11&lt;='Tham số'!$B$8,'Tham số'!$B$5,'Tham số'!$B$6))</f>
        <v/>
      </c>
      <c r="P11" s="51">
        <f>IF(N11="","",O11-N11)</f>
        <v/>
      </c>
      <c r="Q11" s="51">
        <f>IF(L11="","",ABS(L11-M11))</f>
        <v/>
      </c>
      <c r="R11" s="4">
        <f>IF(N11="","Chưa đo",IF(AND(N11&lt;=O11,Q11&lt;='Tham số'!$B$9),"Đạt","Cảnh báo"))</f>
        <v/>
      </c>
      <c r="S11" s="51">
        <f>IF(OR(H11="",I11=""),"",H11/I11)</f>
        <v/>
      </c>
      <c r="T11" s="15">
        <f>IF(OR(G11="",H11=""),"",ABS(H11-G11)/G11)</f>
        <v/>
      </c>
      <c r="U11" s="4" t="n">
        <v>32</v>
      </c>
    </row>
    <row r="12">
      <c r="A12" s="25" t="inlineStr">
        <is>
          <t>R2-04</t>
        </is>
      </c>
      <c r="B12" s="4" t="inlineStr">
        <is>
          <t>R2</t>
        </is>
      </c>
      <c r="C12" s="4" t="inlineStr">
        <is>
          <t>HNB091</t>
        </is>
      </c>
      <c r="D12" s="4" t="inlineStr">
        <is>
          <t>NBE22</t>
        </is>
      </c>
      <c r="E12" s="4" t="inlineStr">
        <is>
          <t>ring</t>
        </is>
      </c>
      <c r="F12" s="4" t="inlineStr">
        <is>
          <t>phải</t>
        </is>
      </c>
      <c r="G12" s="4" t="n">
        <v>15.302</v>
      </c>
      <c r="H12" s="4" t="n">
        <v>16.341</v>
      </c>
      <c r="I12" s="4" t="n">
        <v>14.903</v>
      </c>
      <c r="J12" s="4" t="inlineStr"/>
      <c r="K12" s="51">
        <f>IF(J12="Có",I12*'Tham số'!$B$10,IF(H12="",I12*'Tham số'!$B$10,H12))</f>
        <v/>
      </c>
      <c r="L12" s="4" t="n">
        <v>7.815</v>
      </c>
      <c r="M12" s="4" t="n">
        <v>5.984</v>
      </c>
      <c r="N12" s="51">
        <f>IF(L12="","",MAX(L12,M12)*IF(J12="Có",K12/H12,1))</f>
        <v/>
      </c>
      <c r="O12" s="4">
        <f>IF(K12&lt;'Tham số'!$B$7,'Tham số'!$B$4,IF(K12&lt;='Tham số'!$B$8,'Tham số'!$B$5,'Tham số'!$B$6))</f>
        <v/>
      </c>
      <c r="P12" s="51">
        <f>IF(N12="","",O12-N12)</f>
        <v/>
      </c>
      <c r="Q12" s="51">
        <f>IF(L12="","",ABS(L12-M12))</f>
        <v/>
      </c>
      <c r="R12" s="4">
        <f>IF(N12="","Chưa đo",IF(AND(N12&lt;=O12,Q12&lt;='Tham số'!$B$9),"Đạt","Cảnh báo"))</f>
        <v/>
      </c>
      <c r="S12" s="51">
        <f>IF(OR(H12="",I12=""),"",H12/I12)</f>
        <v/>
      </c>
      <c r="T12" s="15">
        <f>IF(OR(G12="",H12=""),"",ABS(H12-G12)/G12)</f>
        <v/>
      </c>
      <c r="U12" s="4" t="n">
        <v>33</v>
      </c>
    </row>
    <row r="13">
      <c r="A13" s="26" t="inlineStr">
        <is>
          <t>R3-01</t>
        </is>
      </c>
      <c r="B13" s="4" t="inlineStr">
        <is>
          <t>R3</t>
        </is>
      </c>
      <c r="C13" s="4" t="inlineStr">
        <is>
          <t>NBE12</t>
        </is>
      </c>
      <c r="D13" s="4" t="inlineStr">
        <is>
          <t>HNB055</t>
        </is>
      </c>
      <c r="E13" s="4" t="inlineStr">
        <is>
          <t>ring</t>
        </is>
      </c>
      <c r="F13" s="4" t="inlineStr"/>
      <c r="G13" s="4" t="n">
        <v>10.029</v>
      </c>
      <c r="H13" s="4" t="n">
        <v>10.387</v>
      </c>
      <c r="I13" s="4" t="n">
        <v>9.682</v>
      </c>
      <c r="J13" s="4" t="inlineStr"/>
      <c r="K13" s="51">
        <f>IF(J13="Có",I13*'Tham số'!$B$10,IF(H13="",I13*'Tham số'!$B$10,H13))</f>
        <v/>
      </c>
      <c r="L13" s="4" t="n">
        <v>3.794</v>
      </c>
      <c r="M13" s="4" t="n">
        <v>3.842</v>
      </c>
      <c r="N13" s="51">
        <f>IF(L13="","",MAX(L13,M13)*IF(J13="Có",K13/H13,1))</f>
        <v/>
      </c>
      <c r="O13" s="4">
        <f>IF(K13&lt;'Tham số'!$B$7,'Tham số'!$B$4,IF(K13&lt;='Tham số'!$B$8,'Tham số'!$B$5,'Tham số'!$B$6))</f>
        <v/>
      </c>
      <c r="P13" s="51">
        <f>IF(N13="","",O13-N13)</f>
        <v/>
      </c>
      <c r="Q13" s="51">
        <f>IF(L13="","",ABS(L13-M13))</f>
        <v/>
      </c>
      <c r="R13" s="4">
        <f>IF(N13="","Chưa đo",IF(AND(N13&lt;=O13,Q13&lt;='Tham số'!$B$9),"Đạt","Cảnh báo"))</f>
        <v/>
      </c>
      <c r="S13" s="51">
        <f>IF(OR(H13="",I13=""),"",H13/I13)</f>
        <v/>
      </c>
      <c r="T13" s="15">
        <f>IF(OR(G13="",H13=""),"",ABS(H13-G13)/G13)</f>
        <v/>
      </c>
      <c r="U13" s="4" t="n">
        <v>25</v>
      </c>
    </row>
    <row r="14">
      <c r="A14" s="26" t="inlineStr">
        <is>
          <t>R3-02</t>
        </is>
      </c>
      <c r="B14" s="4" t="inlineStr">
        <is>
          <t>R3</t>
        </is>
      </c>
      <c r="C14" s="4" t="inlineStr">
        <is>
          <t>HNB055</t>
        </is>
      </c>
      <c r="D14" s="4" t="inlineStr">
        <is>
          <t>HNB065</t>
        </is>
      </c>
      <c r="E14" s="4" t="inlineStr">
        <is>
          <t>ring</t>
        </is>
      </c>
      <c r="F14" s="4" t="inlineStr"/>
      <c r="G14" s="4" t="n">
        <v>0.827</v>
      </c>
      <c r="H14" s="4" t="n">
        <v>1.018</v>
      </c>
      <c r="I14" s="4" t="n">
        <v>0.872</v>
      </c>
      <c r="J14" s="4" t="inlineStr"/>
      <c r="K14" s="51">
        <f>IF(J14="Có",I14*'Tham số'!$B$10,IF(H14="",I14*'Tham số'!$B$10,H14))</f>
        <v/>
      </c>
      <c r="L14" s="4" t="n">
        <v>0.247</v>
      </c>
      <c r="M14" s="4" t="n">
        <v>0.248</v>
      </c>
      <c r="N14" s="51">
        <f>IF(L14="","",MAX(L14,M14)*IF(J14="Có",K14/H14,1))</f>
        <v/>
      </c>
      <c r="O14" s="4">
        <f>IF(K14&lt;'Tham số'!$B$7,'Tham số'!$B$4,IF(K14&lt;='Tham số'!$B$8,'Tham số'!$B$5,'Tham số'!$B$6))</f>
        <v/>
      </c>
      <c r="P14" s="51">
        <f>IF(N14="","",O14-N14)</f>
        <v/>
      </c>
      <c r="Q14" s="51">
        <f>IF(L14="","",ABS(L14-M14))</f>
        <v/>
      </c>
      <c r="R14" s="4">
        <f>IF(N14="","Chưa đo",IF(AND(N14&lt;=O14,Q14&lt;='Tham số'!$B$9),"Đạt","Cảnh báo"))</f>
        <v/>
      </c>
      <c r="S14" s="51">
        <f>IF(OR(H14="",I14=""),"",H14/I14)</f>
        <v/>
      </c>
      <c r="T14" s="15">
        <f>IF(OR(G14="",H14=""),"",ABS(H14-G14)/G14)</f>
        <v/>
      </c>
      <c r="U14" s="4" t="n">
        <v>26</v>
      </c>
    </row>
    <row r="15">
      <c r="A15" s="26" t="inlineStr">
        <is>
          <t>R3-03</t>
        </is>
      </c>
      <c r="B15" s="4" t="inlineStr">
        <is>
          <t>R3</t>
        </is>
      </c>
      <c r="C15" s="4" t="inlineStr">
        <is>
          <t>HNB065</t>
        </is>
      </c>
      <c r="D15" s="4" t="inlineStr">
        <is>
          <t>HNB094</t>
        </is>
      </c>
      <c r="E15" s="4" t="inlineStr">
        <is>
          <t>ring</t>
        </is>
      </c>
      <c r="F15" s="4" t="inlineStr"/>
      <c r="G15" s="4" t="n">
        <v>1.799</v>
      </c>
      <c r="H15" s="4" t="n">
        <v>2.218</v>
      </c>
      <c r="I15" s="4" t="n">
        <v>1.919</v>
      </c>
      <c r="J15" s="4" t="inlineStr"/>
      <c r="K15" s="51">
        <f>IF(J15="Có",I15*'Tham số'!$B$10,IF(H15="",I15*'Tham số'!$B$10,H15))</f>
        <v/>
      </c>
      <c r="L15" s="4" t="n">
        <v>0.804</v>
      </c>
      <c r="M15" s="4" t="n">
        <v>0.803</v>
      </c>
      <c r="N15" s="51">
        <f>IF(L15="","",MAX(L15,M15)*IF(J15="Có",K15/H15,1))</f>
        <v/>
      </c>
      <c r="O15" s="4">
        <f>IF(K15&lt;'Tham số'!$B$7,'Tham số'!$B$4,IF(K15&lt;='Tham số'!$B$8,'Tham số'!$B$5,'Tham số'!$B$6))</f>
        <v/>
      </c>
      <c r="P15" s="51">
        <f>IF(N15="","",O15-N15)</f>
        <v/>
      </c>
      <c r="Q15" s="51">
        <f>IF(L15="","",ABS(L15-M15))</f>
        <v/>
      </c>
      <c r="R15" s="4">
        <f>IF(N15="","Chưa đo",IF(AND(N15&lt;=O15,Q15&lt;='Tham số'!$B$9),"Đạt","Cảnh báo"))</f>
        <v/>
      </c>
      <c r="S15" s="51">
        <f>IF(OR(H15="",I15=""),"",H15/I15)</f>
        <v/>
      </c>
      <c r="T15" s="15">
        <f>IF(OR(G15="",H15=""),"",ABS(H15-G15)/G15)</f>
        <v/>
      </c>
      <c r="U15" s="4" t="n">
        <v>27</v>
      </c>
    </row>
    <row r="16">
      <c r="A16" s="26" t="inlineStr">
        <is>
          <t>R3-04</t>
        </is>
      </c>
      <c r="B16" s="4" t="inlineStr">
        <is>
          <t>R3</t>
        </is>
      </c>
      <c r="C16" s="4" t="inlineStr">
        <is>
          <t>HNB094</t>
        </is>
      </c>
      <c r="D16" s="4" t="inlineStr">
        <is>
          <t>NBE22</t>
        </is>
      </c>
      <c r="E16" s="4" t="inlineStr">
        <is>
          <t>ring</t>
        </is>
      </c>
      <c r="F16" s="4" t="inlineStr"/>
      <c r="G16" s="4" t="n">
        <v>7.237</v>
      </c>
      <c r="H16" s="4" t="n">
        <v>7.65</v>
      </c>
      <c r="I16" s="4" t="n">
        <v>7.056</v>
      </c>
      <c r="J16" s="4" t="inlineStr"/>
      <c r="K16" s="51">
        <f>IF(J16="Có",I16*'Tham số'!$B$10,IF(H16="",I16*'Tham số'!$B$10,H16))</f>
        <v/>
      </c>
      <c r="L16" s="4" t="n">
        <v>2.812</v>
      </c>
      <c r="M16" s="4" t="n">
        <v>2.636</v>
      </c>
      <c r="N16" s="51">
        <f>IF(L16="","",MAX(L16,M16)*IF(J16="Có",K16/H16,1))</f>
        <v/>
      </c>
      <c r="O16" s="4">
        <f>IF(K16&lt;'Tham số'!$B$7,'Tham số'!$B$4,IF(K16&lt;='Tham số'!$B$8,'Tham số'!$B$5,'Tham số'!$B$6))</f>
        <v/>
      </c>
      <c r="P16" s="51">
        <f>IF(N16="","",O16-N16)</f>
        <v/>
      </c>
      <c r="Q16" s="51">
        <f>IF(L16="","",ABS(L16-M16))</f>
        <v/>
      </c>
      <c r="R16" s="4">
        <f>IF(N16="","Chưa đo",IF(AND(N16&lt;=O16,Q16&lt;='Tham số'!$B$9),"Đạt","Cảnh báo"))</f>
        <v/>
      </c>
      <c r="S16" s="51">
        <f>IF(OR(H16="",I16=""),"",H16/I16)</f>
        <v/>
      </c>
      <c r="T16" s="15">
        <f>IF(OR(G16="",H16=""),"",ABS(H16-G16)/G16)</f>
        <v/>
      </c>
      <c r="U16" s="4" t="n">
        <v>28</v>
      </c>
    </row>
    <row r="17">
      <c r="A17" s="26" t="inlineStr">
        <is>
          <t>R3-S1</t>
        </is>
      </c>
      <c r="B17" s="4" t="inlineStr">
        <is>
          <t>R3</t>
        </is>
      </c>
      <c r="C17" s="4" t="inlineStr">
        <is>
          <t>HNB094</t>
        </is>
      </c>
      <c r="D17" s="4" t="inlineStr">
        <is>
          <t>HNB018</t>
        </is>
      </c>
      <c r="E17" s="4" t="inlineStr">
        <is>
          <t>nhánh cụt</t>
        </is>
      </c>
      <c r="F17" s="4" t="inlineStr"/>
      <c r="G17" s="4" t="n">
        <v>1.241</v>
      </c>
      <c r="H17" s="4" t="n">
        <v>1.427</v>
      </c>
      <c r="I17" s="4" t="n">
        <v>1.209</v>
      </c>
      <c r="J17" s="4" t="inlineStr"/>
      <c r="K17" s="51">
        <f>IF(J17="Có",I17*'Tham số'!$B$10,IF(H17="",I17*'Tham số'!$B$10,H17))</f>
        <v/>
      </c>
      <c r="L17" s="4" t="n">
        <v>0.62</v>
      </c>
      <c r="M17" s="4" t="n">
        <v>0.621</v>
      </c>
      <c r="N17" s="51">
        <f>IF(L17="","",MAX(L17,M17)*IF(J17="Có",K17/H17,1))</f>
        <v/>
      </c>
      <c r="O17" s="4">
        <f>IF(K17&lt;'Tham số'!$B$7,'Tham số'!$B$4,IF(K17&lt;='Tham số'!$B$8,'Tham số'!$B$5,'Tham số'!$B$6))</f>
        <v/>
      </c>
      <c r="P17" s="51">
        <f>IF(N17="","",O17-N17)</f>
        <v/>
      </c>
      <c r="Q17" s="51">
        <f>IF(L17="","",ABS(L17-M17))</f>
        <v/>
      </c>
      <c r="R17" s="4">
        <f>IF(N17="","Chưa đo",IF(AND(N17&lt;=O17,Q17&lt;='Tham số'!$B$9),"Đạt","Cảnh báo"))</f>
        <v/>
      </c>
      <c r="S17" s="51">
        <f>IF(OR(H17="",I17=""),"",H17/I17)</f>
        <v/>
      </c>
      <c r="T17" s="15">
        <f>IF(OR(G17="",H17=""),"",ABS(H17-G17)/G17)</f>
        <v/>
      </c>
      <c r="U17" s="4" t="n">
        <v>29</v>
      </c>
    </row>
    <row r="18">
      <c r="A18" s="27" t="inlineStr">
        <is>
          <t>R4-01</t>
        </is>
      </c>
      <c r="B18" s="4" t="inlineStr">
        <is>
          <t>R4</t>
        </is>
      </c>
      <c r="C18" s="4" t="inlineStr">
        <is>
          <t>NBE12</t>
        </is>
      </c>
      <c r="D18" s="4" t="inlineStr">
        <is>
          <t>HNB011</t>
        </is>
      </c>
      <c r="E18" s="4" t="inlineStr">
        <is>
          <t>ring</t>
        </is>
      </c>
      <c r="F18" s="4" t="inlineStr"/>
      <c r="G18" s="4" t="n">
        <v>9.202</v>
      </c>
      <c r="H18" s="4" t="n">
        <v>9.630000000000001</v>
      </c>
      <c r="I18" s="4" t="n">
        <v>8.917</v>
      </c>
      <c r="J18" s="4" t="inlineStr"/>
      <c r="K18" s="51">
        <f>IF(J18="Có",I18*'Tham số'!$B$10,IF(H18="",I18*'Tham số'!$B$10,H18))</f>
        <v/>
      </c>
      <c r="L18" s="4" t="n">
        <v>3.502</v>
      </c>
      <c r="M18" s="4" t="n">
        <v>3.203</v>
      </c>
      <c r="N18" s="51">
        <f>IF(L18="","",MAX(L18,M18)*IF(J18="Có",K18/H18,1))</f>
        <v/>
      </c>
      <c r="O18" s="4">
        <f>IF(K18&lt;'Tham số'!$B$7,'Tham số'!$B$4,IF(K18&lt;='Tham số'!$B$8,'Tham số'!$B$5,'Tham số'!$B$6))</f>
        <v/>
      </c>
      <c r="P18" s="51">
        <f>IF(N18="","",O18-N18)</f>
        <v/>
      </c>
      <c r="Q18" s="51">
        <f>IF(L18="","",ABS(L18-M18))</f>
        <v/>
      </c>
      <c r="R18" s="4">
        <f>IF(N18="","Chưa đo",IF(AND(N18&lt;=O18,Q18&lt;='Tham số'!$B$9),"Đạt","Cảnh báo"))</f>
        <v/>
      </c>
      <c r="S18" s="51">
        <f>IF(OR(H18="",I18=""),"",H18/I18)</f>
        <v/>
      </c>
      <c r="T18" s="15">
        <f>IF(OR(G18="",H18=""),"",ABS(H18-G18)/G18)</f>
        <v/>
      </c>
      <c r="U18" s="4" t="n">
        <v>20</v>
      </c>
    </row>
    <row r="19">
      <c r="A19" s="27" t="inlineStr">
        <is>
          <t>R4-02</t>
        </is>
      </c>
      <c r="B19" s="4" t="inlineStr">
        <is>
          <t>R4</t>
        </is>
      </c>
      <c r="C19" s="4" t="inlineStr">
        <is>
          <t>HNB011</t>
        </is>
      </c>
      <c r="D19" s="4" t="inlineStr">
        <is>
          <t>HNB056</t>
        </is>
      </c>
      <c r="E19" s="4" t="inlineStr">
        <is>
          <t>ring</t>
        </is>
      </c>
      <c r="F19" s="4" t="inlineStr"/>
      <c r="G19" s="4" t="n">
        <v>0.62</v>
      </c>
      <c r="H19" s="4" t="n">
        <v>0.86</v>
      </c>
      <c r="I19" s="4" t="n">
        <v>0.735</v>
      </c>
      <c r="J19" s="4" t="inlineStr"/>
      <c r="K19" s="51">
        <f>IF(J19="Có",I19*'Tham số'!$B$10,IF(H19="",I19*'Tham số'!$B$10,H19))</f>
        <v/>
      </c>
      <c r="L19" s="4" t="n">
        <v>0.445</v>
      </c>
      <c r="M19" s="4" t="n">
        <v>0.358</v>
      </c>
      <c r="N19" s="51">
        <f>IF(L19="","",MAX(L19,M19)*IF(J19="Có",K19/H19,1))</f>
        <v/>
      </c>
      <c r="O19" s="4">
        <f>IF(K19&lt;'Tham số'!$B$7,'Tham số'!$B$4,IF(K19&lt;='Tham số'!$B$8,'Tham số'!$B$5,'Tham số'!$B$6))</f>
        <v/>
      </c>
      <c r="P19" s="51">
        <f>IF(N19="","",O19-N19)</f>
        <v/>
      </c>
      <c r="Q19" s="51">
        <f>IF(L19="","",ABS(L19-M19))</f>
        <v/>
      </c>
      <c r="R19" s="4">
        <f>IF(N19="","Chưa đo",IF(AND(N19&lt;=O19,Q19&lt;='Tham số'!$B$9),"Đạt","Cảnh báo"))</f>
        <v/>
      </c>
      <c r="S19" s="51">
        <f>IF(OR(H19="",I19=""),"",H19/I19)</f>
        <v/>
      </c>
      <c r="T19" s="15">
        <f>IF(OR(G19="",H19=""),"",ABS(H19-G19)/G19)</f>
        <v/>
      </c>
      <c r="U19" s="4" t="n">
        <v>21</v>
      </c>
    </row>
    <row r="20">
      <c r="A20" s="27" t="inlineStr">
        <is>
          <t>R4-03</t>
        </is>
      </c>
      <c r="B20" s="4" t="inlineStr">
        <is>
          <t>R4</t>
        </is>
      </c>
      <c r="C20" s="4" t="inlineStr">
        <is>
          <t>HNB056</t>
        </is>
      </c>
      <c r="D20" s="4" t="inlineStr">
        <is>
          <t>HNB071</t>
        </is>
      </c>
      <c r="E20" s="4" t="inlineStr">
        <is>
          <t>ring</t>
        </is>
      </c>
      <c r="F20" s="4" t="inlineStr"/>
      <c r="G20" s="4" t="n">
        <v>0.827</v>
      </c>
      <c r="H20" s="4" t="n">
        <v>1.325</v>
      </c>
      <c r="I20" s="4" t="n">
        <v>1.278</v>
      </c>
      <c r="J20" s="4" t="inlineStr"/>
      <c r="K20" s="51">
        <f>IF(J20="Có",I20*'Tham số'!$B$10,IF(H20="",I20*'Tham số'!$B$10,H20))</f>
        <v/>
      </c>
      <c r="L20" s="4" t="n">
        <v>0.341</v>
      </c>
      <c r="M20" s="4" t="n">
        <v>0.343</v>
      </c>
      <c r="N20" s="51">
        <f>IF(L20="","",MAX(L20,M20)*IF(J20="Có",K20/H20,1))</f>
        <v/>
      </c>
      <c r="O20" s="4">
        <f>IF(K20&lt;'Tham số'!$B$7,'Tham số'!$B$4,IF(K20&lt;='Tham số'!$B$8,'Tham số'!$B$5,'Tham số'!$B$6))</f>
        <v/>
      </c>
      <c r="P20" s="51">
        <f>IF(N20="","",O20-N20)</f>
        <v/>
      </c>
      <c r="Q20" s="51">
        <f>IF(L20="","",ABS(L20-M20))</f>
        <v/>
      </c>
      <c r="R20" s="4">
        <f>IF(N20="","Chưa đo",IF(AND(N20&lt;=O20,Q20&lt;='Tham số'!$B$9),"Đạt","Cảnh báo"))</f>
        <v/>
      </c>
      <c r="S20" s="51">
        <f>IF(OR(H20="",I20=""),"",H20/I20)</f>
        <v/>
      </c>
      <c r="T20" s="15">
        <f>IF(OR(G20="",H20=""),"",ABS(H20-G20)/G20)</f>
        <v/>
      </c>
      <c r="U20" s="4" t="n">
        <v>22</v>
      </c>
    </row>
    <row r="21">
      <c r="A21" s="27" t="inlineStr">
        <is>
          <t>R4-04</t>
        </is>
      </c>
      <c r="B21" s="4" t="inlineStr">
        <is>
          <t>R4</t>
        </is>
      </c>
      <c r="C21" s="4" t="inlineStr">
        <is>
          <t>HNB071</t>
        </is>
      </c>
      <c r="D21" s="4" t="inlineStr">
        <is>
          <t>HNB073</t>
        </is>
      </c>
      <c r="E21" s="4" t="inlineStr">
        <is>
          <t>ring</t>
        </is>
      </c>
      <c r="F21" s="4" t="inlineStr"/>
      <c r="G21" s="4" t="n">
        <v>0.724</v>
      </c>
      <c r="H21" s="4" t="n">
        <v>0.772</v>
      </c>
      <c r="I21" s="4" t="n">
        <v>0.656</v>
      </c>
      <c r="J21" s="4" t="inlineStr"/>
      <c r="K21" s="51">
        <f>IF(J21="Có",I21*'Tham số'!$B$10,IF(H21="",I21*'Tham số'!$B$10,H21))</f>
        <v/>
      </c>
      <c r="L21" s="4" t="n">
        <v>0.21</v>
      </c>
      <c r="M21" s="4" t="n">
        <v>0.229</v>
      </c>
      <c r="N21" s="51">
        <f>IF(L21="","",MAX(L21,M21)*IF(J21="Có",K21/H21,1))</f>
        <v/>
      </c>
      <c r="O21" s="4">
        <f>IF(K21&lt;'Tham số'!$B$7,'Tham số'!$B$4,IF(K21&lt;='Tham số'!$B$8,'Tham số'!$B$5,'Tham số'!$B$6))</f>
        <v/>
      </c>
      <c r="P21" s="51">
        <f>IF(N21="","",O21-N21)</f>
        <v/>
      </c>
      <c r="Q21" s="51">
        <f>IF(L21="","",ABS(L21-M21))</f>
        <v/>
      </c>
      <c r="R21" s="4">
        <f>IF(N21="","Chưa đo",IF(AND(N21&lt;=O21,Q21&lt;='Tham số'!$B$9),"Đạt","Cảnh báo"))</f>
        <v/>
      </c>
      <c r="S21" s="51">
        <f>IF(OR(H21="",I21=""),"",H21/I21)</f>
        <v/>
      </c>
      <c r="T21" s="15">
        <f>IF(OR(G21="",H21=""),"",ABS(H21-G21)/G21)</f>
        <v/>
      </c>
      <c r="U21" s="4" t="n">
        <v>23</v>
      </c>
    </row>
    <row r="22">
      <c r="A22" s="27" t="inlineStr">
        <is>
          <t>R4-05</t>
        </is>
      </c>
      <c r="B22" s="4" t="inlineStr">
        <is>
          <t>R4</t>
        </is>
      </c>
      <c r="C22" s="4" t="inlineStr">
        <is>
          <t>HNB073</t>
        </is>
      </c>
      <c r="D22" s="4" t="inlineStr">
        <is>
          <t>NBE22</t>
        </is>
      </c>
      <c r="E22" s="4" t="inlineStr">
        <is>
          <t>ring</t>
        </is>
      </c>
      <c r="F22" s="4" t="inlineStr"/>
      <c r="G22" s="4" t="n">
        <v>9.098000000000001</v>
      </c>
      <c r="H22" s="4" t="n">
        <v>9.558999999999999</v>
      </c>
      <c r="I22" s="4" t="n">
        <v>8.856</v>
      </c>
      <c r="J22" s="4" t="inlineStr"/>
      <c r="K22" s="51">
        <f>IF(J22="Có",I22*'Tham số'!$B$10,IF(H22="",I22*'Tham số'!$B$10,H22))</f>
        <v/>
      </c>
      <c r="L22" s="4" t="n">
        <v>3.348</v>
      </c>
      <c r="M22" s="4" t="n">
        <v>3.501</v>
      </c>
      <c r="N22" s="51">
        <f>IF(L22="","",MAX(L22,M22)*IF(J22="Có",K22/H22,1))</f>
        <v/>
      </c>
      <c r="O22" s="4">
        <f>IF(K22&lt;'Tham số'!$B$7,'Tham số'!$B$4,IF(K22&lt;='Tham số'!$B$8,'Tham số'!$B$5,'Tham số'!$B$6))</f>
        <v/>
      </c>
      <c r="P22" s="51">
        <f>IF(N22="","",O22-N22)</f>
        <v/>
      </c>
      <c r="Q22" s="51">
        <f>IF(L22="","",ABS(L22-M22))</f>
        <v/>
      </c>
      <c r="R22" s="4">
        <f>IF(N22="","Chưa đo",IF(AND(N22&lt;=O22,Q22&lt;='Tham số'!$B$9),"Đạt","Cảnh báo"))</f>
        <v/>
      </c>
      <c r="S22" s="51">
        <f>IF(OR(H22="",I22=""),"",H22/I22)</f>
        <v/>
      </c>
      <c r="T22" s="15">
        <f>IF(OR(G22="",H22=""),"",ABS(H22-G22)/G22)</f>
        <v/>
      </c>
      <c r="U22" s="4" t="n">
        <v>24</v>
      </c>
    </row>
    <row r="23">
      <c r="A23" s="28" t="inlineStr">
        <is>
          <t>R5-01</t>
        </is>
      </c>
      <c r="B23" s="4" t="inlineStr">
        <is>
          <t>R5</t>
        </is>
      </c>
      <c r="C23" s="4" t="inlineStr">
        <is>
          <t>NBE12</t>
        </is>
      </c>
      <c r="D23" s="4" t="inlineStr">
        <is>
          <t>HNB012</t>
        </is>
      </c>
      <c r="E23" s="4" t="inlineStr">
        <is>
          <t>ring</t>
        </is>
      </c>
      <c r="F23" s="4" t="inlineStr"/>
      <c r="G23" s="4" t="n">
        <v>8.228999999999999</v>
      </c>
      <c r="H23" s="4" t="n">
        <v>8.454000000000001</v>
      </c>
      <c r="I23" s="4" t="n">
        <v>7.801</v>
      </c>
      <c r="J23" s="4" t="inlineStr"/>
      <c r="K23" s="51">
        <f>IF(J23="Có",I23*'Tham số'!$B$10,IF(H23="",I23*'Tham số'!$B$10,H23))</f>
        <v/>
      </c>
      <c r="L23" s="4" t="n">
        <v>3.149</v>
      </c>
      <c r="M23" s="4" t="n">
        <v>3.149</v>
      </c>
      <c r="N23" s="51">
        <f>IF(L23="","",MAX(L23,M23)*IF(J23="Có",K23/H23,1))</f>
        <v/>
      </c>
      <c r="O23" s="4">
        <f>IF(K23&lt;'Tham số'!$B$7,'Tham số'!$B$4,IF(K23&lt;='Tham số'!$B$8,'Tham số'!$B$5,'Tham số'!$B$6))</f>
        <v/>
      </c>
      <c r="P23" s="51">
        <f>IF(N23="","",O23-N23)</f>
        <v/>
      </c>
      <c r="Q23" s="51">
        <f>IF(L23="","",ABS(L23-M23))</f>
        <v/>
      </c>
      <c r="R23" s="4">
        <f>IF(N23="","Chưa đo",IF(AND(N23&lt;=O23,Q23&lt;='Tham số'!$B$9),"Đạt","Cảnh báo"))</f>
        <v/>
      </c>
      <c r="S23" s="51">
        <f>IF(OR(H23="",I23=""),"",H23/I23)</f>
        <v/>
      </c>
      <c r="T23" s="15">
        <f>IF(OR(G23="",H23=""),"",ABS(H23-G23)/G23)</f>
        <v/>
      </c>
      <c r="U23" s="4" t="n">
        <v>16</v>
      </c>
    </row>
    <row r="24">
      <c r="A24" s="28" t="inlineStr">
        <is>
          <t>R5-02</t>
        </is>
      </c>
      <c r="B24" s="4" t="inlineStr">
        <is>
          <t>R5</t>
        </is>
      </c>
      <c r="C24" s="4" t="inlineStr">
        <is>
          <t>HNB012</t>
        </is>
      </c>
      <c r="D24" s="4" t="inlineStr">
        <is>
          <t>HNB014</t>
        </is>
      </c>
      <c r="E24" s="4" t="inlineStr">
        <is>
          <t>ring</t>
        </is>
      </c>
      <c r="F24" s="4" t="inlineStr"/>
      <c r="G24" s="4" t="n">
        <v>5.531</v>
      </c>
      <c r="H24" s="4" t="n">
        <v>5.553</v>
      </c>
      <c r="I24" s="4" t="n">
        <v>5.597</v>
      </c>
      <c r="J24" s="4" t="inlineStr"/>
      <c r="K24" s="51">
        <f>IF(J24="Có",I24*'Tham số'!$B$10,IF(H24="",I24*'Tham số'!$B$10,H24))</f>
        <v/>
      </c>
      <c r="L24" s="4" t="n">
        <v>1.727</v>
      </c>
      <c r="M24" s="4" t="n">
        <v>2.305</v>
      </c>
      <c r="N24" s="51">
        <f>IF(L24="","",MAX(L24,M24)*IF(J24="Có",K24/H24,1))</f>
        <v/>
      </c>
      <c r="O24" s="4">
        <f>IF(K24&lt;'Tham số'!$B$7,'Tham số'!$B$4,IF(K24&lt;='Tham số'!$B$8,'Tham số'!$B$5,'Tham số'!$B$6))</f>
        <v/>
      </c>
      <c r="P24" s="51">
        <f>IF(N24="","",O24-N24)</f>
        <v/>
      </c>
      <c r="Q24" s="51">
        <f>IF(L24="","",ABS(L24-M24))</f>
        <v/>
      </c>
      <c r="R24" s="4">
        <f>IF(N24="","Chưa đo",IF(AND(N24&lt;=O24,Q24&lt;='Tham số'!$B$9),"Đạt","Cảnh báo"))</f>
        <v/>
      </c>
      <c r="S24" s="51">
        <f>IF(OR(H24="",I24=""),"",H24/I24)</f>
        <v/>
      </c>
      <c r="T24" s="15">
        <f>IF(OR(G24="",H24=""),"",ABS(H24-G24)/G24)</f>
        <v/>
      </c>
      <c r="U24" s="4" t="n">
        <v>17</v>
      </c>
    </row>
    <row r="25">
      <c r="A25" s="28" t="inlineStr">
        <is>
          <t>R5-03</t>
        </is>
      </c>
      <c r="B25" s="4" t="inlineStr">
        <is>
          <t>R5</t>
        </is>
      </c>
      <c r="C25" s="4" t="inlineStr">
        <is>
          <t>HNB014</t>
        </is>
      </c>
      <c r="D25" s="4" t="inlineStr">
        <is>
          <t>HNB075</t>
        </is>
      </c>
      <c r="E25" s="4" t="inlineStr">
        <is>
          <t>ring</t>
        </is>
      </c>
      <c r="F25" s="4" t="inlineStr"/>
      <c r="G25" s="4" t="n">
        <v>0.517</v>
      </c>
      <c r="H25" s="4" t="n">
        <v>0.861</v>
      </c>
      <c r="I25" s="4" t="n">
        <v>0.414</v>
      </c>
      <c r="J25" s="4" t="inlineStr"/>
      <c r="K25" s="51">
        <f>IF(J25="Có",I25*'Tham số'!$B$10,IF(H25="",I25*'Tham số'!$B$10,H25))</f>
        <v/>
      </c>
      <c r="L25" s="4" t="n">
        <v>0.208</v>
      </c>
      <c r="M25" s="4" t="n">
        <v>0.204</v>
      </c>
      <c r="N25" s="51">
        <f>IF(L25="","",MAX(L25,M25)*IF(J25="Có",K25/H25,1))</f>
        <v/>
      </c>
      <c r="O25" s="4">
        <f>IF(K25&lt;'Tham số'!$B$7,'Tham số'!$B$4,IF(K25&lt;='Tham số'!$B$8,'Tham số'!$B$5,'Tham số'!$B$6))</f>
        <v/>
      </c>
      <c r="P25" s="51">
        <f>IF(N25="","",O25-N25)</f>
        <v/>
      </c>
      <c r="Q25" s="51">
        <f>IF(L25="","",ABS(L25-M25))</f>
        <v/>
      </c>
      <c r="R25" s="4">
        <f>IF(N25="","Chưa đo",IF(AND(N25&lt;=O25,Q25&lt;='Tham số'!$B$9),"Đạt","Cảnh báo"))</f>
        <v/>
      </c>
      <c r="S25" s="51">
        <f>IF(OR(H25="",I25=""),"",H25/I25)</f>
        <v/>
      </c>
      <c r="T25" s="15">
        <f>IF(OR(G25="",H25=""),"",ABS(H25-G25)/G25)</f>
        <v/>
      </c>
      <c r="U25" s="4" t="n">
        <v>18</v>
      </c>
    </row>
    <row r="26">
      <c r="A26" s="28" t="inlineStr">
        <is>
          <t>R5-04</t>
        </is>
      </c>
      <c r="B26" s="4" t="inlineStr">
        <is>
          <t>R5</t>
        </is>
      </c>
      <c r="C26" s="4" t="inlineStr">
        <is>
          <t>HNB075</t>
        </is>
      </c>
      <c r="D26" s="4" t="inlineStr">
        <is>
          <t>NBE22</t>
        </is>
      </c>
      <c r="E26" s="4" t="inlineStr">
        <is>
          <t>ring</t>
        </is>
      </c>
      <c r="F26" s="4" t="inlineStr"/>
      <c r="G26" s="4" t="n">
        <v>10.959</v>
      </c>
      <c r="H26" s="4" t="n">
        <v>11.423</v>
      </c>
      <c r="I26" s="4" t="n">
        <v>10.652</v>
      </c>
      <c r="J26" s="4" t="inlineStr"/>
      <c r="K26" s="51">
        <f>IF(J26="Có",I26*'Tham số'!$B$10,IF(H26="",I26*'Tham số'!$B$10,H26))</f>
        <v/>
      </c>
      <c r="L26" s="4" t="n">
        <v>4.169</v>
      </c>
      <c r="M26" s="4" t="n">
        <v>4.138</v>
      </c>
      <c r="N26" s="51">
        <f>IF(L26="","",MAX(L26,M26)*IF(J26="Có",K26/H26,1))</f>
        <v/>
      </c>
      <c r="O26" s="4">
        <f>IF(K26&lt;'Tham số'!$B$7,'Tham số'!$B$4,IF(K26&lt;='Tham số'!$B$8,'Tham số'!$B$5,'Tham số'!$B$6))</f>
        <v/>
      </c>
      <c r="P26" s="51">
        <f>IF(N26="","",O26-N26)</f>
        <v/>
      </c>
      <c r="Q26" s="51">
        <f>IF(L26="","",ABS(L26-M26))</f>
        <v/>
      </c>
      <c r="R26" s="4">
        <f>IF(N26="","Chưa đo",IF(AND(N26&lt;=O26,Q26&lt;='Tham số'!$B$9),"Đạt","Cảnh báo"))</f>
        <v/>
      </c>
      <c r="S26" s="51">
        <f>IF(OR(H26="",I26=""),"",H26/I26)</f>
        <v/>
      </c>
      <c r="T26" s="15">
        <f>IF(OR(G26="",H26=""),"",ABS(H26-G26)/G26)</f>
        <v/>
      </c>
      <c r="U26" s="4" t="n">
        <v>19</v>
      </c>
    </row>
    <row r="27">
      <c r="A27" s="28" t="inlineStr">
        <is>
          <t>R5-S1</t>
        </is>
      </c>
      <c r="B27" s="4" t="inlineStr">
        <is>
          <t>R5</t>
        </is>
      </c>
      <c r="C27" s="4" t="inlineStr">
        <is>
          <t>HNB012</t>
        </is>
      </c>
      <c r="D27" s="4" t="inlineStr">
        <is>
          <t>HNB113</t>
        </is>
      </c>
      <c r="E27" s="4" t="inlineStr">
        <is>
          <t>nhánh cụt</t>
        </is>
      </c>
      <c r="F27" s="4" t="inlineStr"/>
      <c r="G27" s="4" t="n"/>
      <c r="H27" s="4" t="n"/>
      <c r="I27" s="4" t="n">
        <v>0.951</v>
      </c>
      <c r="J27" s="4" t="inlineStr"/>
      <c r="K27" s="51">
        <f>IF(J27="Có",I27*'Tham số'!$B$10,IF(H27="",I27*'Tham số'!$B$10,H27))</f>
        <v/>
      </c>
      <c r="L27" s="4" t="n"/>
      <c r="M27" s="4" t="n"/>
      <c r="N27" s="51">
        <f>IF(L27="","",MAX(L27,M27)*IF(J27="Có",K27/H27,1))</f>
        <v/>
      </c>
      <c r="O27" s="4">
        <f>IF(K27&lt;'Tham số'!$B$7,'Tham số'!$B$4,IF(K27&lt;='Tham số'!$B$8,'Tham số'!$B$5,'Tham số'!$B$6))</f>
        <v/>
      </c>
      <c r="P27" s="51">
        <f>IF(N27="","",O27-N27)</f>
        <v/>
      </c>
      <c r="Q27" s="51">
        <f>IF(L27="","",ABS(L27-M27))</f>
        <v/>
      </c>
      <c r="R27" s="4">
        <f>IF(N27="","Chưa đo",IF(AND(N27&lt;=O27,Q27&lt;='Tham số'!$B$9),"Đạt","Cảnh báo"))</f>
        <v/>
      </c>
      <c r="S27" s="51">
        <f>IF(OR(H27="",I27=""),"",H27/I27)</f>
        <v/>
      </c>
      <c r="T27" s="15">
        <f>IF(OR(G27="",H27=""),"",ABS(H27-G27)/G27)</f>
        <v/>
      </c>
      <c r="U27" s="4" t="n"/>
    </row>
    <row r="28">
      <c r="A28" s="29" t="inlineStr">
        <is>
          <t>R6-01</t>
        </is>
      </c>
      <c r="B28" s="4" t="inlineStr">
        <is>
          <t>R6</t>
        </is>
      </c>
      <c r="C28" s="4" t="inlineStr">
        <is>
          <t>NBE12</t>
        </is>
      </c>
      <c r="D28" s="4" t="inlineStr">
        <is>
          <t>HNB086</t>
        </is>
      </c>
      <c r="E28" s="4" t="inlineStr">
        <is>
          <t>ring</t>
        </is>
      </c>
      <c r="F28" s="4" t="inlineStr"/>
      <c r="G28" s="4" t="n">
        <v>2.843</v>
      </c>
      <c r="H28" s="4" t="n">
        <v>3.084</v>
      </c>
      <c r="I28" s="4" t="n">
        <v>2.73</v>
      </c>
      <c r="J28" s="4" t="inlineStr"/>
      <c r="K28" s="51">
        <f>IF(J28="Có",I28*'Tham số'!$B$10,IF(H28="",I28*'Tham số'!$B$10,H28))</f>
        <v/>
      </c>
      <c r="L28" s="4" t="n">
        <v>0.99</v>
      </c>
      <c r="M28" s="4" t="n">
        <v>0.9429999999999999</v>
      </c>
      <c r="N28" s="51">
        <f>IF(L28="","",MAX(L28,M28)*IF(J28="Có",K28/H28,1))</f>
        <v/>
      </c>
      <c r="O28" s="4">
        <f>IF(K28&lt;'Tham số'!$B$7,'Tham số'!$B$4,IF(K28&lt;='Tham số'!$B$8,'Tham số'!$B$5,'Tham số'!$B$6))</f>
        <v/>
      </c>
      <c r="P28" s="51">
        <f>IF(N28="","",O28-N28)</f>
        <v/>
      </c>
      <c r="Q28" s="51">
        <f>IF(L28="","",ABS(L28-M28))</f>
        <v/>
      </c>
      <c r="R28" s="4">
        <f>IF(N28="","Chưa đo",IF(AND(N28&lt;=O28,Q28&lt;='Tham số'!$B$9),"Đạt","Cảnh báo"))</f>
        <v/>
      </c>
      <c r="S28" s="51">
        <f>IF(OR(H28="",I28=""),"",H28/I28)</f>
        <v/>
      </c>
      <c r="T28" s="15">
        <f>IF(OR(G28="",H28=""),"",ABS(H28-G28)/G28)</f>
        <v/>
      </c>
      <c r="U28" s="4" t="n">
        <v>10</v>
      </c>
    </row>
    <row r="29">
      <c r="A29" s="29" t="inlineStr">
        <is>
          <t>R6-02</t>
        </is>
      </c>
      <c r="B29" s="4" t="inlineStr">
        <is>
          <t>R6</t>
        </is>
      </c>
      <c r="C29" s="4" t="inlineStr">
        <is>
          <t>HNB086</t>
        </is>
      </c>
      <c r="D29" s="4" t="inlineStr">
        <is>
          <t>HNB024</t>
        </is>
      </c>
      <c r="E29" s="4" t="inlineStr">
        <is>
          <t>ring</t>
        </is>
      </c>
      <c r="F29" s="4" t="inlineStr"/>
      <c r="G29" s="4" t="n">
        <v>1.809</v>
      </c>
      <c r="H29" s="4" t="n">
        <v>2.013</v>
      </c>
      <c r="I29" s="4" t="n">
        <v>1.665</v>
      </c>
      <c r="J29" s="4" t="inlineStr"/>
      <c r="K29" s="51">
        <f>IF(J29="Có",I29*'Tham số'!$B$10,IF(H29="",I29*'Tham số'!$B$10,H29))</f>
        <v/>
      </c>
      <c r="L29" s="4" t="n">
        <v>0.616</v>
      </c>
      <c r="M29" s="4" t="n">
        <v>0.578</v>
      </c>
      <c r="N29" s="51">
        <f>IF(L29="","",MAX(L29,M29)*IF(J29="Có",K29/H29,1))</f>
        <v/>
      </c>
      <c r="O29" s="4">
        <f>IF(K29&lt;'Tham số'!$B$7,'Tham số'!$B$4,IF(K29&lt;='Tham số'!$B$8,'Tham số'!$B$5,'Tham số'!$B$6))</f>
        <v/>
      </c>
      <c r="P29" s="51">
        <f>IF(N29="","",O29-N29)</f>
        <v/>
      </c>
      <c r="Q29" s="51">
        <f>IF(L29="","",ABS(L29-M29))</f>
        <v/>
      </c>
      <c r="R29" s="4">
        <f>IF(N29="","Chưa đo",IF(AND(N29&lt;=O29,Q29&lt;='Tham số'!$B$9),"Đạt","Cảnh báo"))</f>
        <v/>
      </c>
      <c r="S29" s="51">
        <f>IF(OR(H29="",I29=""),"",H29/I29)</f>
        <v/>
      </c>
      <c r="T29" s="15">
        <f>IF(OR(G29="",H29=""),"",ABS(H29-G29)/G29)</f>
        <v/>
      </c>
      <c r="U29" s="4" t="n">
        <v>11</v>
      </c>
    </row>
    <row r="30">
      <c r="A30" s="29" t="inlineStr">
        <is>
          <t>R6-03</t>
        </is>
      </c>
      <c r="B30" s="4" t="inlineStr">
        <is>
          <t>R6</t>
        </is>
      </c>
      <c r="C30" s="4" t="inlineStr">
        <is>
          <t>HNB024</t>
        </is>
      </c>
      <c r="D30" s="4" t="inlineStr">
        <is>
          <t>HNB027</t>
        </is>
      </c>
      <c r="E30" s="4" t="inlineStr">
        <is>
          <t>ring</t>
        </is>
      </c>
      <c r="F30" s="4" t="inlineStr"/>
      <c r="G30" s="4" t="n">
        <v>0.827</v>
      </c>
      <c r="H30" s="4" t="n">
        <v>0.862</v>
      </c>
      <c r="I30" s="4" t="n">
        <v>0.745</v>
      </c>
      <c r="J30" s="4" t="inlineStr"/>
      <c r="K30" s="51">
        <f>IF(J30="Có",I30*'Tham số'!$B$10,IF(H30="",I30*'Tham số'!$B$10,H30))</f>
        <v/>
      </c>
      <c r="L30" s="4" t="n">
        <v>0.185</v>
      </c>
      <c r="M30" s="4" t="n">
        <v>0.176</v>
      </c>
      <c r="N30" s="51">
        <f>IF(L30="","",MAX(L30,M30)*IF(J30="Có",K30/H30,1))</f>
        <v/>
      </c>
      <c r="O30" s="4">
        <f>IF(K30&lt;'Tham số'!$B$7,'Tham số'!$B$4,IF(K30&lt;='Tham số'!$B$8,'Tham số'!$B$5,'Tham số'!$B$6))</f>
        <v/>
      </c>
      <c r="P30" s="51">
        <f>IF(N30="","",O30-N30)</f>
        <v/>
      </c>
      <c r="Q30" s="51">
        <f>IF(L30="","",ABS(L30-M30))</f>
        <v/>
      </c>
      <c r="R30" s="4">
        <f>IF(N30="","Chưa đo",IF(AND(N30&lt;=O30,Q30&lt;='Tham số'!$B$9),"Đạt","Cảnh báo"))</f>
        <v/>
      </c>
      <c r="S30" s="51">
        <f>IF(OR(H30="",I30=""),"",H30/I30)</f>
        <v/>
      </c>
      <c r="T30" s="15">
        <f>IF(OR(G30="",H30=""),"",ABS(H30-G30)/G30)</f>
        <v/>
      </c>
      <c r="U30" s="4" t="n">
        <v>12</v>
      </c>
    </row>
    <row r="31">
      <c r="A31" s="29" t="inlineStr">
        <is>
          <t>R6-04</t>
        </is>
      </c>
      <c r="B31" s="4" t="inlineStr">
        <is>
          <t>R6</t>
        </is>
      </c>
      <c r="C31" s="4" t="inlineStr">
        <is>
          <t>HNB027</t>
        </is>
      </c>
      <c r="D31" s="4" t="inlineStr">
        <is>
          <t>HNB031</t>
        </is>
      </c>
      <c r="E31" s="4" t="inlineStr">
        <is>
          <t>ring</t>
        </is>
      </c>
      <c r="F31" s="4" t="inlineStr"/>
      <c r="G31" s="4" t="n">
        <v>2.657</v>
      </c>
      <c r="H31" s="4" t="n">
        <v>2.896</v>
      </c>
      <c r="I31" s="4" t="n">
        <v>2.584</v>
      </c>
      <c r="J31" s="4" t="inlineStr"/>
      <c r="K31" s="51">
        <f>IF(J31="Có",I31*'Tham số'!$B$10,IF(H31="",I31*'Tham số'!$B$10,H31))</f>
        <v/>
      </c>
      <c r="L31" s="4" t="n">
        <v>0.959</v>
      </c>
      <c r="M31" s="4" t="n">
        <v>1.017</v>
      </c>
      <c r="N31" s="51">
        <f>IF(L31="","",MAX(L31,M31)*IF(J31="Có",K31/H31,1))</f>
        <v/>
      </c>
      <c r="O31" s="4">
        <f>IF(K31&lt;'Tham số'!$B$7,'Tham số'!$B$4,IF(K31&lt;='Tham số'!$B$8,'Tham số'!$B$5,'Tham số'!$B$6))</f>
        <v/>
      </c>
      <c r="P31" s="51">
        <f>IF(N31="","",O31-N31)</f>
        <v/>
      </c>
      <c r="Q31" s="51">
        <f>IF(L31="","",ABS(L31-M31))</f>
        <v/>
      </c>
      <c r="R31" s="4">
        <f>IF(N31="","Chưa đo",IF(AND(N31&lt;=O31,Q31&lt;='Tham số'!$B$9),"Đạt","Cảnh báo"))</f>
        <v/>
      </c>
      <c r="S31" s="51">
        <f>IF(OR(H31="",I31=""),"",H31/I31)</f>
        <v/>
      </c>
      <c r="T31" s="15">
        <f>IF(OR(G31="",H31=""),"",ABS(H31-G31)/G31)</f>
        <v/>
      </c>
      <c r="U31" s="4" t="n">
        <v>13</v>
      </c>
    </row>
    <row r="32">
      <c r="A32" s="29" t="inlineStr">
        <is>
          <t>R6-05</t>
        </is>
      </c>
      <c r="B32" s="4" t="inlineStr">
        <is>
          <t>R6</t>
        </is>
      </c>
      <c r="C32" s="4" t="inlineStr">
        <is>
          <t>HNB031</t>
        </is>
      </c>
      <c r="D32" s="4" t="inlineStr">
        <is>
          <t>HNB020</t>
        </is>
      </c>
      <c r="E32" s="4" t="inlineStr">
        <is>
          <t>ring</t>
        </is>
      </c>
      <c r="F32" s="4" t="inlineStr">
        <is>
          <t>hai lề (chưa rõ chi tiết)</t>
        </is>
      </c>
      <c r="G32" s="4" t="n">
        <v>1.086</v>
      </c>
      <c r="H32" s="4" t="n">
        <v>1.178</v>
      </c>
      <c r="I32" s="4" t="n">
        <v>1.066</v>
      </c>
      <c r="J32" s="4" t="inlineStr"/>
      <c r="K32" s="51">
        <f>IF(J32="Có",I32*'Tham số'!$B$10,IF(H32="",I32*'Tham số'!$B$10,H32))</f>
        <v/>
      </c>
      <c r="L32" s="4" t="n">
        <v>0.291</v>
      </c>
      <c r="M32" s="4" t="n">
        <v>0.298</v>
      </c>
      <c r="N32" s="51">
        <f>IF(L32="","",MAX(L32,M32)*IF(J32="Có",K32/H32,1))</f>
        <v/>
      </c>
      <c r="O32" s="4">
        <f>IF(K32&lt;'Tham số'!$B$7,'Tham số'!$B$4,IF(K32&lt;='Tham số'!$B$8,'Tham số'!$B$5,'Tham số'!$B$6))</f>
        <v/>
      </c>
      <c r="P32" s="51">
        <f>IF(N32="","",O32-N32)</f>
        <v/>
      </c>
      <c r="Q32" s="51">
        <f>IF(L32="","",ABS(L32-M32))</f>
        <v/>
      </c>
      <c r="R32" s="4">
        <f>IF(N32="","Chưa đo",IF(AND(N32&lt;=O32,Q32&lt;='Tham số'!$B$9),"Đạt","Cảnh báo"))</f>
        <v/>
      </c>
      <c r="S32" s="51">
        <f>IF(OR(H32="",I32=""),"",H32/I32)</f>
        <v/>
      </c>
      <c r="T32" s="15">
        <f>IF(OR(G32="",H32=""),"",ABS(H32-G32)/G32)</f>
        <v/>
      </c>
      <c r="U32" s="4" t="n">
        <v>14</v>
      </c>
    </row>
    <row r="33">
      <c r="A33" s="29" t="inlineStr">
        <is>
          <t>R6-06</t>
        </is>
      </c>
      <c r="B33" s="4" t="inlineStr">
        <is>
          <t>R6</t>
        </is>
      </c>
      <c r="C33" s="4" t="inlineStr">
        <is>
          <t>HNB020</t>
        </is>
      </c>
      <c r="D33" s="4" t="inlineStr">
        <is>
          <t>NBE22</t>
        </is>
      </c>
      <c r="E33" s="4" t="inlineStr">
        <is>
          <t>ring</t>
        </is>
      </c>
      <c r="F33" s="4" t="inlineStr"/>
      <c r="G33" s="4" t="n">
        <v>2.068</v>
      </c>
      <c r="H33" s="4" t="n">
        <v>2.186</v>
      </c>
      <c r="I33" s="4" t="n">
        <v>2.029</v>
      </c>
      <c r="J33" s="4" t="inlineStr"/>
      <c r="K33" s="51">
        <f>IF(J33="Có",I33*'Tham số'!$B$10,IF(H33="",I33*'Tham số'!$B$10,H33))</f>
        <v/>
      </c>
      <c r="L33" s="4" t="n">
        <v>0.665</v>
      </c>
      <c r="M33" s="4" t="n">
        <v>0.6909999999999999</v>
      </c>
      <c r="N33" s="51">
        <f>IF(L33="","",MAX(L33,M33)*IF(J33="Có",K33/H33,1))</f>
        <v/>
      </c>
      <c r="O33" s="4">
        <f>IF(K33&lt;'Tham số'!$B$7,'Tham số'!$B$4,IF(K33&lt;='Tham số'!$B$8,'Tham số'!$B$5,'Tham số'!$B$6))</f>
        <v/>
      </c>
      <c r="P33" s="51">
        <f>IF(N33="","",O33-N33)</f>
        <v/>
      </c>
      <c r="Q33" s="51">
        <f>IF(L33="","",ABS(L33-M33))</f>
        <v/>
      </c>
      <c r="R33" s="4">
        <f>IF(N33="","Chưa đo",IF(AND(N33&lt;=O33,Q33&lt;='Tham số'!$B$9),"Đạt","Cảnh báo"))</f>
        <v/>
      </c>
      <c r="S33" s="51">
        <f>IF(OR(H33="",I33=""),"",H33/I33)</f>
        <v/>
      </c>
      <c r="T33" s="15">
        <f>IF(OR(G33="",H33=""),"",ABS(H33-G33)/G33)</f>
        <v/>
      </c>
      <c r="U33" s="4" t="n">
        <v>15</v>
      </c>
    </row>
    <row r="34">
      <c r="A34" s="30" t="inlineStr">
        <is>
          <t>R7-01</t>
        </is>
      </c>
      <c r="B34" s="4" t="inlineStr">
        <is>
          <t>R7</t>
        </is>
      </c>
      <c r="C34" s="4" t="inlineStr">
        <is>
          <t>NBE12</t>
        </is>
      </c>
      <c r="D34" s="4" t="inlineStr">
        <is>
          <t>HNB005</t>
        </is>
      </c>
      <c r="E34" s="4" t="inlineStr">
        <is>
          <t>ring</t>
        </is>
      </c>
      <c r="F34" s="4" t="inlineStr"/>
      <c r="G34" s="4" t="n">
        <v>10.856</v>
      </c>
      <c r="H34" s="4" t="n">
        <v>11.101</v>
      </c>
      <c r="I34" s="4" t="n">
        <v>15.047</v>
      </c>
      <c r="J34" s="4" t="inlineStr">
        <is>
          <t>Có</t>
        </is>
      </c>
      <c r="K34" s="51">
        <f>IF(J34="Có",I34*'Tham số'!$B$10,IF(H34="",I34*'Tham số'!$B$10,H34))</f>
        <v/>
      </c>
      <c r="L34" s="4" t="n">
        <v>4.362</v>
      </c>
      <c r="M34" s="4" t="n">
        <v>4.362</v>
      </c>
      <c r="N34" s="51">
        <f>IF(L34="","",MAX(L34,M34)*IF(J34="Có",K34/H34,1))</f>
        <v/>
      </c>
      <c r="O34" s="4">
        <f>IF(K34&lt;'Tham số'!$B$7,'Tham số'!$B$4,IF(K34&lt;='Tham số'!$B$8,'Tham số'!$B$5,'Tham số'!$B$6))</f>
        <v/>
      </c>
      <c r="P34" s="51">
        <f>IF(N34="","",O34-N34)</f>
        <v/>
      </c>
      <c r="Q34" s="51">
        <f>IF(L34="","",ABS(L34-M34))</f>
        <v/>
      </c>
      <c r="R34" s="4">
        <f>IF(N34="","Chưa đo",IF(AND(N34&lt;=O34,Q34&lt;='Tham số'!$B$9),"Đạt","Cảnh báo"))</f>
        <v/>
      </c>
      <c r="S34" s="51">
        <f>IF(OR(H34="",I34=""),"",H34/I34)</f>
        <v/>
      </c>
      <c r="T34" s="15">
        <f>IF(OR(G34="",H34=""),"",ABS(H34-G34)/G34)</f>
        <v/>
      </c>
      <c r="U34" s="4" t="n">
        <v>5</v>
      </c>
    </row>
    <row r="35">
      <c r="A35" s="30" t="inlineStr">
        <is>
          <t>R7-02</t>
        </is>
      </c>
      <c r="B35" s="4" t="inlineStr">
        <is>
          <t>R7</t>
        </is>
      </c>
      <c r="C35" s="4" t="inlineStr">
        <is>
          <t>HNB005</t>
        </is>
      </c>
      <c r="D35" s="4" t="inlineStr">
        <is>
          <t>HNB062</t>
        </is>
      </c>
      <c r="E35" s="4" t="inlineStr">
        <is>
          <t>ring</t>
        </is>
      </c>
      <c r="F35" s="4" t="inlineStr"/>
      <c r="G35" s="4" t="n">
        <v>1.086</v>
      </c>
      <c r="H35" s="4" t="n">
        <v>1.268</v>
      </c>
      <c r="I35" s="4" t="n">
        <v>1.06</v>
      </c>
      <c r="J35" s="4" t="inlineStr"/>
      <c r="K35" s="51">
        <f>IF(J35="Có",I35*'Tham số'!$B$10,IF(H35="",I35*'Tham số'!$B$10,H35))</f>
        <v/>
      </c>
      <c r="L35" s="4" t="n">
        <v>0.384</v>
      </c>
      <c r="M35" s="4" t="n">
        <v>0.386</v>
      </c>
      <c r="N35" s="51">
        <f>IF(L35="","",MAX(L35,M35)*IF(J35="Có",K35/H35,1))</f>
        <v/>
      </c>
      <c r="O35" s="4">
        <f>IF(K35&lt;'Tham số'!$B$7,'Tham số'!$B$4,IF(K35&lt;='Tham số'!$B$8,'Tham số'!$B$5,'Tham số'!$B$6))</f>
        <v/>
      </c>
      <c r="P35" s="51">
        <f>IF(N35="","",O35-N35)</f>
        <v/>
      </c>
      <c r="Q35" s="51">
        <f>IF(L35="","",ABS(L35-M35))</f>
        <v/>
      </c>
      <c r="R35" s="4">
        <f>IF(N35="","Chưa đo",IF(AND(N35&lt;=O35,Q35&lt;='Tham số'!$B$9),"Đạt","Cảnh báo"))</f>
        <v/>
      </c>
      <c r="S35" s="51">
        <f>IF(OR(H35="",I35=""),"",H35/I35)</f>
        <v/>
      </c>
      <c r="T35" s="15">
        <f>IF(OR(G35="",H35=""),"",ABS(H35-G35)/G35)</f>
        <v/>
      </c>
      <c r="U35" s="4" t="n">
        <v>6</v>
      </c>
    </row>
    <row r="36">
      <c r="A36" s="30" t="inlineStr">
        <is>
          <t>R7-03</t>
        </is>
      </c>
      <c r="B36" s="4" t="inlineStr">
        <is>
          <t>R7</t>
        </is>
      </c>
      <c r="C36" s="4" t="inlineStr">
        <is>
          <t>HNB062</t>
        </is>
      </c>
      <c r="D36" s="4" t="inlineStr">
        <is>
          <t>HNB021</t>
        </is>
      </c>
      <c r="E36" s="4" t="inlineStr">
        <is>
          <t>ring</t>
        </is>
      </c>
      <c r="F36" s="4" t="inlineStr"/>
      <c r="G36" s="4" t="n">
        <v>0.827</v>
      </c>
      <c r="H36" s="4" t="n">
        <v>1.035</v>
      </c>
      <c r="I36" s="4" t="n">
        <v>0.798</v>
      </c>
      <c r="J36" s="4" t="inlineStr"/>
      <c r="K36" s="51">
        <f>IF(J36="Có",I36*'Tham số'!$B$10,IF(H36="",I36*'Tham số'!$B$10,H36))</f>
        <v/>
      </c>
      <c r="L36" s="4" t="n">
        <v>0.222</v>
      </c>
      <c r="M36" s="4" t="n">
        <v>0.201</v>
      </c>
      <c r="N36" s="51">
        <f>IF(L36="","",MAX(L36,M36)*IF(J36="Có",K36/H36,1))</f>
        <v/>
      </c>
      <c r="O36" s="4">
        <f>IF(K36&lt;'Tham số'!$B$7,'Tham số'!$B$4,IF(K36&lt;='Tham số'!$B$8,'Tham số'!$B$5,'Tham số'!$B$6))</f>
        <v/>
      </c>
      <c r="P36" s="51">
        <f>IF(N36="","",O36-N36)</f>
        <v/>
      </c>
      <c r="Q36" s="51">
        <f>IF(L36="","",ABS(L36-M36))</f>
        <v/>
      </c>
      <c r="R36" s="4">
        <f>IF(N36="","Chưa đo",IF(AND(N36&lt;=O36,Q36&lt;='Tham số'!$B$9),"Đạt","Cảnh báo"))</f>
        <v/>
      </c>
      <c r="S36" s="51">
        <f>IF(OR(H36="",I36=""),"",H36/I36)</f>
        <v/>
      </c>
      <c r="T36" s="15">
        <f>IF(OR(G36="",H36=""),"",ABS(H36-G36)/G36)</f>
        <v/>
      </c>
      <c r="U36" s="4" t="n">
        <v>7</v>
      </c>
    </row>
    <row r="37">
      <c r="A37" s="30" t="inlineStr">
        <is>
          <t>R7-04</t>
        </is>
      </c>
      <c r="B37" s="4" t="inlineStr">
        <is>
          <t>R7</t>
        </is>
      </c>
      <c r="C37" s="4" t="inlineStr">
        <is>
          <t>HNB021</t>
        </is>
      </c>
      <c r="D37" s="4" t="inlineStr">
        <is>
          <t>HNB013</t>
        </is>
      </c>
      <c r="E37" s="4" t="inlineStr">
        <is>
          <t>ring</t>
        </is>
      </c>
      <c r="F37" s="4" t="inlineStr"/>
      <c r="G37" s="4" t="n">
        <v>0.827</v>
      </c>
      <c r="H37" s="4" t="n">
        <v>0.977</v>
      </c>
      <c r="I37" s="4" t="n">
        <v>0.761</v>
      </c>
      <c r="J37" s="4" t="inlineStr"/>
      <c r="K37" s="51">
        <f>IF(J37="Có",I37*'Tham số'!$B$10,IF(H37="",I37*'Tham số'!$B$10,H37))</f>
        <v/>
      </c>
      <c r="L37" s="4" t="n">
        <v>0.422</v>
      </c>
      <c r="M37" s="4" t="n">
        <v>0.366</v>
      </c>
      <c r="N37" s="51">
        <f>IF(L37="","",MAX(L37,M37)*IF(J37="Có",K37/H37,1))</f>
        <v/>
      </c>
      <c r="O37" s="4">
        <f>IF(K37&lt;'Tham số'!$B$7,'Tham số'!$B$4,IF(K37&lt;='Tham số'!$B$8,'Tham số'!$B$5,'Tham số'!$B$6))</f>
        <v/>
      </c>
      <c r="P37" s="51">
        <f>IF(N37="","",O37-N37)</f>
        <v/>
      </c>
      <c r="Q37" s="51">
        <f>IF(L37="","",ABS(L37-M37))</f>
        <v/>
      </c>
      <c r="R37" s="4">
        <f>IF(N37="","Chưa đo",IF(AND(N37&lt;=O37,Q37&lt;='Tham số'!$B$9),"Đạt","Cảnh báo"))</f>
        <v/>
      </c>
      <c r="S37" s="51">
        <f>IF(OR(H37="",I37=""),"",H37/I37)</f>
        <v/>
      </c>
      <c r="T37" s="15">
        <f>IF(OR(G37="",H37=""),"",ABS(H37-G37)/G37)</f>
        <v/>
      </c>
      <c r="U37" s="4" t="n">
        <v>8</v>
      </c>
    </row>
    <row r="38">
      <c r="A38" s="30" t="inlineStr">
        <is>
          <t>R7-05</t>
        </is>
      </c>
      <c r="B38" s="4" t="inlineStr">
        <is>
          <t>R7</t>
        </is>
      </c>
      <c r="C38" s="4" t="inlineStr">
        <is>
          <t>HNB013</t>
        </is>
      </c>
      <c r="D38" s="4" t="inlineStr">
        <is>
          <t>NBE22</t>
        </is>
      </c>
      <c r="E38" s="4" t="inlineStr">
        <is>
          <t>ring</t>
        </is>
      </c>
      <c r="F38" s="4" t="inlineStr"/>
      <c r="G38" s="4" t="n">
        <v>0.465</v>
      </c>
      <c r="H38" s="4" t="n">
        <v>0.6879999999999999</v>
      </c>
      <c r="I38" s="4" t="n">
        <v>0.431</v>
      </c>
      <c r="J38" s="4" t="inlineStr"/>
      <c r="K38" s="51">
        <f>IF(J38="Có",I38*'Tham số'!$B$10,IF(H38="",I38*'Tham số'!$B$10,H38))</f>
        <v/>
      </c>
      <c r="L38" s="4" t="n">
        <v>0.227</v>
      </c>
      <c r="M38" s="4" t="n">
        <v>0.604</v>
      </c>
      <c r="N38" s="51">
        <f>IF(L38="","",MAX(L38,M38)*IF(J38="Có",K38/H38,1))</f>
        <v/>
      </c>
      <c r="O38" s="4">
        <f>IF(K38&lt;'Tham số'!$B$7,'Tham số'!$B$4,IF(K38&lt;='Tham số'!$B$8,'Tham số'!$B$5,'Tham số'!$B$6))</f>
        <v/>
      </c>
      <c r="P38" s="51">
        <f>IF(N38="","",O38-N38)</f>
        <v/>
      </c>
      <c r="Q38" s="51">
        <f>IF(L38="","",ABS(L38-M38))</f>
        <v/>
      </c>
      <c r="R38" s="4">
        <f>IF(N38="","Chưa đo",IF(AND(N38&lt;=O38,Q38&lt;='Tham số'!$B$9),"Đạt","Cảnh báo"))</f>
        <v/>
      </c>
      <c r="S38" s="51">
        <f>IF(OR(H38="",I38=""),"",H38/I38)</f>
        <v/>
      </c>
      <c r="T38" s="15">
        <f>IF(OR(G38="",H38=""),"",ABS(H38-G38)/G38)</f>
        <v/>
      </c>
      <c r="U38" s="4" t="n">
        <v>9</v>
      </c>
    </row>
    <row r="39">
      <c r="A39" s="31" t="inlineStr">
        <is>
          <t>R8-01</t>
        </is>
      </c>
      <c r="B39" s="4" t="inlineStr">
        <is>
          <t>R8</t>
        </is>
      </c>
      <c r="C39" s="4" t="inlineStr">
        <is>
          <t>NBE12</t>
        </is>
      </c>
      <c r="D39" s="4" t="inlineStr">
        <is>
          <t>HNB066</t>
        </is>
      </c>
      <c r="E39" s="4" t="inlineStr">
        <is>
          <t>ring</t>
        </is>
      </c>
      <c r="F39" s="4" t="inlineStr"/>
      <c r="G39" s="4" t="n">
        <v>10.236</v>
      </c>
      <c r="H39" s="4" t="n">
        <v>15.404</v>
      </c>
      <c r="I39" s="4" t="n">
        <v>14.348</v>
      </c>
      <c r="J39" s="4" t="inlineStr">
        <is>
          <t>Có</t>
        </is>
      </c>
      <c r="K39" s="51">
        <f>IF(J39="Có",I39*'Tham số'!$B$10,IF(H39="",I39*'Tham số'!$B$10,H39))</f>
        <v/>
      </c>
      <c r="L39" s="4" t="n">
        <v>6.031</v>
      </c>
      <c r="M39" s="4" t="n">
        <v>6.138</v>
      </c>
      <c r="N39" s="51">
        <f>IF(L39="","",MAX(L39,M39)*IF(J39="Có",K39/H39,1))</f>
        <v/>
      </c>
      <c r="O39" s="4">
        <f>IF(K39&lt;'Tham số'!$B$7,'Tham số'!$B$4,IF(K39&lt;='Tham số'!$B$8,'Tham số'!$B$5,'Tham số'!$B$6))</f>
        <v/>
      </c>
      <c r="P39" s="51">
        <f>IF(N39="","",O39-N39)</f>
        <v/>
      </c>
      <c r="Q39" s="51">
        <f>IF(L39="","",ABS(L39-M39))</f>
        <v/>
      </c>
      <c r="R39" s="4">
        <f>IF(N39="","Chưa đo",IF(AND(N39&lt;=O39,Q39&lt;='Tham số'!$B$9),"Đạt","Cảnh báo"))</f>
        <v/>
      </c>
      <c r="S39" s="51">
        <f>IF(OR(H39="",I39=""),"",H39/I39)</f>
        <v/>
      </c>
      <c r="T39" s="15">
        <f>IF(OR(G39="",H39=""),"",ABS(H39-G39)/G39)</f>
        <v/>
      </c>
      <c r="U39" s="4" t="n">
        <v>1</v>
      </c>
    </row>
    <row r="40">
      <c r="A40" s="31" t="inlineStr">
        <is>
          <t>R8-02</t>
        </is>
      </c>
      <c r="B40" s="4" t="inlineStr">
        <is>
          <t>R8</t>
        </is>
      </c>
      <c r="C40" s="4" t="inlineStr">
        <is>
          <t>HNB066</t>
        </is>
      </c>
      <c r="D40" s="4" t="inlineStr">
        <is>
          <t>HNB016</t>
        </is>
      </c>
      <c r="E40" s="4" t="inlineStr">
        <is>
          <t>ring</t>
        </is>
      </c>
      <c r="F40" s="4" t="inlineStr"/>
      <c r="G40" s="4" t="n">
        <v>0.456</v>
      </c>
      <c r="H40" s="4" t="n">
        <v>0.501</v>
      </c>
      <c r="I40" s="4" t="n">
        <v>0.6919999999999999</v>
      </c>
      <c r="J40" s="4" t="inlineStr"/>
      <c r="K40" s="51">
        <f>IF(J40="Có",I40*'Tham số'!$B$10,IF(H40="",I40*'Tham số'!$B$10,H40))</f>
        <v/>
      </c>
      <c r="L40" s="4" t="n">
        <v>0.104</v>
      </c>
      <c r="M40" s="4" t="n">
        <v>0.202</v>
      </c>
      <c r="N40" s="51">
        <f>IF(L40="","",MAX(L40,M40)*IF(J40="Có",K40/H40,1))</f>
        <v/>
      </c>
      <c r="O40" s="4">
        <f>IF(K40&lt;'Tham số'!$B$7,'Tham số'!$B$4,IF(K40&lt;='Tham số'!$B$8,'Tham số'!$B$5,'Tham số'!$B$6))</f>
        <v/>
      </c>
      <c r="P40" s="51">
        <f>IF(N40="","",O40-N40)</f>
        <v/>
      </c>
      <c r="Q40" s="51">
        <f>IF(L40="","",ABS(L40-M40))</f>
        <v/>
      </c>
      <c r="R40" s="4">
        <f>IF(N40="","Chưa đo",IF(AND(N40&lt;=O40,Q40&lt;='Tham số'!$B$9),"Đạt","Cảnh báo"))</f>
        <v/>
      </c>
      <c r="S40" s="51">
        <f>IF(OR(H40="",I40=""),"",H40/I40)</f>
        <v/>
      </c>
      <c r="T40" s="15">
        <f>IF(OR(G40="",H40=""),"",ABS(H40-G40)/G40)</f>
        <v/>
      </c>
      <c r="U40" s="4" t="n">
        <v>2</v>
      </c>
    </row>
    <row r="41">
      <c r="A41" s="31" t="inlineStr">
        <is>
          <t>R8-03</t>
        </is>
      </c>
      <c r="B41" s="4" t="inlineStr">
        <is>
          <t>R8</t>
        </is>
      </c>
      <c r="C41" s="4" t="inlineStr">
        <is>
          <t>HNB016</t>
        </is>
      </c>
      <c r="D41" s="4" t="inlineStr">
        <is>
          <t>HNB038</t>
        </is>
      </c>
      <c r="E41" s="4" t="inlineStr">
        <is>
          <t>ring</t>
        </is>
      </c>
      <c r="F41" s="4" t="inlineStr"/>
      <c r="G41" s="4" t="n">
        <v>0.517</v>
      </c>
      <c r="H41" s="4" t="n">
        <v>0.618</v>
      </c>
      <c r="I41" s="4" t="n">
        <v>0.271</v>
      </c>
      <c r="J41" s="4" t="inlineStr"/>
      <c r="K41" s="51">
        <f>IF(J41="Có",I41*'Tham số'!$B$10,IF(H41="",I41*'Tham số'!$B$10,H41))</f>
        <v/>
      </c>
      <c r="L41" s="4" t="n">
        <v>0.204</v>
      </c>
      <c r="M41" s="4" t="n">
        <v>0.204</v>
      </c>
      <c r="N41" s="51">
        <f>IF(L41="","",MAX(L41,M41)*IF(J41="Có",K41/H41,1))</f>
        <v/>
      </c>
      <c r="O41" s="4">
        <f>IF(K41&lt;'Tham số'!$B$7,'Tham số'!$B$4,IF(K41&lt;='Tham số'!$B$8,'Tham số'!$B$5,'Tham số'!$B$6))</f>
        <v/>
      </c>
      <c r="P41" s="51">
        <f>IF(N41="","",O41-N41)</f>
        <v/>
      </c>
      <c r="Q41" s="51">
        <f>IF(L41="","",ABS(L41-M41))</f>
        <v/>
      </c>
      <c r="R41" s="4">
        <f>IF(N41="","Chưa đo",IF(AND(N41&lt;=O41,Q41&lt;='Tham số'!$B$9),"Đạt","Cảnh báo"))</f>
        <v/>
      </c>
      <c r="S41" s="51">
        <f>IF(OR(H41="",I41=""),"",H41/I41)</f>
        <v/>
      </c>
      <c r="T41" s="15">
        <f>IF(OR(G41="",H41=""),"",ABS(H41-G41)/G41)</f>
        <v/>
      </c>
      <c r="U41" s="4" t="n">
        <v>3</v>
      </c>
    </row>
    <row r="42">
      <c r="A42" s="31" t="inlineStr">
        <is>
          <t>R8-04</t>
        </is>
      </c>
      <c r="B42" s="4" t="inlineStr">
        <is>
          <t>R8</t>
        </is>
      </c>
      <c r="C42" s="4" t="inlineStr">
        <is>
          <t>HNB038</t>
        </is>
      </c>
      <c r="D42" s="4" t="inlineStr">
        <is>
          <t>NBE22</t>
        </is>
      </c>
      <c r="E42" s="4" t="inlineStr">
        <is>
          <t>ring</t>
        </is>
      </c>
      <c r="F42" s="4" t="inlineStr"/>
      <c r="G42" s="4" t="n">
        <v>2.275</v>
      </c>
      <c r="H42" s="4" t="n">
        <v>2.645</v>
      </c>
      <c r="I42" s="4" t="n">
        <v>2.285</v>
      </c>
      <c r="J42" s="4" t="inlineStr"/>
      <c r="K42" s="51">
        <f>IF(J42="Có",I42*'Tham số'!$B$10,IF(H42="",I42*'Tham số'!$B$10,H42))</f>
        <v/>
      </c>
      <c r="L42" s="4" t="n">
        <v>0.899</v>
      </c>
      <c r="M42" s="4" t="n">
        <v>0.598</v>
      </c>
      <c r="N42" s="51">
        <f>IF(L42="","",MAX(L42,M42)*IF(J42="Có",K42/H42,1))</f>
        <v/>
      </c>
      <c r="O42" s="4">
        <f>IF(K42&lt;'Tham số'!$B$7,'Tham số'!$B$4,IF(K42&lt;='Tham số'!$B$8,'Tham số'!$B$5,'Tham số'!$B$6))</f>
        <v/>
      </c>
      <c r="P42" s="51">
        <f>IF(N42="","",O42-N42)</f>
        <v/>
      </c>
      <c r="Q42" s="51">
        <f>IF(L42="","",ABS(L42-M42))</f>
        <v/>
      </c>
      <c r="R42" s="4">
        <f>IF(N42="","Chưa đo",IF(AND(N42&lt;=O42,Q42&lt;='Tham số'!$B$9),"Đạt","Cảnh báo"))</f>
        <v/>
      </c>
      <c r="S42" s="51">
        <f>IF(OR(H42="",I42=""),"",H42/I42)</f>
        <v/>
      </c>
      <c r="T42" s="15">
        <f>IF(OR(G42="",H42=""),"",ABS(H42-G42)/G42)</f>
        <v/>
      </c>
      <c r="U42" s="4" t="n">
        <v>4</v>
      </c>
    </row>
  </sheetData>
  <autoFilter ref="A4:U42"/>
  <conditionalFormatting sqref="R5:R42">
    <cfRule type="cellIs" priority="1" operator="equal" dxfId="1">
      <formula>"Đạt"</formula>
    </cfRule>
    <cfRule type="cellIs" priority="2" operator="equal" dxfId="2">
      <formula>"Cảnh báo"</formula>
    </cfRule>
    <cfRule type="cellIs" priority="3" operator="equal" dxfId="0">
      <formula>"Chưa đo"</formula>
    </cfRule>
  </conditionalFormatting>
  <conditionalFormatting sqref="S5:S42">
    <cfRule type="expression" priority="4" dxfId="0">
      <formula>AND(S5&lt;&gt;"",OR(S5&lt;'Tham số'!$B$11,S5&gt;'Tham số'!$B$12))</formula>
    </cfRule>
  </conditionalFormatting>
  <conditionalFormatting sqref="T5:T42">
    <cfRule type="expression" priority="5" dxfId="0">
      <formula>AND(T5&lt;&gt;"",T5&gt;'Tham số'!$B$13)</formula>
    </cfRule>
  </conditionalFormatting>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G110"/>
  <sheetViews>
    <sheetView showGridLines="0" workbookViewId="0">
      <selection activeCell="A1" sqref="A1"/>
    </sheetView>
  </sheetViews>
  <sheetFormatPr baseColWidth="8" defaultRowHeight="15"/>
  <cols>
    <col width="10" customWidth="1" min="1" max="1"/>
    <col width="7" customWidth="1" min="2" max="2"/>
    <col width="20" customWidth="1" min="3" max="3"/>
    <col width="14" customWidth="1" min="4" max="4"/>
    <col width="24" customWidth="1" min="5" max="5"/>
    <col width="40" customWidth="1" min="6" max="6"/>
    <col width="50" customWidth="1" min="7" max="7"/>
  </cols>
  <sheetData>
    <row r="1">
      <c r="A1" s="1" t="inlineStr">
        <is>
          <t>Giả lập đứt cáp — một đoạn bất kỳ</t>
        </is>
      </c>
    </row>
    <row r="2">
      <c r="A2" s="2" t="inlineStr">
        <is>
          <t>Điều cần tránh: một CSG không còn link nào về AGG. Suy hao các đoạn còn lại không đổi (tính theo từng đoạn).</t>
        </is>
      </c>
    </row>
    <row r="4" ht="32" customHeight="1">
      <c r="A4" s="3" t="inlineStr">
        <is>
          <t>Đoạn đứt</t>
        </is>
      </c>
      <c r="B4" s="3" t="inlineStr">
        <is>
          <t>Ring</t>
        </is>
      </c>
      <c r="C4" s="3" t="inlineStr">
        <is>
          <t>Từ → Đến</t>
        </is>
      </c>
      <c r="D4" s="3" t="inlineStr">
        <is>
          <t>Lề</t>
        </is>
      </c>
      <c r="E4" s="3" t="inlineStr">
        <is>
          <t>CSG mất hết link</t>
        </is>
      </c>
      <c r="F4" s="3" t="inlineStr">
        <is>
          <t>CSG còn một hướng</t>
        </is>
      </c>
      <c r="G4" s="3" t="inlineStr">
        <is>
          <t>Nhận xét</t>
        </is>
      </c>
    </row>
    <row r="5">
      <c r="A5" s="4" t="inlineStr">
        <is>
          <t>R1-01</t>
        </is>
      </c>
      <c r="B5" s="4" t="inlineStr">
        <is>
          <t>R1</t>
        </is>
      </c>
      <c r="C5" s="4" t="inlineStr">
        <is>
          <t>NBE12 → HNB059</t>
        </is>
      </c>
      <c r="D5" s="4" t="inlineStr">
        <is>
          <t>trái</t>
        </is>
      </c>
      <c r="E5" s="4" t="inlineStr">
        <is>
          <t>—</t>
        </is>
      </c>
      <c r="F5" s="4" t="inlineStr">
        <is>
          <t>HNB059→NBE22, HNB060→NBE22, HNB048→NBE22</t>
        </is>
      </c>
      <c r="G5" s="4" t="inlineStr">
        <is>
          <t>còn bảo vệ: mọi CSG vẫn về được AGG</t>
        </is>
      </c>
    </row>
    <row r="6">
      <c r="A6" s="4" t="inlineStr">
        <is>
          <t>R1-02</t>
        </is>
      </c>
      <c r="B6" s="4" t="inlineStr">
        <is>
          <t>R1</t>
        </is>
      </c>
      <c r="C6" s="4" t="inlineStr">
        <is>
          <t>HNB059 → HNB060</t>
        </is>
      </c>
      <c r="D6" s="4" t="inlineStr">
        <is>
          <t>trái</t>
        </is>
      </c>
      <c r="E6" s="4" t="inlineStr">
        <is>
          <t>—</t>
        </is>
      </c>
      <c r="F6" s="4" t="inlineStr">
        <is>
          <t>HNB059→NBE12, HNB060→NBE22, HNB048→NBE22</t>
        </is>
      </c>
      <c r="G6" s="4" t="inlineStr">
        <is>
          <t>còn bảo vệ: mọi CSG vẫn về được AGG</t>
        </is>
      </c>
    </row>
    <row r="7">
      <c r="A7" s="4" t="inlineStr">
        <is>
          <t>R1-03</t>
        </is>
      </c>
      <c r="B7" s="4" t="inlineStr">
        <is>
          <t>R1</t>
        </is>
      </c>
      <c r="C7" s="4" t="inlineStr">
        <is>
          <t>HNB060 → HNB048</t>
        </is>
      </c>
      <c r="D7" s="4" t="inlineStr">
        <is>
          <t>phải</t>
        </is>
      </c>
      <c r="E7" s="4" t="inlineStr">
        <is>
          <t>—</t>
        </is>
      </c>
      <c r="F7" s="4" t="inlineStr">
        <is>
          <t>HNB059→NBE12, HNB060→NBE12, HNB048→NBE22</t>
        </is>
      </c>
      <c r="G7" s="4" t="inlineStr">
        <is>
          <t>còn bảo vệ: mọi CSG vẫn về được AGG</t>
        </is>
      </c>
    </row>
    <row r="8">
      <c r="A8" s="4" t="inlineStr">
        <is>
          <t>R1-04</t>
        </is>
      </c>
      <c r="B8" s="4" t="inlineStr">
        <is>
          <t>R1</t>
        </is>
      </c>
      <c r="C8" s="4" t="inlineStr">
        <is>
          <t>HNB048 → NBE22</t>
        </is>
      </c>
      <c r="D8" s="4" t="inlineStr">
        <is>
          <t>phải</t>
        </is>
      </c>
      <c r="E8" s="4" t="inlineStr">
        <is>
          <t>—</t>
        </is>
      </c>
      <c r="F8" s="4" t="inlineStr">
        <is>
          <t>HNB059→NBE12, HNB060→NBE12, HNB048→NBE12</t>
        </is>
      </c>
      <c r="G8" s="4" t="inlineStr">
        <is>
          <t>còn bảo vệ: mọi CSG vẫn về được AGG</t>
        </is>
      </c>
    </row>
    <row r="9">
      <c r="A9" s="4" t="inlineStr">
        <is>
          <t>R2-01</t>
        </is>
      </c>
      <c r="B9" s="4" t="inlineStr">
        <is>
          <t>R2</t>
        </is>
      </c>
      <c r="C9" s="4" t="inlineStr">
        <is>
          <t>NBE12 → HNB054</t>
        </is>
      </c>
      <c r="D9" s="4" t="inlineStr">
        <is>
          <t>trái (trục NVT)</t>
        </is>
      </c>
      <c r="E9" s="4" t="inlineStr">
        <is>
          <t>—</t>
        </is>
      </c>
      <c r="F9" s="4" t="inlineStr">
        <is>
          <t>HNB054→NBE22, HNB006→NBE22, HNB091→NBE22</t>
        </is>
      </c>
      <c r="G9" s="4" t="inlineStr">
        <is>
          <t>còn bảo vệ: mọi CSG vẫn về được AGG</t>
        </is>
      </c>
    </row>
    <row r="10">
      <c r="A10" s="4" t="inlineStr">
        <is>
          <t>R2-02</t>
        </is>
      </c>
      <c r="B10" s="4" t="inlineStr">
        <is>
          <t>R2</t>
        </is>
      </c>
      <c r="C10" s="4" t="inlineStr">
        <is>
          <t>HNB054 → HNB006</t>
        </is>
      </c>
      <c r="D10" s="4" t="inlineStr">
        <is>
          <t>trái (trục NVT)</t>
        </is>
      </c>
      <c r="E10" s="4" t="inlineStr">
        <is>
          <t>—</t>
        </is>
      </c>
      <c r="F10" s="4" t="inlineStr">
        <is>
          <t>HNB054→NBE12, HNB006→NBE22, HNB091→NBE22</t>
        </is>
      </c>
      <c r="G10" s="4" t="inlineStr">
        <is>
          <t>còn bảo vệ: mọi CSG vẫn về được AGG</t>
        </is>
      </c>
    </row>
    <row r="11">
      <c r="A11" s="4" t="inlineStr">
        <is>
          <t>R2-03</t>
        </is>
      </c>
      <c r="B11" s="4" t="inlineStr">
        <is>
          <t>R2</t>
        </is>
      </c>
      <c r="C11" s="4" t="inlineStr">
        <is>
          <t>HNB006 → HNB091</t>
        </is>
      </c>
      <c r="D11" s="4" t="inlineStr">
        <is>
          <t>trái</t>
        </is>
      </c>
      <c r="E11" s="4" t="inlineStr">
        <is>
          <t>—</t>
        </is>
      </c>
      <c r="F11" s="4" t="inlineStr">
        <is>
          <t>HNB054→NBE12, HNB006→NBE12, HNB091→NBE22</t>
        </is>
      </c>
      <c r="G11" s="4" t="inlineStr">
        <is>
          <t>còn bảo vệ: mọi CSG vẫn về được AGG</t>
        </is>
      </c>
    </row>
    <row r="12">
      <c r="A12" s="4" t="inlineStr">
        <is>
          <t>R2-04</t>
        </is>
      </c>
      <c r="B12" s="4" t="inlineStr">
        <is>
          <t>R2</t>
        </is>
      </c>
      <c r="C12" s="4" t="inlineStr">
        <is>
          <t>HNB091 → NBE22</t>
        </is>
      </c>
      <c r="D12" s="4" t="inlineStr">
        <is>
          <t>phải</t>
        </is>
      </c>
      <c r="E12" s="4" t="inlineStr">
        <is>
          <t>—</t>
        </is>
      </c>
      <c r="F12" s="4" t="inlineStr">
        <is>
          <t>HNB054→NBE12, HNB006→NBE12, HNB091→NBE12</t>
        </is>
      </c>
      <c r="G12" s="4" t="inlineStr">
        <is>
          <t>còn bảo vệ: mọi CSG vẫn về được AGG</t>
        </is>
      </c>
    </row>
    <row r="13">
      <c r="A13" s="4" t="inlineStr">
        <is>
          <t>R3-01</t>
        </is>
      </c>
      <c r="B13" s="4" t="inlineStr">
        <is>
          <t>R3</t>
        </is>
      </c>
      <c r="C13" s="4" t="inlineStr">
        <is>
          <t>NBE12 → HNB055</t>
        </is>
      </c>
      <c r="D13" s="4" t="inlineStr"/>
      <c r="E13" s="4" t="inlineStr">
        <is>
          <t>—</t>
        </is>
      </c>
      <c r="F13" s="4" t="inlineStr">
        <is>
          <t>HNB055→NBE22, HNB065→NBE22, HNB094→NBE22, HNB018→NBE22</t>
        </is>
      </c>
      <c r="G13" s="4" t="inlineStr">
        <is>
          <t>còn bảo vệ: mọi CSG vẫn về được AGG</t>
        </is>
      </c>
    </row>
    <row r="14">
      <c r="A14" s="4" t="inlineStr">
        <is>
          <t>R3-02</t>
        </is>
      </c>
      <c r="B14" s="4" t="inlineStr">
        <is>
          <t>R3</t>
        </is>
      </c>
      <c r="C14" s="4" t="inlineStr">
        <is>
          <t>HNB055 → HNB065</t>
        </is>
      </c>
      <c r="D14" s="4" t="inlineStr"/>
      <c r="E14" s="4" t="inlineStr">
        <is>
          <t>—</t>
        </is>
      </c>
      <c r="F14" s="4" t="inlineStr">
        <is>
          <t>HNB055→NBE12, HNB065→NBE22, HNB094→NBE22, HNB018→NBE22</t>
        </is>
      </c>
      <c r="G14" s="4" t="inlineStr">
        <is>
          <t>còn bảo vệ: mọi CSG vẫn về được AGG</t>
        </is>
      </c>
    </row>
    <row r="15">
      <c r="A15" s="4" t="inlineStr">
        <is>
          <t>R3-03</t>
        </is>
      </c>
      <c r="B15" s="4" t="inlineStr">
        <is>
          <t>R3</t>
        </is>
      </c>
      <c r="C15" s="4" t="inlineStr">
        <is>
          <t>HNB065 → HNB094</t>
        </is>
      </c>
      <c r="D15" s="4" t="inlineStr"/>
      <c r="E15" s="4" t="inlineStr">
        <is>
          <t>—</t>
        </is>
      </c>
      <c r="F15" s="4" t="inlineStr">
        <is>
          <t>HNB055→NBE12, HNB065→NBE12, HNB094→NBE22, HNB018→NBE22</t>
        </is>
      </c>
      <c r="G15" s="4" t="inlineStr">
        <is>
          <t>còn bảo vệ: mọi CSG vẫn về được AGG</t>
        </is>
      </c>
    </row>
    <row r="16">
      <c r="A16" s="4" t="inlineStr">
        <is>
          <t>R3-04</t>
        </is>
      </c>
      <c r="B16" s="4" t="inlineStr">
        <is>
          <t>R3</t>
        </is>
      </c>
      <c r="C16" s="4" t="inlineStr">
        <is>
          <t>HNB094 → NBE22</t>
        </is>
      </c>
      <c r="D16" s="4" t="inlineStr"/>
      <c r="E16" s="4" t="inlineStr">
        <is>
          <t>—</t>
        </is>
      </c>
      <c r="F16" s="4" t="inlineStr">
        <is>
          <t>HNB055→NBE12, HNB065→NBE12, HNB094→NBE12, HNB018→NBE12</t>
        </is>
      </c>
      <c r="G16" s="4" t="inlineStr">
        <is>
          <t>còn bảo vệ: mọi CSG vẫn về được AGG</t>
        </is>
      </c>
    </row>
    <row r="17">
      <c r="A17" s="4" t="inlineStr">
        <is>
          <t>R3-S1</t>
        </is>
      </c>
      <c r="B17" s="4" t="inlineStr">
        <is>
          <t>R3</t>
        </is>
      </c>
      <c r="C17" s="4" t="inlineStr">
        <is>
          <t>HNB094 → HNB018</t>
        </is>
      </c>
      <c r="D17" s="4" t="inlineStr"/>
      <c r="E17" s="21" t="inlineStr">
        <is>
          <t>HNB018</t>
        </is>
      </c>
      <c r="F17" s="4" t="inlineStr">
        <is>
          <t>—</t>
        </is>
      </c>
      <c r="G17" s="4" t="inlineStr">
        <is>
          <t>trạm nhánh cụt mất kết nối</t>
        </is>
      </c>
    </row>
    <row r="18">
      <c r="A18" s="4" t="inlineStr">
        <is>
          <t>R4-01</t>
        </is>
      </c>
      <c r="B18" s="4" t="inlineStr">
        <is>
          <t>R4</t>
        </is>
      </c>
      <c r="C18" s="4" t="inlineStr">
        <is>
          <t>NBE12 → HNB011</t>
        </is>
      </c>
      <c r="D18" s="4" t="inlineStr"/>
      <c r="E18" s="4" t="inlineStr">
        <is>
          <t>—</t>
        </is>
      </c>
      <c r="F18" s="4" t="inlineStr">
        <is>
          <t>HNB011→NBE22, HNB056→NBE22, HNB071→NBE22, HNB073→NBE22</t>
        </is>
      </c>
      <c r="G18" s="4" t="inlineStr">
        <is>
          <t>còn bảo vệ: mọi CSG vẫn về được AGG</t>
        </is>
      </c>
    </row>
    <row r="19">
      <c r="A19" s="4" t="inlineStr">
        <is>
          <t>R4-02</t>
        </is>
      </c>
      <c r="B19" s="4" t="inlineStr">
        <is>
          <t>R4</t>
        </is>
      </c>
      <c r="C19" s="4" t="inlineStr">
        <is>
          <t>HNB011 → HNB056</t>
        </is>
      </c>
      <c r="D19" s="4" t="inlineStr"/>
      <c r="E19" s="4" t="inlineStr">
        <is>
          <t>—</t>
        </is>
      </c>
      <c r="F19" s="4" t="inlineStr">
        <is>
          <t>HNB011→NBE12, HNB056→NBE22, HNB071→NBE22, HNB073→NBE22</t>
        </is>
      </c>
      <c r="G19" s="4" t="inlineStr">
        <is>
          <t>còn bảo vệ: mọi CSG vẫn về được AGG</t>
        </is>
      </c>
    </row>
    <row r="20">
      <c r="A20" s="4" t="inlineStr">
        <is>
          <t>R4-03</t>
        </is>
      </c>
      <c r="B20" s="4" t="inlineStr">
        <is>
          <t>R4</t>
        </is>
      </c>
      <c r="C20" s="4" t="inlineStr">
        <is>
          <t>HNB056 → HNB071</t>
        </is>
      </c>
      <c r="D20" s="4" t="inlineStr"/>
      <c r="E20" s="4" t="inlineStr">
        <is>
          <t>—</t>
        </is>
      </c>
      <c r="F20" s="4" t="inlineStr">
        <is>
          <t>HNB011→NBE12, HNB056→NBE12, HNB071→NBE22, HNB073→NBE22</t>
        </is>
      </c>
      <c r="G20" s="4" t="inlineStr">
        <is>
          <t>còn bảo vệ: mọi CSG vẫn về được AGG</t>
        </is>
      </c>
    </row>
    <row r="21">
      <c r="A21" s="4" t="inlineStr">
        <is>
          <t>R4-04</t>
        </is>
      </c>
      <c r="B21" s="4" t="inlineStr">
        <is>
          <t>R4</t>
        </is>
      </c>
      <c r="C21" s="4" t="inlineStr">
        <is>
          <t>HNB071 → HNB073</t>
        </is>
      </c>
      <c r="D21" s="4" t="inlineStr"/>
      <c r="E21" s="4" t="inlineStr">
        <is>
          <t>—</t>
        </is>
      </c>
      <c r="F21" s="4" t="inlineStr">
        <is>
          <t>HNB011→NBE12, HNB056→NBE12, HNB071→NBE12, HNB073→NBE22</t>
        </is>
      </c>
      <c r="G21" s="4" t="inlineStr">
        <is>
          <t>còn bảo vệ: mọi CSG vẫn về được AGG</t>
        </is>
      </c>
    </row>
    <row r="22">
      <c r="A22" s="4" t="inlineStr">
        <is>
          <t>R4-05</t>
        </is>
      </c>
      <c r="B22" s="4" t="inlineStr">
        <is>
          <t>R4</t>
        </is>
      </c>
      <c r="C22" s="4" t="inlineStr">
        <is>
          <t>HNB073 → NBE22</t>
        </is>
      </c>
      <c r="D22" s="4" t="inlineStr"/>
      <c r="E22" s="4" t="inlineStr">
        <is>
          <t>—</t>
        </is>
      </c>
      <c r="F22" s="4" t="inlineStr">
        <is>
          <t>HNB011→NBE12, HNB056→NBE12, HNB071→NBE12, HNB073→NBE12</t>
        </is>
      </c>
      <c r="G22" s="4" t="inlineStr">
        <is>
          <t>còn bảo vệ: mọi CSG vẫn về được AGG</t>
        </is>
      </c>
    </row>
    <row r="23">
      <c r="A23" s="4" t="inlineStr">
        <is>
          <t>R5-01</t>
        </is>
      </c>
      <c r="B23" s="4" t="inlineStr">
        <is>
          <t>R5</t>
        </is>
      </c>
      <c r="C23" s="4" t="inlineStr">
        <is>
          <t>NBE12 → HNB012</t>
        </is>
      </c>
      <c r="D23" s="4" t="inlineStr"/>
      <c r="E23" s="4" t="inlineStr">
        <is>
          <t>—</t>
        </is>
      </c>
      <c r="F23" s="4" t="inlineStr">
        <is>
          <t>HNB012→NBE22, HNB014→NBE22, HNB075→NBE22, HNB113→NBE22</t>
        </is>
      </c>
      <c r="G23" s="4" t="inlineStr">
        <is>
          <t>còn bảo vệ: mọi CSG vẫn về được AGG</t>
        </is>
      </c>
    </row>
    <row r="24">
      <c r="A24" s="4" t="inlineStr">
        <is>
          <t>R5-02</t>
        </is>
      </c>
      <c r="B24" s="4" t="inlineStr">
        <is>
          <t>R5</t>
        </is>
      </c>
      <c r="C24" s="4" t="inlineStr">
        <is>
          <t>HNB012 → HNB014</t>
        </is>
      </c>
      <c r="D24" s="4" t="inlineStr"/>
      <c r="E24" s="4" t="inlineStr">
        <is>
          <t>—</t>
        </is>
      </c>
      <c r="F24" s="4" t="inlineStr">
        <is>
          <t>HNB012→NBE12, HNB014→NBE22, HNB075→NBE22, HNB113→NBE12</t>
        </is>
      </c>
      <c r="G24" s="4" t="inlineStr">
        <is>
          <t>còn bảo vệ: mọi CSG vẫn về được AGG</t>
        </is>
      </c>
    </row>
    <row r="25">
      <c r="A25" s="4" t="inlineStr">
        <is>
          <t>R5-03</t>
        </is>
      </c>
      <c r="B25" s="4" t="inlineStr">
        <is>
          <t>R5</t>
        </is>
      </c>
      <c r="C25" s="4" t="inlineStr">
        <is>
          <t>HNB014 → HNB075</t>
        </is>
      </c>
      <c r="D25" s="4" t="inlineStr"/>
      <c r="E25" s="4" t="inlineStr">
        <is>
          <t>—</t>
        </is>
      </c>
      <c r="F25" s="4" t="inlineStr">
        <is>
          <t>HNB012→NBE12, HNB014→NBE12, HNB075→NBE22, HNB113→NBE12</t>
        </is>
      </c>
      <c r="G25" s="4" t="inlineStr">
        <is>
          <t>còn bảo vệ: mọi CSG vẫn về được AGG</t>
        </is>
      </c>
    </row>
    <row r="26">
      <c r="A26" s="4" t="inlineStr">
        <is>
          <t>R5-04</t>
        </is>
      </c>
      <c r="B26" s="4" t="inlineStr">
        <is>
          <t>R5</t>
        </is>
      </c>
      <c r="C26" s="4" t="inlineStr">
        <is>
          <t>HNB075 → NBE22</t>
        </is>
      </c>
      <c r="D26" s="4" t="inlineStr"/>
      <c r="E26" s="4" t="inlineStr">
        <is>
          <t>—</t>
        </is>
      </c>
      <c r="F26" s="4" t="inlineStr">
        <is>
          <t>HNB012→NBE12, HNB014→NBE12, HNB075→NBE12, HNB113→NBE12</t>
        </is>
      </c>
      <c r="G26" s="4" t="inlineStr">
        <is>
          <t>còn bảo vệ: mọi CSG vẫn về được AGG</t>
        </is>
      </c>
    </row>
    <row r="27">
      <c r="A27" s="4" t="inlineStr">
        <is>
          <t>R5-S1</t>
        </is>
      </c>
      <c r="B27" s="4" t="inlineStr">
        <is>
          <t>R5</t>
        </is>
      </c>
      <c r="C27" s="4" t="inlineStr">
        <is>
          <t>HNB012 → HNB113</t>
        </is>
      </c>
      <c r="D27" s="4" t="inlineStr"/>
      <c r="E27" s="21" t="inlineStr">
        <is>
          <t>HNB113</t>
        </is>
      </c>
      <c r="F27" s="4" t="inlineStr">
        <is>
          <t>—</t>
        </is>
      </c>
      <c r="G27" s="4" t="inlineStr">
        <is>
          <t>trạm nhánh cụt mất kết nối</t>
        </is>
      </c>
    </row>
    <row r="28">
      <c r="A28" s="4" t="inlineStr">
        <is>
          <t>R6-01</t>
        </is>
      </c>
      <c r="B28" s="4" t="inlineStr">
        <is>
          <t>R6</t>
        </is>
      </c>
      <c r="C28" s="4" t="inlineStr">
        <is>
          <t>NBE12 → HNB086</t>
        </is>
      </c>
      <c r="D28" s="4" t="inlineStr"/>
      <c r="E28" s="4" t="inlineStr">
        <is>
          <t>—</t>
        </is>
      </c>
      <c r="F28" s="4" t="inlineStr">
        <is>
          <t>HNB086→NBE22, HNB024→NBE22, HNB027→NBE22, HNB031→NBE22, HNB020→NBE22</t>
        </is>
      </c>
      <c r="G28" s="4" t="inlineStr">
        <is>
          <t>còn bảo vệ: mọi CSG vẫn về được AGG</t>
        </is>
      </c>
    </row>
    <row r="29">
      <c r="A29" s="4" t="inlineStr">
        <is>
          <t>R6-02</t>
        </is>
      </c>
      <c r="B29" s="4" t="inlineStr">
        <is>
          <t>R6</t>
        </is>
      </c>
      <c r="C29" s="4" t="inlineStr">
        <is>
          <t>HNB086 → HNB024</t>
        </is>
      </c>
      <c r="D29" s="4" t="inlineStr"/>
      <c r="E29" s="4" t="inlineStr">
        <is>
          <t>—</t>
        </is>
      </c>
      <c r="F29" s="4" t="inlineStr">
        <is>
          <t>HNB086→NBE12, HNB024→NBE22, HNB027→NBE22, HNB031→NBE22, HNB020→NBE22</t>
        </is>
      </c>
      <c r="G29" s="4" t="inlineStr">
        <is>
          <t>còn bảo vệ: mọi CSG vẫn về được AGG</t>
        </is>
      </c>
    </row>
    <row r="30">
      <c r="A30" s="4" t="inlineStr">
        <is>
          <t>R6-03</t>
        </is>
      </c>
      <c r="B30" s="4" t="inlineStr">
        <is>
          <t>R6</t>
        </is>
      </c>
      <c r="C30" s="4" t="inlineStr">
        <is>
          <t>HNB024 → HNB027</t>
        </is>
      </c>
      <c r="D30" s="4" t="inlineStr"/>
      <c r="E30" s="4" t="inlineStr">
        <is>
          <t>—</t>
        </is>
      </c>
      <c r="F30" s="4" t="inlineStr">
        <is>
          <t>HNB086→NBE12, HNB024→NBE12, HNB027→NBE22, HNB031→NBE22, HNB020→NBE22</t>
        </is>
      </c>
      <c r="G30" s="4" t="inlineStr">
        <is>
          <t>còn bảo vệ: mọi CSG vẫn về được AGG</t>
        </is>
      </c>
    </row>
    <row r="31">
      <c r="A31" s="4" t="inlineStr">
        <is>
          <t>R6-04</t>
        </is>
      </c>
      <c r="B31" s="4" t="inlineStr">
        <is>
          <t>R6</t>
        </is>
      </c>
      <c r="C31" s="4" t="inlineStr">
        <is>
          <t>HNB027 → HNB031</t>
        </is>
      </c>
      <c r="D31" s="4" t="inlineStr"/>
      <c r="E31" s="4" t="inlineStr">
        <is>
          <t>—</t>
        </is>
      </c>
      <c r="F31" s="4" t="inlineStr">
        <is>
          <t>HNB086→NBE12, HNB024→NBE12, HNB027→NBE12, HNB031→NBE22, HNB020→NBE22</t>
        </is>
      </c>
      <c r="G31" s="4" t="inlineStr">
        <is>
          <t>còn bảo vệ: mọi CSG vẫn về được AGG</t>
        </is>
      </c>
    </row>
    <row r="32">
      <c r="A32" s="4" t="inlineStr">
        <is>
          <t>R6-05</t>
        </is>
      </c>
      <c r="B32" s="4" t="inlineStr">
        <is>
          <t>R6</t>
        </is>
      </c>
      <c r="C32" s="4" t="inlineStr">
        <is>
          <t>HNB031 → HNB020</t>
        </is>
      </c>
      <c r="D32" s="4" t="inlineStr">
        <is>
          <t>hai lề (chưa rõ chi tiết)</t>
        </is>
      </c>
      <c r="E32" s="4" t="inlineStr">
        <is>
          <t>—</t>
        </is>
      </c>
      <c r="F32" s="4" t="inlineStr">
        <is>
          <t>HNB086→NBE12, HNB024→NBE12, HNB027→NBE12, HNB031→NBE12, HNB020→NBE22</t>
        </is>
      </c>
      <c r="G32" s="4" t="inlineStr">
        <is>
          <t>còn bảo vệ: mọi CSG vẫn về được AGG</t>
        </is>
      </c>
    </row>
    <row r="33">
      <c r="A33" s="4" t="inlineStr">
        <is>
          <t>R6-06</t>
        </is>
      </c>
      <c r="B33" s="4" t="inlineStr">
        <is>
          <t>R6</t>
        </is>
      </c>
      <c r="C33" s="4" t="inlineStr">
        <is>
          <t>HNB020 → NBE22</t>
        </is>
      </c>
      <c r="D33" s="4" t="inlineStr"/>
      <c r="E33" s="4" t="inlineStr">
        <is>
          <t>—</t>
        </is>
      </c>
      <c r="F33" s="4" t="inlineStr">
        <is>
          <t>HNB086→NBE12, HNB024→NBE12, HNB027→NBE12, HNB031→NBE12, HNB020→NBE12</t>
        </is>
      </c>
      <c r="G33" s="4" t="inlineStr">
        <is>
          <t>còn bảo vệ: mọi CSG vẫn về được AGG</t>
        </is>
      </c>
    </row>
    <row r="34">
      <c r="A34" s="4" t="inlineStr">
        <is>
          <t>R7-01</t>
        </is>
      </c>
      <c r="B34" s="4" t="inlineStr">
        <is>
          <t>R7</t>
        </is>
      </c>
      <c r="C34" s="4" t="inlineStr">
        <is>
          <t>NBE12 → HNB005</t>
        </is>
      </c>
      <c r="D34" s="4" t="inlineStr"/>
      <c r="E34" s="4" t="inlineStr">
        <is>
          <t>—</t>
        </is>
      </c>
      <c r="F34" s="4" t="inlineStr">
        <is>
          <t>HNB005→NBE22, HNB062→NBE22, HNB021→NBE22, HNB013→NBE22</t>
        </is>
      </c>
      <c r="G34" s="4" t="inlineStr">
        <is>
          <t>còn bảo vệ: mọi CSG vẫn về được AGG</t>
        </is>
      </c>
    </row>
    <row r="35">
      <c r="A35" s="4" t="inlineStr">
        <is>
          <t>R7-02</t>
        </is>
      </c>
      <c r="B35" s="4" t="inlineStr">
        <is>
          <t>R7</t>
        </is>
      </c>
      <c r="C35" s="4" t="inlineStr">
        <is>
          <t>HNB005 → HNB062</t>
        </is>
      </c>
      <c r="D35" s="4" t="inlineStr"/>
      <c r="E35" s="4" t="inlineStr">
        <is>
          <t>—</t>
        </is>
      </c>
      <c r="F35" s="4" t="inlineStr">
        <is>
          <t>HNB005→NBE12, HNB062→NBE22, HNB021→NBE22, HNB013→NBE22</t>
        </is>
      </c>
      <c r="G35" s="4" t="inlineStr">
        <is>
          <t>còn bảo vệ: mọi CSG vẫn về được AGG</t>
        </is>
      </c>
    </row>
    <row r="36">
      <c r="A36" s="4" t="inlineStr">
        <is>
          <t>R7-03</t>
        </is>
      </c>
      <c r="B36" s="4" t="inlineStr">
        <is>
          <t>R7</t>
        </is>
      </c>
      <c r="C36" s="4" t="inlineStr">
        <is>
          <t>HNB062 → HNB021</t>
        </is>
      </c>
      <c r="D36" s="4" t="inlineStr"/>
      <c r="E36" s="4" t="inlineStr">
        <is>
          <t>—</t>
        </is>
      </c>
      <c r="F36" s="4" t="inlineStr">
        <is>
          <t>HNB005→NBE12, HNB062→NBE12, HNB021→NBE22, HNB013→NBE22</t>
        </is>
      </c>
      <c r="G36" s="4" t="inlineStr">
        <is>
          <t>còn bảo vệ: mọi CSG vẫn về được AGG</t>
        </is>
      </c>
    </row>
    <row r="37">
      <c r="A37" s="4" t="inlineStr">
        <is>
          <t>R7-04</t>
        </is>
      </c>
      <c r="B37" s="4" t="inlineStr">
        <is>
          <t>R7</t>
        </is>
      </c>
      <c r="C37" s="4" t="inlineStr">
        <is>
          <t>HNB021 → HNB013</t>
        </is>
      </c>
      <c r="D37" s="4" t="inlineStr"/>
      <c r="E37" s="4" t="inlineStr">
        <is>
          <t>—</t>
        </is>
      </c>
      <c r="F37" s="4" t="inlineStr">
        <is>
          <t>HNB005→NBE12, HNB062→NBE12, HNB021→NBE12, HNB013→NBE22</t>
        </is>
      </c>
      <c r="G37" s="4" t="inlineStr">
        <is>
          <t>còn bảo vệ: mọi CSG vẫn về được AGG</t>
        </is>
      </c>
    </row>
    <row r="38">
      <c r="A38" s="4" t="inlineStr">
        <is>
          <t>R7-05</t>
        </is>
      </c>
      <c r="B38" s="4" t="inlineStr">
        <is>
          <t>R7</t>
        </is>
      </c>
      <c r="C38" s="4" t="inlineStr">
        <is>
          <t>HNB013 → NBE22</t>
        </is>
      </c>
      <c r="D38" s="4" t="inlineStr"/>
      <c r="E38" s="4" t="inlineStr">
        <is>
          <t>—</t>
        </is>
      </c>
      <c r="F38" s="4" t="inlineStr">
        <is>
          <t>HNB005→NBE12, HNB062→NBE12, HNB021→NBE12, HNB013→NBE12</t>
        </is>
      </c>
      <c r="G38" s="4" t="inlineStr">
        <is>
          <t>còn bảo vệ: mọi CSG vẫn về được AGG</t>
        </is>
      </c>
    </row>
    <row r="39">
      <c r="A39" s="4" t="inlineStr">
        <is>
          <t>R8-01</t>
        </is>
      </c>
      <c r="B39" s="4" t="inlineStr">
        <is>
          <t>R8</t>
        </is>
      </c>
      <c r="C39" s="4" t="inlineStr">
        <is>
          <t>NBE12 → HNB066</t>
        </is>
      </c>
      <c r="D39" s="4" t="inlineStr"/>
      <c r="E39" s="4" t="inlineStr">
        <is>
          <t>—</t>
        </is>
      </c>
      <c r="F39" s="4" t="inlineStr">
        <is>
          <t>HNB066→NBE22, HNB016→NBE22, HNB038→NBE22</t>
        </is>
      </c>
      <c r="G39" s="4" t="inlineStr">
        <is>
          <t>còn bảo vệ: mọi CSG vẫn về được AGG</t>
        </is>
      </c>
    </row>
    <row r="40">
      <c r="A40" s="4" t="inlineStr">
        <is>
          <t>R8-02</t>
        </is>
      </c>
      <c r="B40" s="4" t="inlineStr">
        <is>
          <t>R8</t>
        </is>
      </c>
      <c r="C40" s="4" t="inlineStr">
        <is>
          <t>HNB066 → HNB016</t>
        </is>
      </c>
      <c r="D40" s="4" t="inlineStr"/>
      <c r="E40" s="4" t="inlineStr">
        <is>
          <t>—</t>
        </is>
      </c>
      <c r="F40" s="4" t="inlineStr">
        <is>
          <t>HNB066→NBE12, HNB016→NBE22, HNB038→NBE22</t>
        </is>
      </c>
      <c r="G40" s="4" t="inlineStr">
        <is>
          <t>còn bảo vệ: mọi CSG vẫn về được AGG</t>
        </is>
      </c>
    </row>
    <row r="41">
      <c r="A41" s="4" t="inlineStr">
        <is>
          <t>R8-03</t>
        </is>
      </c>
      <c r="B41" s="4" t="inlineStr">
        <is>
          <t>R8</t>
        </is>
      </c>
      <c r="C41" s="4" t="inlineStr">
        <is>
          <t>HNB016 → HNB038</t>
        </is>
      </c>
      <c r="D41" s="4" t="inlineStr"/>
      <c r="E41" s="4" t="inlineStr">
        <is>
          <t>—</t>
        </is>
      </c>
      <c r="F41" s="4" t="inlineStr">
        <is>
          <t>HNB066→NBE12, HNB016→NBE12, HNB038→NBE22</t>
        </is>
      </c>
      <c r="G41" s="4" t="inlineStr">
        <is>
          <t>còn bảo vệ: mọi CSG vẫn về được AGG</t>
        </is>
      </c>
    </row>
    <row r="42">
      <c r="A42" s="4" t="inlineStr">
        <is>
          <t>R8-04</t>
        </is>
      </c>
      <c r="B42" s="4" t="inlineStr">
        <is>
          <t>R8</t>
        </is>
      </c>
      <c r="C42" s="4" t="inlineStr">
        <is>
          <t>HNB038 → NBE22</t>
        </is>
      </c>
      <c r="D42" s="4" t="inlineStr"/>
      <c r="E42" s="4" t="inlineStr">
        <is>
          <t>—</t>
        </is>
      </c>
      <c r="F42" s="4" t="inlineStr">
        <is>
          <t>HNB066→NBE12, HNB016→NBE12, HNB038→NBE12</t>
        </is>
      </c>
      <c r="G42" s="4" t="inlineStr">
        <is>
          <t>còn bảo vệ: mọi CSG vẫn về được AGG</t>
        </is>
      </c>
    </row>
    <row r="44">
      <c r="A44" s="18" t="inlineStr">
        <is>
          <t>Cặp đoạn cùng ring đứt cùng lúc làm CSG mất hết link (nguy cơ nếu hai đoạn đi chung cáp/hành lang)</t>
        </is>
      </c>
    </row>
    <row r="45" ht="32" customHeight="1">
      <c r="A45" s="3" t="inlineStr">
        <is>
          <t>Đoạn 1</t>
        </is>
      </c>
      <c r="B45" s="3" t="inlineStr">
        <is>
          <t>Ring</t>
        </is>
      </c>
      <c r="C45" s="3" t="inlineStr">
        <is>
          <t>Đoạn 2</t>
        </is>
      </c>
      <c r="D45" s="3" t="inlineStr">
        <is>
          <t>Chung hành lang (km)</t>
        </is>
      </c>
      <c r="E45" s="3" t="inlineStr">
        <is>
          <t>CSG bị cô lập</t>
        </is>
      </c>
      <c r="F45" s="3" t="inlineStr"/>
      <c r="G45" s="3" t="inlineStr">
        <is>
          <t>Cảnh báo</t>
        </is>
      </c>
    </row>
    <row r="46">
      <c r="A46" s="4" t="inlineStr">
        <is>
          <t>R1-01</t>
        </is>
      </c>
      <c r="B46" s="4" t="inlineStr">
        <is>
          <t>R1</t>
        </is>
      </c>
      <c r="C46" s="4" t="inlineStr">
        <is>
          <t>R1-02</t>
        </is>
      </c>
      <c r="D46" s="4" t="n">
        <v>0.26</v>
      </c>
      <c r="E46" s="4" t="inlineStr">
        <is>
          <t>HNB059</t>
        </is>
      </c>
      <c r="F46" s="4" t="inlineStr"/>
      <c r="G46" s="20" t="inlineStr">
        <is>
          <t>CẦN KIỂM TRA: hai đoạn chung hành lang</t>
        </is>
      </c>
    </row>
    <row r="47">
      <c r="A47" s="4" t="inlineStr">
        <is>
          <t>R1-01</t>
        </is>
      </c>
      <c r="B47" s="4" t="inlineStr">
        <is>
          <t>R1</t>
        </is>
      </c>
      <c r="C47" s="4" t="inlineStr">
        <is>
          <t>R1-03</t>
        </is>
      </c>
      <c r="D47" s="4" t="n">
        <v>0.65</v>
      </c>
      <c r="E47" s="4" t="inlineStr">
        <is>
          <t>HNB059, HNB060</t>
        </is>
      </c>
      <c r="F47" s="4" t="inlineStr"/>
      <c r="G47" s="20" t="inlineStr">
        <is>
          <t>CẦN KIỂM TRA: hai đoạn chung hành lang</t>
        </is>
      </c>
    </row>
    <row r="48">
      <c r="A48" s="4" t="inlineStr">
        <is>
          <t>R1-01</t>
        </is>
      </c>
      <c r="B48" s="4" t="inlineStr">
        <is>
          <t>R1</t>
        </is>
      </c>
      <c r="C48" s="4" t="inlineStr">
        <is>
          <t>R1-04</t>
        </is>
      </c>
      <c r="D48" s="4" t="n">
        <v>0.95</v>
      </c>
      <c r="E48" s="4" t="inlineStr">
        <is>
          <t>HNB059, HNB060, HNB048</t>
        </is>
      </c>
      <c r="F48" s="4" t="inlineStr"/>
      <c r="G48" s="20" t="inlineStr">
        <is>
          <t>CẦN KIỂM TRA: hai đoạn chung hành lang</t>
        </is>
      </c>
    </row>
    <row r="49">
      <c r="A49" s="4" t="inlineStr">
        <is>
          <t>R1-02</t>
        </is>
      </c>
      <c r="B49" s="4" t="inlineStr">
        <is>
          <t>R1</t>
        </is>
      </c>
      <c r="C49" s="4" t="inlineStr">
        <is>
          <t>R1-03</t>
        </is>
      </c>
      <c r="D49" s="4" t="n">
        <v>1.24</v>
      </c>
      <c r="E49" s="4" t="inlineStr">
        <is>
          <t>HNB060</t>
        </is>
      </c>
      <c r="F49" s="4" t="inlineStr"/>
      <c r="G49" s="20" t="inlineStr">
        <is>
          <t>CẦN KIỂM TRA: hai đoạn chung hành lang</t>
        </is>
      </c>
    </row>
    <row r="50">
      <c r="A50" s="4" t="inlineStr">
        <is>
          <t>R1-02</t>
        </is>
      </c>
      <c r="B50" s="4" t="inlineStr">
        <is>
          <t>R1</t>
        </is>
      </c>
      <c r="C50" s="4" t="inlineStr">
        <is>
          <t>R1-04</t>
        </is>
      </c>
      <c r="D50" s="4" t="n">
        <v>0</v>
      </c>
      <c r="E50" s="4" t="inlineStr">
        <is>
          <t>HNB060, HNB048</t>
        </is>
      </c>
      <c r="F50" s="4" t="inlineStr"/>
      <c r="G50" s="4" t="inlineStr">
        <is>
          <t>hai đoạn riêng biệt</t>
        </is>
      </c>
    </row>
    <row r="51">
      <c r="A51" s="4" t="inlineStr">
        <is>
          <t>R1-03</t>
        </is>
      </c>
      <c r="B51" s="4" t="inlineStr">
        <is>
          <t>R1</t>
        </is>
      </c>
      <c r="C51" s="4" t="inlineStr">
        <is>
          <t>R1-04</t>
        </is>
      </c>
      <c r="D51" s="4" t="n">
        <v>0.06</v>
      </c>
      <c r="E51" s="4" t="inlineStr">
        <is>
          <t>HNB048</t>
        </is>
      </c>
      <c r="F51" s="4" t="inlineStr"/>
      <c r="G51" s="4" t="inlineStr">
        <is>
          <t>hai đoạn riêng biệt</t>
        </is>
      </c>
    </row>
    <row r="52">
      <c r="A52" s="4" t="inlineStr">
        <is>
          <t>R2-01</t>
        </is>
      </c>
      <c r="B52" s="4" t="inlineStr">
        <is>
          <t>R2</t>
        </is>
      </c>
      <c r="C52" s="4" t="inlineStr">
        <is>
          <t>R2-02</t>
        </is>
      </c>
      <c r="D52" s="4" t="n">
        <v>0.07000000000000001</v>
      </c>
      <c r="E52" s="4" t="inlineStr">
        <is>
          <t>HNB054</t>
        </is>
      </c>
      <c r="F52" s="4" t="inlineStr"/>
      <c r="G52" s="4" t="inlineStr">
        <is>
          <t>hai đoạn riêng biệt</t>
        </is>
      </c>
    </row>
    <row r="53">
      <c r="A53" s="4" t="inlineStr">
        <is>
          <t>R2-01</t>
        </is>
      </c>
      <c r="B53" s="4" t="inlineStr">
        <is>
          <t>R2</t>
        </is>
      </c>
      <c r="C53" s="4" t="inlineStr">
        <is>
          <t>R2-03</t>
        </is>
      </c>
      <c r="D53" s="4" t="n">
        <v>0</v>
      </c>
      <c r="E53" s="4" t="inlineStr">
        <is>
          <t>HNB054, HNB006</t>
        </is>
      </c>
      <c r="F53" s="4" t="inlineStr"/>
      <c r="G53" s="4" t="inlineStr">
        <is>
          <t>hai đoạn riêng biệt</t>
        </is>
      </c>
    </row>
    <row r="54">
      <c r="A54" s="4" t="inlineStr">
        <is>
          <t>R2-01</t>
        </is>
      </c>
      <c r="B54" s="4" t="inlineStr">
        <is>
          <t>R2</t>
        </is>
      </c>
      <c r="C54" s="4" t="inlineStr">
        <is>
          <t>R2-04</t>
        </is>
      </c>
      <c r="D54" s="4" t="n">
        <v>0</v>
      </c>
      <c r="E54" s="4" t="inlineStr">
        <is>
          <t>HNB054, HNB006, HNB091</t>
        </is>
      </c>
      <c r="F54" s="4" t="inlineStr"/>
      <c r="G54" s="4" t="inlineStr">
        <is>
          <t>hai đoạn riêng biệt</t>
        </is>
      </c>
    </row>
    <row r="55">
      <c r="A55" s="4" t="inlineStr">
        <is>
          <t>R2-02</t>
        </is>
      </c>
      <c r="B55" s="4" t="inlineStr">
        <is>
          <t>R2</t>
        </is>
      </c>
      <c r="C55" s="4" t="inlineStr">
        <is>
          <t>R2-03</t>
        </is>
      </c>
      <c r="D55" s="4" t="n">
        <v>0.13</v>
      </c>
      <c r="E55" s="4" t="inlineStr">
        <is>
          <t>HNB006</t>
        </is>
      </c>
      <c r="F55" s="4" t="inlineStr"/>
      <c r="G55" s="4" t="inlineStr">
        <is>
          <t>hai đoạn riêng biệt</t>
        </is>
      </c>
    </row>
    <row r="56">
      <c r="A56" s="4" t="inlineStr">
        <is>
          <t>R2-02</t>
        </is>
      </c>
      <c r="B56" s="4" t="inlineStr">
        <is>
          <t>R2</t>
        </is>
      </c>
      <c r="C56" s="4" t="inlineStr">
        <is>
          <t>R2-04</t>
        </is>
      </c>
      <c r="D56" s="4" t="n">
        <v>0.35</v>
      </c>
      <c r="E56" s="4" t="inlineStr">
        <is>
          <t>HNB006, HNB091</t>
        </is>
      </c>
      <c r="F56" s="4" t="inlineStr"/>
      <c r="G56" s="20" t="inlineStr">
        <is>
          <t>CẦN KIỂM TRA: hai đoạn chung hành lang</t>
        </is>
      </c>
    </row>
    <row r="57">
      <c r="A57" s="4" t="inlineStr">
        <is>
          <t>R2-03</t>
        </is>
      </c>
      <c r="B57" s="4" t="inlineStr">
        <is>
          <t>R2</t>
        </is>
      </c>
      <c r="C57" s="4" t="inlineStr">
        <is>
          <t>R2-04</t>
        </is>
      </c>
      <c r="D57" s="4" t="n">
        <v>0.63</v>
      </c>
      <c r="E57" s="4" t="inlineStr">
        <is>
          <t>HNB091</t>
        </is>
      </c>
      <c r="F57" s="4" t="inlineStr"/>
      <c r="G57" s="20" t="inlineStr">
        <is>
          <t>CẦN KIỂM TRA: hai đoạn chung hành lang</t>
        </is>
      </c>
    </row>
    <row r="58">
      <c r="A58" s="4" t="inlineStr">
        <is>
          <t>R3-01</t>
        </is>
      </c>
      <c r="B58" s="4" t="inlineStr">
        <is>
          <t>R3</t>
        </is>
      </c>
      <c r="C58" s="4" t="inlineStr">
        <is>
          <t>R3-02</t>
        </is>
      </c>
      <c r="D58" s="4" t="n">
        <v>0.32</v>
      </c>
      <c r="E58" s="4" t="inlineStr">
        <is>
          <t>HNB055</t>
        </is>
      </c>
      <c r="F58" s="4" t="inlineStr"/>
      <c r="G58" s="20" t="inlineStr">
        <is>
          <t>CẦN KIỂM TRA: hai đoạn chung hành lang</t>
        </is>
      </c>
    </row>
    <row r="59">
      <c r="A59" s="4" t="inlineStr">
        <is>
          <t>R3-01</t>
        </is>
      </c>
      <c r="B59" s="4" t="inlineStr">
        <is>
          <t>R3</t>
        </is>
      </c>
      <c r="C59" s="4" t="inlineStr">
        <is>
          <t>R3-03</t>
        </is>
      </c>
      <c r="D59" s="4" t="n">
        <v>0.02</v>
      </c>
      <c r="E59" s="4" t="inlineStr">
        <is>
          <t>HNB055, HNB065</t>
        </is>
      </c>
      <c r="F59" s="4" t="inlineStr"/>
      <c r="G59" s="4" t="inlineStr">
        <is>
          <t>hai đoạn riêng biệt</t>
        </is>
      </c>
    </row>
    <row r="60">
      <c r="A60" s="4" t="inlineStr">
        <is>
          <t>R3-01</t>
        </is>
      </c>
      <c r="B60" s="4" t="inlineStr">
        <is>
          <t>R3</t>
        </is>
      </c>
      <c r="C60" s="4" t="inlineStr">
        <is>
          <t>R3-04</t>
        </is>
      </c>
      <c r="D60" s="4" t="n">
        <v>0</v>
      </c>
      <c r="E60" s="4" t="inlineStr">
        <is>
          <t>HNB055, HNB065, HNB094, HNB018</t>
        </is>
      </c>
      <c r="F60" s="4" t="inlineStr"/>
      <c r="G60" s="4" t="inlineStr">
        <is>
          <t>hai đoạn riêng biệt</t>
        </is>
      </c>
    </row>
    <row r="61">
      <c r="A61" s="4" t="inlineStr">
        <is>
          <t>R3-02</t>
        </is>
      </c>
      <c r="B61" s="4" t="inlineStr">
        <is>
          <t>R3</t>
        </is>
      </c>
      <c r="C61" s="4" t="inlineStr">
        <is>
          <t>R3-03</t>
        </is>
      </c>
      <c r="D61" s="4" t="n">
        <v>0.21</v>
      </c>
      <c r="E61" s="4" t="inlineStr">
        <is>
          <t>HNB065</t>
        </is>
      </c>
      <c r="F61" s="4" t="inlineStr"/>
      <c r="G61" s="20" t="inlineStr">
        <is>
          <t>CẦN KIỂM TRA: hai đoạn chung hành lang</t>
        </is>
      </c>
    </row>
    <row r="62">
      <c r="A62" s="4" t="inlineStr">
        <is>
          <t>R3-02</t>
        </is>
      </c>
      <c r="B62" s="4" t="inlineStr">
        <is>
          <t>R3</t>
        </is>
      </c>
      <c r="C62" s="4" t="inlineStr">
        <is>
          <t>R3-04</t>
        </is>
      </c>
      <c r="D62" s="4" t="n">
        <v>0</v>
      </c>
      <c r="E62" s="4" t="inlineStr">
        <is>
          <t>HNB065, HNB094, HNB018</t>
        </is>
      </c>
      <c r="F62" s="4" t="inlineStr"/>
      <c r="G62" s="4" t="inlineStr">
        <is>
          <t>hai đoạn riêng biệt</t>
        </is>
      </c>
    </row>
    <row r="63">
      <c r="A63" s="4" t="inlineStr">
        <is>
          <t>R3-03</t>
        </is>
      </c>
      <c r="B63" s="4" t="inlineStr">
        <is>
          <t>R3</t>
        </is>
      </c>
      <c r="C63" s="4" t="inlineStr">
        <is>
          <t>R3-04</t>
        </is>
      </c>
      <c r="D63" s="4" t="n">
        <v>0.15</v>
      </c>
      <c r="E63" s="4" t="inlineStr">
        <is>
          <t>HNB094, HNB018</t>
        </is>
      </c>
      <c r="F63" s="4" t="inlineStr"/>
      <c r="G63" s="4" t="inlineStr">
        <is>
          <t>hai đoạn riêng biệt</t>
        </is>
      </c>
    </row>
    <row r="64">
      <c r="A64" s="4" t="inlineStr">
        <is>
          <t>R4-01</t>
        </is>
      </c>
      <c r="B64" s="4" t="inlineStr">
        <is>
          <t>R4</t>
        </is>
      </c>
      <c r="C64" s="4" t="inlineStr">
        <is>
          <t>R4-02</t>
        </is>
      </c>
      <c r="D64" s="4" t="n">
        <v>0.06</v>
      </c>
      <c r="E64" s="4" t="inlineStr">
        <is>
          <t>HNB011</t>
        </is>
      </c>
      <c r="F64" s="4" t="inlineStr"/>
      <c r="G64" s="4" t="inlineStr">
        <is>
          <t>hai đoạn riêng biệt</t>
        </is>
      </c>
    </row>
    <row r="65">
      <c r="A65" s="4" t="inlineStr">
        <is>
          <t>R4-01</t>
        </is>
      </c>
      <c r="B65" s="4" t="inlineStr">
        <is>
          <t>R4</t>
        </is>
      </c>
      <c r="C65" s="4" t="inlineStr">
        <is>
          <t>R4-03</t>
        </is>
      </c>
      <c r="D65" s="4" t="n">
        <v>0.09</v>
      </c>
      <c r="E65" s="4" t="inlineStr">
        <is>
          <t>HNB011, HNB056</t>
        </is>
      </c>
      <c r="F65" s="4" t="inlineStr"/>
      <c r="G65" s="4" t="inlineStr">
        <is>
          <t>hai đoạn riêng biệt</t>
        </is>
      </c>
    </row>
    <row r="66">
      <c r="A66" s="4" t="inlineStr">
        <is>
          <t>R4-01</t>
        </is>
      </c>
      <c r="B66" s="4" t="inlineStr">
        <is>
          <t>R4</t>
        </is>
      </c>
      <c r="C66" s="4" t="inlineStr">
        <is>
          <t>R4-04</t>
        </is>
      </c>
      <c r="D66" s="4" t="n">
        <v>0</v>
      </c>
      <c r="E66" s="4" t="inlineStr">
        <is>
          <t>HNB011, HNB056, HNB071</t>
        </is>
      </c>
      <c r="F66" s="4" t="inlineStr"/>
      <c r="G66" s="4" t="inlineStr">
        <is>
          <t>hai đoạn riêng biệt</t>
        </is>
      </c>
    </row>
    <row r="67">
      <c r="A67" s="4" t="inlineStr">
        <is>
          <t>R4-01</t>
        </is>
      </c>
      <c r="B67" s="4" t="inlineStr">
        <is>
          <t>R4</t>
        </is>
      </c>
      <c r="C67" s="4" t="inlineStr">
        <is>
          <t>R4-05</t>
        </is>
      </c>
      <c r="D67" s="4" t="n">
        <v>0</v>
      </c>
      <c r="E67" s="4" t="inlineStr">
        <is>
          <t>HNB011, HNB056, HNB071, HNB073</t>
        </is>
      </c>
      <c r="F67" s="4" t="inlineStr"/>
      <c r="G67" s="4" t="inlineStr">
        <is>
          <t>hai đoạn riêng biệt</t>
        </is>
      </c>
    </row>
    <row r="68">
      <c r="A68" s="4" t="inlineStr">
        <is>
          <t>R4-02</t>
        </is>
      </c>
      <c r="B68" s="4" t="inlineStr">
        <is>
          <t>R4</t>
        </is>
      </c>
      <c r="C68" s="4" t="inlineStr">
        <is>
          <t>R4-03</t>
        </is>
      </c>
      <c r="D68" s="4" t="n">
        <v>0.65</v>
      </c>
      <c r="E68" s="4" t="inlineStr">
        <is>
          <t>HNB056</t>
        </is>
      </c>
      <c r="F68" s="4" t="inlineStr"/>
      <c r="G68" s="20" t="inlineStr">
        <is>
          <t>CẦN KIỂM TRA: hai đoạn chung hành lang</t>
        </is>
      </c>
    </row>
    <row r="69">
      <c r="A69" s="4" t="inlineStr">
        <is>
          <t>R4-02</t>
        </is>
      </c>
      <c r="B69" s="4" t="inlineStr">
        <is>
          <t>R4</t>
        </is>
      </c>
      <c r="C69" s="4" t="inlineStr">
        <is>
          <t>R4-04</t>
        </is>
      </c>
      <c r="D69" s="4" t="n">
        <v>0</v>
      </c>
      <c r="E69" s="4" t="inlineStr">
        <is>
          <t>HNB056, HNB071</t>
        </is>
      </c>
      <c r="F69" s="4" t="inlineStr"/>
      <c r="G69" s="4" t="inlineStr">
        <is>
          <t>hai đoạn riêng biệt</t>
        </is>
      </c>
    </row>
    <row r="70">
      <c r="A70" s="4" t="inlineStr">
        <is>
          <t>R4-02</t>
        </is>
      </c>
      <c r="B70" s="4" t="inlineStr">
        <is>
          <t>R4</t>
        </is>
      </c>
      <c r="C70" s="4" t="inlineStr">
        <is>
          <t>R4-05</t>
        </is>
      </c>
      <c r="D70" s="4" t="n">
        <v>0</v>
      </c>
      <c r="E70" s="4" t="inlineStr">
        <is>
          <t>HNB056, HNB071, HNB073</t>
        </is>
      </c>
      <c r="F70" s="4" t="inlineStr"/>
      <c r="G70" s="4" t="inlineStr">
        <is>
          <t>hai đoạn riêng biệt</t>
        </is>
      </c>
    </row>
    <row r="71">
      <c r="A71" s="4" t="inlineStr">
        <is>
          <t>R4-03</t>
        </is>
      </c>
      <c r="B71" s="4" t="inlineStr">
        <is>
          <t>R4</t>
        </is>
      </c>
      <c r="C71" s="4" t="inlineStr">
        <is>
          <t>R4-04</t>
        </is>
      </c>
      <c r="D71" s="4" t="n">
        <v>0.13</v>
      </c>
      <c r="E71" s="4" t="inlineStr">
        <is>
          <t>HNB071</t>
        </is>
      </c>
      <c r="F71" s="4" t="inlineStr"/>
      <c r="G71" s="4" t="inlineStr">
        <is>
          <t>hai đoạn riêng biệt</t>
        </is>
      </c>
    </row>
    <row r="72">
      <c r="A72" s="4" t="inlineStr">
        <is>
          <t>R4-03</t>
        </is>
      </c>
      <c r="B72" s="4" t="inlineStr">
        <is>
          <t>R4</t>
        </is>
      </c>
      <c r="C72" s="4" t="inlineStr">
        <is>
          <t>R4-05</t>
        </is>
      </c>
      <c r="D72" s="4" t="n">
        <v>0</v>
      </c>
      <c r="E72" s="4" t="inlineStr">
        <is>
          <t>HNB071, HNB073</t>
        </is>
      </c>
      <c r="F72" s="4" t="inlineStr"/>
      <c r="G72" s="4" t="inlineStr">
        <is>
          <t>hai đoạn riêng biệt</t>
        </is>
      </c>
    </row>
    <row r="73">
      <c r="A73" s="4" t="inlineStr">
        <is>
          <t>R4-04</t>
        </is>
      </c>
      <c r="B73" s="4" t="inlineStr">
        <is>
          <t>R4</t>
        </is>
      </c>
      <c r="C73" s="4" t="inlineStr">
        <is>
          <t>R4-05</t>
        </is>
      </c>
      <c r="D73" s="4" t="n">
        <v>0.03</v>
      </c>
      <c r="E73" s="4" t="inlineStr">
        <is>
          <t>HNB073</t>
        </is>
      </c>
      <c r="F73" s="4" t="inlineStr"/>
      <c r="G73" s="4" t="inlineStr">
        <is>
          <t>hai đoạn riêng biệt</t>
        </is>
      </c>
    </row>
    <row r="74">
      <c r="A74" s="4" t="inlineStr">
        <is>
          <t>R5-01</t>
        </is>
      </c>
      <c r="B74" s="4" t="inlineStr">
        <is>
          <t>R5</t>
        </is>
      </c>
      <c r="C74" s="4" t="inlineStr">
        <is>
          <t>R5-02</t>
        </is>
      </c>
      <c r="D74" s="4" t="n">
        <v>0.25</v>
      </c>
      <c r="E74" s="4" t="inlineStr">
        <is>
          <t>HNB012, HNB113</t>
        </is>
      </c>
      <c r="F74" s="4" t="inlineStr"/>
      <c r="G74" s="20" t="inlineStr">
        <is>
          <t>CẦN KIỂM TRA: hai đoạn chung hành lang</t>
        </is>
      </c>
    </row>
    <row r="75">
      <c r="A75" s="4" t="inlineStr">
        <is>
          <t>R5-01</t>
        </is>
      </c>
      <c r="B75" s="4" t="inlineStr">
        <is>
          <t>R5</t>
        </is>
      </c>
      <c r="C75" s="4" t="inlineStr">
        <is>
          <t>R5-03</t>
        </is>
      </c>
      <c r="D75" s="4" t="n">
        <v>0</v>
      </c>
      <c r="E75" s="4" t="inlineStr">
        <is>
          <t>HNB012, HNB014, HNB113</t>
        </is>
      </c>
      <c r="F75" s="4" t="inlineStr"/>
      <c r="G75" s="4" t="inlineStr">
        <is>
          <t>hai đoạn riêng biệt</t>
        </is>
      </c>
    </row>
    <row r="76">
      <c r="A76" s="4" t="inlineStr">
        <is>
          <t>R5-01</t>
        </is>
      </c>
      <c r="B76" s="4" t="inlineStr">
        <is>
          <t>R5</t>
        </is>
      </c>
      <c r="C76" s="4" t="inlineStr">
        <is>
          <t>R5-04</t>
        </is>
      </c>
      <c r="D76" s="4" t="n">
        <v>0</v>
      </c>
      <c r="E76" s="4" t="inlineStr">
        <is>
          <t>HNB012, HNB014, HNB075, HNB113</t>
        </is>
      </c>
      <c r="F76" s="4" t="inlineStr"/>
      <c r="G76" s="4" t="inlineStr">
        <is>
          <t>hai đoạn riêng biệt</t>
        </is>
      </c>
    </row>
    <row r="77">
      <c r="A77" s="4" t="inlineStr">
        <is>
          <t>R5-02</t>
        </is>
      </c>
      <c r="B77" s="4" t="inlineStr">
        <is>
          <t>R5</t>
        </is>
      </c>
      <c r="C77" s="4" t="inlineStr">
        <is>
          <t>R5-03</t>
        </is>
      </c>
      <c r="D77" s="4" t="n">
        <v>0.02</v>
      </c>
      <c r="E77" s="4" t="inlineStr">
        <is>
          <t>HNB014</t>
        </is>
      </c>
      <c r="F77" s="4" t="inlineStr"/>
      <c r="G77" s="4" t="inlineStr">
        <is>
          <t>hai đoạn riêng biệt</t>
        </is>
      </c>
    </row>
    <row r="78">
      <c r="A78" s="4" t="inlineStr">
        <is>
          <t>R5-02</t>
        </is>
      </c>
      <c r="B78" s="4" t="inlineStr">
        <is>
          <t>R5</t>
        </is>
      </c>
      <c r="C78" s="4" t="inlineStr">
        <is>
          <t>R5-04</t>
        </is>
      </c>
      <c r="D78" s="4" t="n">
        <v>0.05</v>
      </c>
      <c r="E78" s="4" t="inlineStr">
        <is>
          <t>HNB014, HNB075</t>
        </is>
      </c>
      <c r="F78" s="4" t="inlineStr"/>
      <c r="G78" s="4" t="inlineStr">
        <is>
          <t>hai đoạn riêng biệt</t>
        </is>
      </c>
    </row>
    <row r="79">
      <c r="A79" s="4" t="inlineStr">
        <is>
          <t>R5-03</t>
        </is>
      </c>
      <c r="B79" s="4" t="inlineStr">
        <is>
          <t>R5</t>
        </is>
      </c>
      <c r="C79" s="4" t="inlineStr">
        <is>
          <t>R5-04</t>
        </is>
      </c>
      <c r="D79" s="4" t="n">
        <v>0.39</v>
      </c>
      <c r="E79" s="4" t="inlineStr">
        <is>
          <t>HNB075</t>
        </is>
      </c>
      <c r="F79" s="4" t="inlineStr"/>
      <c r="G79" s="20" t="inlineStr">
        <is>
          <t>CẦN KIỂM TRA: hai đoạn chung hành lang</t>
        </is>
      </c>
    </row>
    <row r="80">
      <c r="A80" s="4" t="inlineStr">
        <is>
          <t>R6-01</t>
        </is>
      </c>
      <c r="B80" s="4" t="inlineStr">
        <is>
          <t>R6</t>
        </is>
      </c>
      <c r="C80" s="4" t="inlineStr">
        <is>
          <t>R6-02</t>
        </is>
      </c>
      <c r="D80" s="4" t="n">
        <v>0.78</v>
      </c>
      <c r="E80" s="4" t="inlineStr">
        <is>
          <t>HNB086</t>
        </is>
      </c>
      <c r="F80" s="4" t="inlineStr"/>
      <c r="G80" s="20" t="inlineStr">
        <is>
          <t>CẦN KIỂM TRA: hai đoạn chung hành lang</t>
        </is>
      </c>
    </row>
    <row r="81">
      <c r="A81" s="4" t="inlineStr">
        <is>
          <t>R6-01</t>
        </is>
      </c>
      <c r="B81" s="4" t="inlineStr">
        <is>
          <t>R6</t>
        </is>
      </c>
      <c r="C81" s="4" t="inlineStr">
        <is>
          <t>R6-03</t>
        </is>
      </c>
      <c r="D81" s="4" t="n">
        <v>0</v>
      </c>
      <c r="E81" s="4" t="inlineStr">
        <is>
          <t>HNB086, HNB024</t>
        </is>
      </c>
      <c r="F81" s="4" t="inlineStr"/>
      <c r="G81" s="4" t="inlineStr">
        <is>
          <t>hai đoạn riêng biệt</t>
        </is>
      </c>
    </row>
    <row r="82">
      <c r="A82" s="4" t="inlineStr">
        <is>
          <t>R6-01</t>
        </is>
      </c>
      <c r="B82" s="4" t="inlineStr">
        <is>
          <t>R6</t>
        </is>
      </c>
      <c r="C82" s="4" t="inlineStr">
        <is>
          <t>R6-04</t>
        </is>
      </c>
      <c r="D82" s="4" t="n">
        <v>0</v>
      </c>
      <c r="E82" s="4" t="inlineStr">
        <is>
          <t>HNB086, HNB024, HNB027</t>
        </is>
      </c>
      <c r="F82" s="4" t="inlineStr"/>
      <c r="G82" s="4" t="inlineStr">
        <is>
          <t>hai đoạn riêng biệt</t>
        </is>
      </c>
    </row>
    <row r="83">
      <c r="A83" s="4" t="inlineStr">
        <is>
          <t>R6-01</t>
        </is>
      </c>
      <c r="B83" s="4" t="inlineStr">
        <is>
          <t>R6</t>
        </is>
      </c>
      <c r="C83" s="4" t="inlineStr">
        <is>
          <t>R6-05</t>
        </is>
      </c>
      <c r="D83" s="4" t="n">
        <v>0</v>
      </c>
      <c r="E83" s="4" t="inlineStr">
        <is>
          <t>HNB086, HNB024, HNB027, HNB031</t>
        </is>
      </c>
      <c r="F83" s="4" t="inlineStr"/>
      <c r="G83" s="4" t="inlineStr">
        <is>
          <t>hai đoạn riêng biệt</t>
        </is>
      </c>
    </row>
    <row r="84">
      <c r="A84" s="4" t="inlineStr">
        <is>
          <t>R6-01</t>
        </is>
      </c>
      <c r="B84" s="4" t="inlineStr">
        <is>
          <t>R6</t>
        </is>
      </c>
      <c r="C84" s="4" t="inlineStr">
        <is>
          <t>R6-06</t>
        </is>
      </c>
      <c r="D84" s="4" t="n">
        <v>0</v>
      </c>
      <c r="E84" s="4" t="inlineStr">
        <is>
          <t>HNB086, HNB024, HNB027, HNB031, HNB020</t>
        </is>
      </c>
      <c r="F84" s="4" t="inlineStr"/>
      <c r="G84" s="4" t="inlineStr">
        <is>
          <t>hai đoạn riêng biệt</t>
        </is>
      </c>
    </row>
    <row r="85">
      <c r="A85" s="4" t="inlineStr">
        <is>
          <t>R6-02</t>
        </is>
      </c>
      <c r="B85" s="4" t="inlineStr">
        <is>
          <t>R6</t>
        </is>
      </c>
      <c r="C85" s="4" t="inlineStr">
        <is>
          <t>R6-03</t>
        </is>
      </c>
      <c r="D85" s="4" t="n">
        <v>0.04</v>
      </c>
      <c r="E85" s="4" t="inlineStr">
        <is>
          <t>HNB024</t>
        </is>
      </c>
      <c r="F85" s="4" t="inlineStr"/>
      <c r="G85" s="4" t="inlineStr">
        <is>
          <t>hai đoạn riêng biệt</t>
        </is>
      </c>
    </row>
    <row r="86">
      <c r="A86" s="4" t="inlineStr">
        <is>
          <t>R6-02</t>
        </is>
      </c>
      <c r="B86" s="4" t="inlineStr">
        <is>
          <t>R6</t>
        </is>
      </c>
      <c r="C86" s="4" t="inlineStr">
        <is>
          <t>R6-04</t>
        </is>
      </c>
      <c r="D86" s="4" t="n">
        <v>0</v>
      </c>
      <c r="E86" s="4" t="inlineStr">
        <is>
          <t>HNB024, HNB027</t>
        </is>
      </c>
      <c r="F86" s="4" t="inlineStr"/>
      <c r="G86" s="4" t="inlineStr">
        <is>
          <t>hai đoạn riêng biệt</t>
        </is>
      </c>
    </row>
    <row r="87">
      <c r="A87" s="4" t="inlineStr">
        <is>
          <t>R6-02</t>
        </is>
      </c>
      <c r="B87" s="4" t="inlineStr">
        <is>
          <t>R6</t>
        </is>
      </c>
      <c r="C87" s="4" t="inlineStr">
        <is>
          <t>R6-05</t>
        </is>
      </c>
      <c r="D87" s="4" t="n">
        <v>0</v>
      </c>
      <c r="E87" s="4" t="inlineStr">
        <is>
          <t>HNB024, HNB027, HNB031</t>
        </is>
      </c>
      <c r="F87" s="4" t="inlineStr"/>
      <c r="G87" s="4" t="inlineStr">
        <is>
          <t>hai đoạn riêng biệt</t>
        </is>
      </c>
    </row>
    <row r="88">
      <c r="A88" s="4" t="inlineStr">
        <is>
          <t>R6-02</t>
        </is>
      </c>
      <c r="B88" s="4" t="inlineStr">
        <is>
          <t>R6</t>
        </is>
      </c>
      <c r="C88" s="4" t="inlineStr">
        <is>
          <t>R6-06</t>
        </is>
      </c>
      <c r="D88" s="4" t="n">
        <v>0</v>
      </c>
      <c r="E88" s="4" t="inlineStr">
        <is>
          <t>HNB024, HNB027, HNB031, HNB020</t>
        </is>
      </c>
      <c r="F88" s="4" t="inlineStr"/>
      <c r="G88" s="4" t="inlineStr">
        <is>
          <t>hai đoạn riêng biệt</t>
        </is>
      </c>
    </row>
    <row r="89">
      <c r="A89" s="4" t="inlineStr">
        <is>
          <t>R6-03</t>
        </is>
      </c>
      <c r="B89" s="4" t="inlineStr">
        <is>
          <t>R6</t>
        </is>
      </c>
      <c r="C89" s="4" t="inlineStr">
        <is>
          <t>R6-04</t>
        </is>
      </c>
      <c r="D89" s="4" t="n">
        <v>0.07000000000000001</v>
      </c>
      <c r="E89" s="4" t="inlineStr">
        <is>
          <t>HNB027</t>
        </is>
      </c>
      <c r="F89" s="4" t="inlineStr"/>
      <c r="G89" s="4" t="inlineStr">
        <is>
          <t>hai đoạn riêng biệt</t>
        </is>
      </c>
    </row>
    <row r="90">
      <c r="A90" s="4" t="inlineStr">
        <is>
          <t>R6-03</t>
        </is>
      </c>
      <c r="B90" s="4" t="inlineStr">
        <is>
          <t>R6</t>
        </is>
      </c>
      <c r="C90" s="4" t="inlineStr">
        <is>
          <t>R6-05</t>
        </is>
      </c>
      <c r="D90" s="4" t="n">
        <v>0</v>
      </c>
      <c r="E90" s="4" t="inlineStr">
        <is>
          <t>HNB027, HNB031</t>
        </is>
      </c>
      <c r="F90" s="4" t="inlineStr"/>
      <c r="G90" s="4" t="inlineStr">
        <is>
          <t>hai đoạn riêng biệt</t>
        </is>
      </c>
    </row>
    <row r="91">
      <c r="A91" s="4" t="inlineStr">
        <is>
          <t>R6-03</t>
        </is>
      </c>
      <c r="B91" s="4" t="inlineStr">
        <is>
          <t>R6</t>
        </is>
      </c>
      <c r="C91" s="4" t="inlineStr">
        <is>
          <t>R6-06</t>
        </is>
      </c>
      <c r="D91" s="4" t="n">
        <v>0</v>
      </c>
      <c r="E91" s="4" t="inlineStr">
        <is>
          <t>HNB027, HNB031, HNB020</t>
        </is>
      </c>
      <c r="F91" s="4" t="inlineStr"/>
      <c r="G91" s="4" t="inlineStr">
        <is>
          <t>hai đoạn riêng biệt</t>
        </is>
      </c>
    </row>
    <row r="92">
      <c r="A92" s="4" t="inlineStr">
        <is>
          <t>R6-04</t>
        </is>
      </c>
      <c r="B92" s="4" t="inlineStr">
        <is>
          <t>R6</t>
        </is>
      </c>
      <c r="C92" s="4" t="inlineStr">
        <is>
          <t>R6-05</t>
        </is>
      </c>
      <c r="D92" s="4" t="n">
        <v>0.2</v>
      </c>
      <c r="E92" s="4" t="inlineStr">
        <is>
          <t>HNB031</t>
        </is>
      </c>
      <c r="F92" s="4" t="inlineStr"/>
      <c r="G92" s="20" t="inlineStr">
        <is>
          <t>CẦN KIỂM TRA: hai đoạn chung hành lang</t>
        </is>
      </c>
    </row>
    <row r="93">
      <c r="A93" s="4" t="inlineStr">
        <is>
          <t>R6-04</t>
        </is>
      </c>
      <c r="B93" s="4" t="inlineStr">
        <is>
          <t>R6</t>
        </is>
      </c>
      <c r="C93" s="4" t="inlineStr">
        <is>
          <t>R6-06</t>
        </is>
      </c>
      <c r="D93" s="4" t="n">
        <v>0.53</v>
      </c>
      <c r="E93" s="4" t="inlineStr">
        <is>
          <t>HNB031, HNB020</t>
        </is>
      </c>
      <c r="F93" s="4" t="inlineStr"/>
      <c r="G93" s="20" t="inlineStr">
        <is>
          <t>CẦN KIỂM TRA: hai đoạn chung hành lang</t>
        </is>
      </c>
    </row>
    <row r="94">
      <c r="A94" s="4" t="inlineStr">
        <is>
          <t>R6-05</t>
        </is>
      </c>
      <c r="B94" s="4" t="inlineStr">
        <is>
          <t>R6</t>
        </is>
      </c>
      <c r="C94" s="4" t="inlineStr">
        <is>
          <t>R6-06</t>
        </is>
      </c>
      <c r="D94" s="4" t="n">
        <v>0.11</v>
      </c>
      <c r="E94" s="4" t="inlineStr">
        <is>
          <t>HNB020</t>
        </is>
      </c>
      <c r="F94" s="4" t="inlineStr"/>
      <c r="G94" s="4" t="inlineStr">
        <is>
          <t>hai đoạn riêng biệt</t>
        </is>
      </c>
    </row>
    <row r="95">
      <c r="A95" s="4" t="inlineStr">
        <is>
          <t>R7-01</t>
        </is>
      </c>
      <c r="B95" s="4" t="inlineStr">
        <is>
          <t>R7</t>
        </is>
      </c>
      <c r="C95" s="4" t="inlineStr">
        <is>
          <t>R7-02</t>
        </is>
      </c>
      <c r="D95" s="4" t="n">
        <v>0.16</v>
      </c>
      <c r="E95" s="4" t="inlineStr">
        <is>
          <t>HNB005</t>
        </is>
      </c>
      <c r="F95" s="4" t="inlineStr"/>
      <c r="G95" s="20" t="inlineStr">
        <is>
          <t>CẦN KIỂM TRA: hai đoạn chung hành lang</t>
        </is>
      </c>
    </row>
    <row r="96">
      <c r="A96" s="4" t="inlineStr">
        <is>
          <t>R7-01</t>
        </is>
      </c>
      <c r="B96" s="4" t="inlineStr">
        <is>
          <t>R7</t>
        </is>
      </c>
      <c r="C96" s="4" t="inlineStr">
        <is>
          <t>R7-03</t>
        </is>
      </c>
      <c r="D96" s="4" t="n">
        <v>0</v>
      </c>
      <c r="E96" s="4" t="inlineStr">
        <is>
          <t>HNB005, HNB062</t>
        </is>
      </c>
      <c r="F96" s="4" t="inlineStr"/>
      <c r="G96" s="4" t="inlineStr">
        <is>
          <t>hai đoạn riêng biệt</t>
        </is>
      </c>
    </row>
    <row r="97">
      <c r="A97" s="4" t="inlineStr">
        <is>
          <t>R7-01</t>
        </is>
      </c>
      <c r="B97" s="4" t="inlineStr">
        <is>
          <t>R7</t>
        </is>
      </c>
      <c r="C97" s="4" t="inlineStr">
        <is>
          <t>R7-04</t>
        </is>
      </c>
      <c r="D97" s="4" t="n">
        <v>0</v>
      </c>
      <c r="E97" s="4" t="inlineStr">
        <is>
          <t>HNB005, HNB062, HNB021</t>
        </is>
      </c>
      <c r="F97" s="4" t="inlineStr"/>
      <c r="G97" s="4" t="inlineStr">
        <is>
          <t>hai đoạn riêng biệt</t>
        </is>
      </c>
    </row>
    <row r="98">
      <c r="A98" s="4" t="inlineStr">
        <is>
          <t>R7-01</t>
        </is>
      </c>
      <c r="B98" s="4" t="inlineStr">
        <is>
          <t>R7</t>
        </is>
      </c>
      <c r="C98" s="4" t="inlineStr">
        <is>
          <t>R7-05</t>
        </is>
      </c>
      <c r="D98" s="4" t="n">
        <v>0</v>
      </c>
      <c r="E98" s="4" t="inlineStr">
        <is>
          <t>HNB005, HNB062, HNB021, HNB013</t>
        </is>
      </c>
      <c r="F98" s="4" t="inlineStr"/>
      <c r="G98" s="4" t="inlineStr">
        <is>
          <t>hai đoạn riêng biệt</t>
        </is>
      </c>
    </row>
    <row r="99">
      <c r="A99" s="4" t="inlineStr">
        <is>
          <t>R7-02</t>
        </is>
      </c>
      <c r="B99" s="4" t="inlineStr">
        <is>
          <t>R7</t>
        </is>
      </c>
      <c r="C99" s="4" t="inlineStr">
        <is>
          <t>R7-03</t>
        </is>
      </c>
      <c r="D99" s="4" t="n">
        <v>0.06</v>
      </c>
      <c r="E99" s="4" t="inlineStr">
        <is>
          <t>HNB062</t>
        </is>
      </c>
      <c r="F99" s="4" t="inlineStr"/>
      <c r="G99" s="4" t="inlineStr">
        <is>
          <t>hai đoạn riêng biệt</t>
        </is>
      </c>
    </row>
    <row r="100">
      <c r="A100" s="4" t="inlineStr">
        <is>
          <t>R7-02</t>
        </is>
      </c>
      <c r="B100" s="4" t="inlineStr">
        <is>
          <t>R7</t>
        </is>
      </c>
      <c r="C100" s="4" t="inlineStr">
        <is>
          <t>R7-04</t>
        </is>
      </c>
      <c r="D100" s="4" t="n">
        <v>0</v>
      </c>
      <c r="E100" s="4" t="inlineStr">
        <is>
          <t>HNB062, HNB021</t>
        </is>
      </c>
      <c r="F100" s="4" t="inlineStr"/>
      <c r="G100" s="4" t="inlineStr">
        <is>
          <t>hai đoạn riêng biệt</t>
        </is>
      </c>
    </row>
    <row r="101">
      <c r="A101" s="4" t="inlineStr">
        <is>
          <t>R7-02</t>
        </is>
      </c>
      <c r="B101" s="4" t="inlineStr">
        <is>
          <t>R7</t>
        </is>
      </c>
      <c r="C101" s="4" t="inlineStr">
        <is>
          <t>R7-05</t>
        </is>
      </c>
      <c r="D101" s="4" t="n">
        <v>0</v>
      </c>
      <c r="E101" s="4" t="inlineStr">
        <is>
          <t>HNB062, HNB021, HNB013</t>
        </is>
      </c>
      <c r="F101" s="4" t="inlineStr"/>
      <c r="G101" s="4" t="inlineStr">
        <is>
          <t>hai đoạn riêng biệt</t>
        </is>
      </c>
    </row>
    <row r="102">
      <c r="A102" s="4" t="inlineStr">
        <is>
          <t>R7-03</t>
        </is>
      </c>
      <c r="B102" s="4" t="inlineStr">
        <is>
          <t>R7</t>
        </is>
      </c>
      <c r="C102" s="4" t="inlineStr">
        <is>
          <t>R7-04</t>
        </is>
      </c>
      <c r="D102" s="4" t="n">
        <v>0.38</v>
      </c>
      <c r="E102" s="4" t="inlineStr">
        <is>
          <t>HNB021</t>
        </is>
      </c>
      <c r="F102" s="4" t="inlineStr"/>
      <c r="G102" s="20" t="inlineStr">
        <is>
          <t>CẦN KIỂM TRA: hai đoạn chung hành lang</t>
        </is>
      </c>
    </row>
    <row r="103">
      <c r="A103" s="4" t="inlineStr">
        <is>
          <t>R7-03</t>
        </is>
      </c>
      <c r="B103" s="4" t="inlineStr">
        <is>
          <t>R7</t>
        </is>
      </c>
      <c r="C103" s="4" t="inlineStr">
        <is>
          <t>R7-05</t>
        </is>
      </c>
      <c r="D103" s="4" t="n">
        <v>0</v>
      </c>
      <c r="E103" s="4" t="inlineStr">
        <is>
          <t>HNB021, HNB013</t>
        </is>
      </c>
      <c r="F103" s="4" t="inlineStr"/>
      <c r="G103" s="4" t="inlineStr">
        <is>
          <t>hai đoạn riêng biệt</t>
        </is>
      </c>
    </row>
    <row r="104">
      <c r="A104" s="4" t="inlineStr">
        <is>
          <t>R7-04</t>
        </is>
      </c>
      <c r="B104" s="4" t="inlineStr">
        <is>
          <t>R7</t>
        </is>
      </c>
      <c r="C104" s="4" t="inlineStr">
        <is>
          <t>R7-05</t>
        </is>
      </c>
      <c r="D104" s="4" t="n">
        <v>0.21</v>
      </c>
      <c r="E104" s="4" t="inlineStr">
        <is>
          <t>HNB013</t>
        </is>
      </c>
      <c r="F104" s="4" t="inlineStr"/>
      <c r="G104" s="20" t="inlineStr">
        <is>
          <t>CẦN KIỂM TRA: hai đoạn chung hành lang</t>
        </is>
      </c>
    </row>
    <row r="105">
      <c r="A105" s="4" t="inlineStr">
        <is>
          <t>R8-01</t>
        </is>
      </c>
      <c r="B105" s="4" t="inlineStr">
        <is>
          <t>R8</t>
        </is>
      </c>
      <c r="C105" s="4" t="inlineStr">
        <is>
          <t>R8-02</t>
        </is>
      </c>
      <c r="D105" s="4" t="n">
        <v>0.13</v>
      </c>
      <c r="E105" s="4" t="inlineStr">
        <is>
          <t>HNB066</t>
        </is>
      </c>
      <c r="F105" s="4" t="inlineStr"/>
      <c r="G105" s="4" t="inlineStr">
        <is>
          <t>hai đoạn riêng biệt</t>
        </is>
      </c>
    </row>
    <row r="106">
      <c r="A106" s="4" t="inlineStr">
        <is>
          <t>R8-01</t>
        </is>
      </c>
      <c r="B106" s="4" t="inlineStr">
        <is>
          <t>R8</t>
        </is>
      </c>
      <c r="C106" s="4" t="inlineStr">
        <is>
          <t>R8-03</t>
        </is>
      </c>
      <c r="D106" s="4" t="n">
        <v>0</v>
      </c>
      <c r="E106" s="4" t="inlineStr">
        <is>
          <t>HNB066, HNB016</t>
        </is>
      </c>
      <c r="F106" s="4" t="inlineStr"/>
      <c r="G106" s="4" t="inlineStr">
        <is>
          <t>hai đoạn riêng biệt</t>
        </is>
      </c>
    </row>
    <row r="107">
      <c r="A107" s="4" t="inlineStr">
        <is>
          <t>R8-01</t>
        </is>
      </c>
      <c r="B107" s="4" t="inlineStr">
        <is>
          <t>R8</t>
        </is>
      </c>
      <c r="C107" s="4" t="inlineStr">
        <is>
          <t>R8-04</t>
        </is>
      </c>
      <c r="D107" s="4" t="n">
        <v>0</v>
      </c>
      <c r="E107" s="4" t="inlineStr">
        <is>
          <t>HNB066, HNB016, HNB038</t>
        </is>
      </c>
      <c r="F107" s="4" t="inlineStr"/>
      <c r="G107" s="4" t="inlineStr">
        <is>
          <t>hai đoạn riêng biệt</t>
        </is>
      </c>
    </row>
    <row r="108">
      <c r="A108" s="4" t="inlineStr">
        <is>
          <t>R8-02</t>
        </is>
      </c>
      <c r="B108" s="4" t="inlineStr">
        <is>
          <t>R8</t>
        </is>
      </c>
      <c r="C108" s="4" t="inlineStr">
        <is>
          <t>R8-03</t>
        </is>
      </c>
      <c r="D108" s="4" t="n">
        <v>0.13</v>
      </c>
      <c r="E108" s="4" t="inlineStr">
        <is>
          <t>HNB016</t>
        </is>
      </c>
      <c r="F108" s="4" t="inlineStr"/>
      <c r="G108" s="4" t="inlineStr">
        <is>
          <t>hai đoạn riêng biệt</t>
        </is>
      </c>
    </row>
    <row r="109">
      <c r="A109" s="4" t="inlineStr">
        <is>
          <t>R8-02</t>
        </is>
      </c>
      <c r="B109" s="4" t="inlineStr">
        <is>
          <t>R8</t>
        </is>
      </c>
      <c r="C109" s="4" t="inlineStr">
        <is>
          <t>R8-04</t>
        </is>
      </c>
      <c r="D109" s="4" t="n">
        <v>0</v>
      </c>
      <c r="E109" s="4" t="inlineStr">
        <is>
          <t>HNB016, HNB038</t>
        </is>
      </c>
      <c r="F109" s="4" t="inlineStr"/>
      <c r="G109" s="4" t="inlineStr">
        <is>
          <t>hai đoạn riêng biệt</t>
        </is>
      </c>
    </row>
    <row r="110">
      <c r="A110" s="4" t="inlineStr">
        <is>
          <t>R8-03</t>
        </is>
      </c>
      <c r="B110" s="4" t="inlineStr">
        <is>
          <t>R8</t>
        </is>
      </c>
      <c r="C110" s="4" t="inlineStr">
        <is>
          <t>R8-04</t>
        </is>
      </c>
      <c r="D110" s="4" t="n">
        <v>0.13</v>
      </c>
      <c r="E110" s="4" t="inlineStr">
        <is>
          <t>HNB038</t>
        </is>
      </c>
      <c r="F110" s="4" t="inlineStr"/>
      <c r="G110" s="4" t="inlineStr">
        <is>
          <t>hai đoạn riêng biệt</t>
        </is>
      </c>
    </row>
  </sheetData>
  <pageMargins left="0.75" right="0.75" top="1" bottom="1"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G36"/>
  <sheetViews>
    <sheetView showGridLines="0" workbookViewId="0">
      <pane ySplit="4" topLeftCell="A5" activePane="bottomLeft" state="frozen"/>
      <selection pane="bottomLeft" activeCell="A1" sqref="A1"/>
    </sheetView>
  </sheetViews>
  <sheetFormatPr baseColWidth="8" defaultRowHeight="15"/>
  <cols>
    <col width="10" customWidth="1" min="1" max="1"/>
    <col width="8" customWidth="1" min="2" max="2"/>
    <col width="7" customWidth="1" min="3" max="3"/>
    <col width="22" customWidth="1" min="4" max="4"/>
    <col width="11" customWidth="1" min="5" max="5"/>
    <col width="11" customWidth="1" min="6" max="6"/>
    <col width="14" customWidth="1" min="7" max="7"/>
  </cols>
  <sheetData>
    <row r="1">
      <c r="A1" s="1" t="inlineStr">
        <is>
          <t>Nút: trạm cấp 1 (AGG) và CSG</t>
        </is>
      </c>
    </row>
    <row r="2">
      <c r="A2" s="2" t="inlineStr">
        <is>
          <t>Toạ độ theo KML. Nút nhánh cụt (cấp 3) chỉ có một hướng đến.</t>
        </is>
      </c>
    </row>
    <row r="4" ht="32" customHeight="1">
      <c r="A4" s="3" t="inlineStr">
        <is>
          <t>Mã</t>
        </is>
      </c>
      <c r="B4" s="3" t="inlineStr">
        <is>
          <t>Loại</t>
        </is>
      </c>
      <c r="C4" s="3" t="inlineStr">
        <is>
          <t>Ring</t>
        </is>
      </c>
      <c r="D4" s="3" t="inlineStr">
        <is>
          <t>Vai trò</t>
        </is>
      </c>
      <c r="E4" s="3" t="inlineStr">
        <is>
          <t>Vĩ độ</t>
        </is>
      </c>
      <c r="F4" s="3" t="inlineStr">
        <is>
          <t>Kinh độ</t>
        </is>
      </c>
      <c r="G4" s="3" t="inlineStr">
        <is>
          <t>Bản đồ</t>
        </is>
      </c>
    </row>
    <row r="5">
      <c r="A5" s="4" t="inlineStr">
        <is>
          <t>NBE12</t>
        </is>
      </c>
      <c r="B5" s="4" t="inlineStr">
        <is>
          <t>AGG</t>
        </is>
      </c>
      <c r="C5" s="4" t="inlineStr"/>
      <c r="D5" s="4" t="inlineStr">
        <is>
          <t>trạm cấp 1 (AGG)</t>
        </is>
      </c>
      <c r="E5" s="4" t="n">
        <v>10.67009</v>
      </c>
      <c r="F5" s="4" t="n">
        <v>106.723223</v>
      </c>
      <c r="G5" s="52">
        <f>HYPERLINK("https://maps.google.com/?q="&amp;E5&amp;","&amp;F5,"Mở bản đồ")</f>
        <v/>
      </c>
    </row>
    <row r="6">
      <c r="A6" s="4" t="inlineStr">
        <is>
          <t>NBE22</t>
        </is>
      </c>
      <c r="B6" s="4" t="inlineStr">
        <is>
          <t>AGG</t>
        </is>
      </c>
      <c r="C6" s="4" t="inlineStr"/>
      <c r="D6" s="4" t="inlineStr">
        <is>
          <t>trạm cấp 1 (AGG)</t>
        </is>
      </c>
      <c r="E6" s="4" t="n">
        <v>10.685521</v>
      </c>
      <c r="F6" s="4" t="n">
        <v>106.74529</v>
      </c>
      <c r="G6" s="52">
        <f>HYPERLINK("https://maps.google.com/?q="&amp;E6&amp;","&amp;F6,"Mở bản đồ")</f>
        <v/>
      </c>
    </row>
    <row r="7">
      <c r="A7" s="4" t="inlineStr">
        <is>
          <t>HNB048</t>
        </is>
      </c>
      <c r="B7" s="4" t="inlineStr">
        <is>
          <t>CSG</t>
        </is>
      </c>
      <c r="C7" s="4" t="inlineStr">
        <is>
          <t>R1</t>
        </is>
      </c>
      <c r="D7" s="4" t="inlineStr">
        <is>
          <t>ring</t>
        </is>
      </c>
      <c r="E7" s="4" t="n">
        <v>10.64111</v>
      </c>
      <c r="F7" s="4" t="n">
        <v>106.72634</v>
      </c>
      <c r="G7" s="52">
        <f>HYPERLINK("https://maps.google.com/?q="&amp;E7&amp;","&amp;F7,"Mở bản đồ")</f>
        <v/>
      </c>
    </row>
    <row r="8">
      <c r="A8" s="4" t="inlineStr">
        <is>
          <t>HNB059</t>
        </is>
      </c>
      <c r="B8" s="4" t="inlineStr">
        <is>
          <t>CSG</t>
        </is>
      </c>
      <c r="C8" s="4" t="inlineStr">
        <is>
          <t>R1</t>
        </is>
      </c>
      <c r="D8" s="4" t="inlineStr">
        <is>
          <t>ring</t>
        </is>
      </c>
      <c r="E8" s="4" t="n">
        <v>10.63649</v>
      </c>
      <c r="F8" s="4" t="n">
        <v>106.73631</v>
      </c>
      <c r="G8" s="52">
        <f>HYPERLINK("https://maps.google.com/?q="&amp;E8&amp;","&amp;F8,"Mở bản đồ")</f>
        <v/>
      </c>
    </row>
    <row r="9">
      <c r="A9" s="4" t="inlineStr">
        <is>
          <t>HNB060</t>
        </is>
      </c>
      <c r="B9" s="4" t="inlineStr">
        <is>
          <t>CSG</t>
        </is>
      </c>
      <c r="C9" s="4" t="inlineStr">
        <is>
          <t>R1</t>
        </is>
      </c>
      <c r="D9" s="4" t="inlineStr">
        <is>
          <t>ring</t>
        </is>
      </c>
      <c r="E9" s="4" t="n">
        <v>10.61486</v>
      </c>
      <c r="F9" s="4" t="n">
        <v>106.73873</v>
      </c>
      <c r="G9" s="52">
        <f>HYPERLINK("https://maps.google.com/?q="&amp;E9&amp;","&amp;F9,"Mở bản đồ")</f>
        <v/>
      </c>
    </row>
    <row r="10">
      <c r="A10" s="4" t="inlineStr">
        <is>
          <t>HNB006</t>
        </is>
      </c>
      <c r="B10" s="4" t="inlineStr">
        <is>
          <t>CSG</t>
        </is>
      </c>
      <c r="C10" s="4" t="inlineStr">
        <is>
          <t>R2</t>
        </is>
      </c>
      <c r="D10" s="4" t="inlineStr">
        <is>
          <t>ring</t>
        </is>
      </c>
      <c r="E10" s="4" t="n">
        <v>10.65364429413235</v>
      </c>
      <c r="F10" s="4" t="n">
        <v>106.7284134594672</v>
      </c>
      <c r="G10" s="52">
        <f>HYPERLINK("https://maps.google.com/?q="&amp;E10&amp;","&amp;F10,"Mở bản đồ")</f>
        <v/>
      </c>
    </row>
    <row r="11">
      <c r="A11" s="4" t="inlineStr">
        <is>
          <t>HNB054</t>
        </is>
      </c>
      <c r="B11" s="4" t="inlineStr">
        <is>
          <t>CSG</t>
        </is>
      </c>
      <c r="C11" s="4" t="inlineStr">
        <is>
          <t>R2</t>
        </is>
      </c>
      <c r="D11" s="4" t="inlineStr">
        <is>
          <t>ring</t>
        </is>
      </c>
      <c r="E11" s="4" t="n">
        <v>10.66455</v>
      </c>
      <c r="F11" s="4" t="n">
        <v>106.72515</v>
      </c>
      <c r="G11" s="52">
        <f>HYPERLINK("https://maps.google.com/?q="&amp;E11&amp;","&amp;F11,"Mở bản đồ")</f>
        <v/>
      </c>
    </row>
    <row r="12">
      <c r="A12" s="4" t="inlineStr">
        <is>
          <t>HNB091</t>
        </is>
      </c>
      <c r="B12" s="4" t="inlineStr">
        <is>
          <t>CSG</t>
        </is>
      </c>
      <c r="C12" s="4" t="inlineStr">
        <is>
          <t>R2</t>
        </is>
      </c>
      <c r="D12" s="4" t="inlineStr">
        <is>
          <t>ring</t>
        </is>
      </c>
      <c r="E12" s="4" t="n">
        <v>10.6504426290566</v>
      </c>
      <c r="F12" s="4" t="n">
        <v>106.7329372043565</v>
      </c>
      <c r="G12" s="52">
        <f>HYPERLINK("https://maps.google.com/?q="&amp;E12&amp;","&amp;F12,"Mở bản đồ")</f>
        <v/>
      </c>
    </row>
    <row r="13">
      <c r="A13" s="4" t="inlineStr">
        <is>
          <t>HNB018</t>
        </is>
      </c>
      <c r="B13" s="4" t="inlineStr">
        <is>
          <t>CSG</t>
        </is>
      </c>
      <c r="C13" s="4" t="inlineStr">
        <is>
          <t>R3</t>
        </is>
      </c>
      <c r="D13" s="4" t="inlineStr">
        <is>
          <t>nhánh cụt (cấp 3)</t>
        </is>
      </c>
      <c r="E13" s="4" t="n">
        <v>10.68669</v>
      </c>
      <c r="F13" s="4" t="n">
        <v>106.70119</v>
      </c>
      <c r="G13" s="52">
        <f>HYPERLINK("https://maps.google.com/?q="&amp;E13&amp;","&amp;F13,"Mở bản đồ")</f>
        <v/>
      </c>
    </row>
    <row r="14">
      <c r="A14" s="4" t="inlineStr">
        <is>
          <t>HNB055</t>
        </is>
      </c>
      <c r="B14" s="4" t="inlineStr">
        <is>
          <t>CSG</t>
        </is>
      </c>
      <c r="C14" s="4" t="inlineStr">
        <is>
          <t>R3</t>
        </is>
      </c>
      <c r="D14" s="4" t="inlineStr">
        <is>
          <t>ring</t>
        </is>
      </c>
      <c r="E14" s="4" t="n">
        <v>10.71031</v>
      </c>
      <c r="F14" s="4" t="n">
        <v>106.70687</v>
      </c>
      <c r="G14" s="52">
        <f>HYPERLINK("https://maps.google.com/?q="&amp;E14&amp;","&amp;F14,"Mở bản đồ")</f>
        <v/>
      </c>
    </row>
    <row r="15">
      <c r="A15" s="4" t="inlineStr">
        <is>
          <t>HNB065</t>
        </is>
      </c>
      <c r="B15" s="4" t="inlineStr">
        <is>
          <t>CSG</t>
        </is>
      </c>
      <c r="C15" s="4" t="inlineStr">
        <is>
          <t>R3</t>
        </is>
      </c>
      <c r="D15" s="4" t="inlineStr">
        <is>
          <t>ring</t>
        </is>
      </c>
      <c r="E15" s="4" t="n">
        <v>10.70823</v>
      </c>
      <c r="F15" s="4" t="n">
        <v>106.70181</v>
      </c>
      <c r="G15" s="52">
        <f>HYPERLINK("https://maps.google.com/?q="&amp;E15&amp;","&amp;F15,"Mở bản đồ")</f>
        <v/>
      </c>
    </row>
    <row r="16">
      <c r="A16" s="4" t="inlineStr">
        <is>
          <t>HNB094</t>
        </is>
      </c>
      <c r="B16" s="4" t="inlineStr">
        <is>
          <t>CSG</t>
        </is>
      </c>
      <c r="C16" s="4" t="inlineStr">
        <is>
          <t>R3</t>
        </is>
      </c>
      <c r="D16" s="4" t="inlineStr">
        <is>
          <t>ring</t>
        </is>
      </c>
      <c r="E16" s="4" t="n">
        <v>10.69566</v>
      </c>
      <c r="F16" s="4" t="n">
        <v>106.70504</v>
      </c>
      <c r="G16" s="52">
        <f>HYPERLINK("https://maps.google.com/?q="&amp;E16&amp;","&amp;F16,"Mở bản đồ")</f>
        <v/>
      </c>
    </row>
    <row r="17">
      <c r="A17" s="4" t="inlineStr">
        <is>
          <t>HNB011</t>
        </is>
      </c>
      <c r="B17" s="4" t="inlineStr">
        <is>
          <t>CSG</t>
        </is>
      </c>
      <c r="C17" s="4" t="inlineStr">
        <is>
          <t>R4</t>
        </is>
      </c>
      <c r="D17" s="4" t="inlineStr">
        <is>
          <t>ring</t>
        </is>
      </c>
      <c r="E17" s="4" t="n">
        <v>10.71477</v>
      </c>
      <c r="F17" s="4" t="n">
        <v>106.70018</v>
      </c>
      <c r="G17" s="52">
        <f>HYPERLINK("https://maps.google.com/?q="&amp;E17&amp;","&amp;F17,"Mở bản đồ")</f>
        <v/>
      </c>
    </row>
    <row r="18">
      <c r="A18" s="4" t="inlineStr">
        <is>
          <t>HNB056</t>
        </is>
      </c>
      <c r="B18" s="4" t="inlineStr">
        <is>
          <t>CSG</t>
        </is>
      </c>
      <c r="C18" s="4" t="inlineStr">
        <is>
          <t>R4</t>
        </is>
      </c>
      <c r="D18" s="4" t="inlineStr">
        <is>
          <t>ring</t>
        </is>
      </c>
      <c r="E18" s="4" t="n">
        <v>10.71801</v>
      </c>
      <c r="F18" s="4" t="n">
        <v>106.70142</v>
      </c>
      <c r="G18" s="52">
        <f>HYPERLINK("https://maps.google.com/?q="&amp;E18&amp;","&amp;F18,"Mở bản đồ")</f>
        <v/>
      </c>
    </row>
    <row r="19">
      <c r="A19" s="4" t="inlineStr">
        <is>
          <t>HNB071</t>
        </is>
      </c>
      <c r="B19" s="4" t="inlineStr">
        <is>
          <t>CSG</t>
        </is>
      </c>
      <c r="C19" s="4" t="inlineStr">
        <is>
          <t>R4</t>
        </is>
      </c>
      <c r="D19" s="4" t="inlineStr">
        <is>
          <t>ring</t>
        </is>
      </c>
      <c r="E19" s="4" t="n">
        <v>10.71368</v>
      </c>
      <c r="F19" s="4" t="n">
        <v>106.7045</v>
      </c>
      <c r="G19" s="52">
        <f>HYPERLINK("https://maps.google.com/?q="&amp;E19&amp;","&amp;F19,"Mở bản đồ")</f>
        <v/>
      </c>
    </row>
    <row r="20">
      <c r="A20" s="4" t="inlineStr">
        <is>
          <t>HNB073</t>
        </is>
      </c>
      <c r="B20" s="4" t="inlineStr">
        <is>
          <t>CSG</t>
        </is>
      </c>
      <c r="C20" s="4" t="inlineStr">
        <is>
          <t>R4</t>
        </is>
      </c>
      <c r="D20" s="4" t="inlineStr">
        <is>
          <t>ring</t>
        </is>
      </c>
      <c r="E20" s="4" t="n">
        <v>10.71121</v>
      </c>
      <c r="F20" s="4" t="n">
        <v>106.70157</v>
      </c>
      <c r="G20" s="52">
        <f>HYPERLINK("https://maps.google.com/?q="&amp;E20&amp;","&amp;F20,"Mở bản đồ")</f>
        <v/>
      </c>
    </row>
    <row r="21">
      <c r="A21" s="4" t="inlineStr">
        <is>
          <t>HNB012</t>
        </is>
      </c>
      <c r="B21" s="4" t="inlineStr">
        <is>
          <t>CSG</t>
        </is>
      </c>
      <c r="C21" s="4" t="inlineStr">
        <is>
          <t>R5</t>
        </is>
      </c>
      <c r="D21" s="4" t="inlineStr">
        <is>
          <t>ring</t>
        </is>
      </c>
      <c r="E21" s="4" t="n">
        <v>10.71066</v>
      </c>
      <c r="F21" s="4" t="n">
        <v>106.68753</v>
      </c>
      <c r="G21" s="52">
        <f>HYPERLINK("https://maps.google.com/?q="&amp;E21&amp;","&amp;F21,"Mở bản đồ")</f>
        <v/>
      </c>
    </row>
    <row r="22">
      <c r="A22" s="4" t="inlineStr">
        <is>
          <t>HNB014</t>
        </is>
      </c>
      <c r="B22" s="4" t="inlineStr">
        <is>
          <t>CSG</t>
        </is>
      </c>
      <c r="C22" s="4" t="inlineStr">
        <is>
          <t>R5</t>
        </is>
      </c>
      <c r="D22" s="4" t="inlineStr">
        <is>
          <t>ring</t>
        </is>
      </c>
      <c r="E22" s="4" t="n">
        <v>10.722861</v>
      </c>
      <c r="F22" s="4" t="n">
        <v>106.697554</v>
      </c>
      <c r="G22" s="52">
        <f>HYPERLINK("https://maps.google.com/?q="&amp;E22&amp;","&amp;F22,"Mở bản đồ")</f>
        <v/>
      </c>
    </row>
    <row r="23">
      <c r="A23" s="4" t="inlineStr">
        <is>
          <t>HNB075</t>
        </is>
      </c>
      <c r="B23" s="4" t="inlineStr">
        <is>
          <t>CSG</t>
        </is>
      </c>
      <c r="C23" s="4" t="inlineStr">
        <is>
          <t>R5</t>
        </is>
      </c>
      <c r="D23" s="4" t="inlineStr">
        <is>
          <t>ring</t>
        </is>
      </c>
      <c r="E23" s="4" t="n">
        <v>10.72264</v>
      </c>
      <c r="F23" s="4" t="n">
        <v>106.69471</v>
      </c>
      <c r="G23" s="52">
        <f>HYPERLINK("https://maps.google.com/?q="&amp;E23&amp;","&amp;F23,"Mở bản đồ")</f>
        <v/>
      </c>
    </row>
    <row r="24">
      <c r="A24" s="4" t="inlineStr">
        <is>
          <t>HNB113</t>
        </is>
      </c>
      <c r="B24" s="4" t="inlineStr">
        <is>
          <t>CSG</t>
        </is>
      </c>
      <c r="C24" s="4" t="inlineStr">
        <is>
          <t>R5</t>
        </is>
      </c>
      <c r="D24" s="4" t="inlineStr">
        <is>
          <t>nhánh cụt (cấp 3)</t>
        </is>
      </c>
      <c r="E24" s="4" t="n">
        <v>10.70896</v>
      </c>
      <c r="F24" s="4" t="n">
        <v>106.6824</v>
      </c>
      <c r="G24" s="52">
        <f>HYPERLINK("https://maps.google.com/?q="&amp;E24&amp;","&amp;F24,"Mở bản đồ")</f>
        <v/>
      </c>
    </row>
    <row r="25">
      <c r="A25" s="4" t="inlineStr">
        <is>
          <t>HNB020</t>
        </is>
      </c>
      <c r="B25" s="4" t="inlineStr">
        <is>
          <t>CSG</t>
        </is>
      </c>
      <c r="C25" s="4" t="inlineStr">
        <is>
          <t>R6</t>
        </is>
      </c>
      <c r="D25" s="4" t="inlineStr">
        <is>
          <t>ring</t>
        </is>
      </c>
      <c r="E25" s="4" t="n">
        <v>10.67702</v>
      </c>
      <c r="F25" s="4" t="n">
        <v>106.7586</v>
      </c>
      <c r="G25" s="52">
        <f>HYPERLINK("https://maps.google.com/?q="&amp;E25&amp;","&amp;F25,"Mở bản đồ")</f>
        <v/>
      </c>
    </row>
    <row r="26">
      <c r="A26" s="4" t="inlineStr">
        <is>
          <t>HNB024</t>
        </is>
      </c>
      <c r="B26" s="4" t="inlineStr">
        <is>
          <t>CSG</t>
        </is>
      </c>
      <c r="C26" s="4" t="inlineStr">
        <is>
          <t>R6</t>
        </is>
      </c>
      <c r="D26" s="4" t="inlineStr">
        <is>
          <t>ring</t>
        </is>
      </c>
      <c r="E26" s="4" t="n">
        <v>10.67503</v>
      </c>
      <c r="F26" s="4" t="n">
        <v>106.73877</v>
      </c>
      <c r="G26" s="52">
        <f>HYPERLINK("https://maps.google.com/?q="&amp;E26&amp;","&amp;F26,"Mở bản đồ")</f>
        <v/>
      </c>
    </row>
    <row r="27">
      <c r="A27" s="4" t="inlineStr">
        <is>
          <t>HNB027</t>
        </is>
      </c>
      <c r="B27" s="4" t="inlineStr">
        <is>
          <t>CSG</t>
        </is>
      </c>
      <c r="C27" s="4" t="inlineStr">
        <is>
          <t>R6</t>
        </is>
      </c>
      <c r="D27" s="4" t="inlineStr">
        <is>
          <t>ring</t>
        </is>
      </c>
      <c r="E27" s="4" t="n">
        <v>10.67583</v>
      </c>
      <c r="F27" s="4" t="n">
        <v>106.74503</v>
      </c>
      <c r="G27" s="52">
        <f>HYPERLINK("https://maps.google.com/?q="&amp;E27&amp;","&amp;F27,"Mở bản đồ")</f>
        <v/>
      </c>
    </row>
    <row r="28">
      <c r="A28" s="4" t="inlineStr">
        <is>
          <t>HNB031</t>
        </is>
      </c>
      <c r="B28" s="4" t="inlineStr">
        <is>
          <t>CSG</t>
        </is>
      </c>
      <c r="C28" s="4" t="inlineStr">
        <is>
          <t>R6</t>
        </is>
      </c>
      <c r="D28" s="4" t="inlineStr">
        <is>
          <t>ring</t>
        </is>
      </c>
      <c r="E28" s="4" t="n">
        <v>10.6731</v>
      </c>
      <c r="F28" s="4" t="n">
        <v>106.76612</v>
      </c>
      <c r="G28" s="52">
        <f>HYPERLINK("https://maps.google.com/?q="&amp;E28&amp;","&amp;F28,"Mở bản đồ")</f>
        <v/>
      </c>
    </row>
    <row r="29">
      <c r="A29" s="4" t="inlineStr">
        <is>
          <t>HNB086</t>
        </is>
      </c>
      <c r="B29" s="4" t="inlineStr">
        <is>
          <t>CSG</t>
        </is>
      </c>
      <c r="C29" s="4" t="inlineStr">
        <is>
          <t>R6</t>
        </is>
      </c>
      <c r="D29" s="4" t="inlineStr">
        <is>
          <t>ring</t>
        </is>
      </c>
      <c r="E29" s="4" t="n">
        <v>10.68046</v>
      </c>
      <c r="F29" s="4" t="n">
        <v>106.7392</v>
      </c>
      <c r="G29" s="52">
        <f>HYPERLINK("https://maps.google.com/?q="&amp;E29&amp;","&amp;F29,"Mở bản đồ")</f>
        <v/>
      </c>
    </row>
    <row r="30">
      <c r="A30" s="4" t="inlineStr">
        <is>
          <t>HNB005</t>
        </is>
      </c>
      <c r="B30" s="4" t="inlineStr">
        <is>
          <t>CSG</t>
        </is>
      </c>
      <c r="C30" s="4" t="inlineStr">
        <is>
          <t>R7</t>
        </is>
      </c>
      <c r="D30" s="4" t="inlineStr">
        <is>
          <t>ring</t>
        </is>
      </c>
      <c r="E30" s="4" t="n">
        <v>10.6961861836579</v>
      </c>
      <c r="F30" s="4" t="n">
        <v>106.7413344137232</v>
      </c>
      <c r="G30" s="52">
        <f>HYPERLINK("https://maps.google.com/?q="&amp;E30&amp;","&amp;F30,"Mở bản đồ")</f>
        <v/>
      </c>
    </row>
    <row r="31">
      <c r="A31" s="4" t="inlineStr">
        <is>
          <t>HNB013</t>
        </is>
      </c>
      <c r="B31" s="4" t="inlineStr">
        <is>
          <t>CSG</t>
        </is>
      </c>
      <c r="C31" s="4" t="inlineStr">
        <is>
          <t>R7</t>
        </is>
      </c>
      <c r="D31" s="4" t="inlineStr">
        <is>
          <t>ring</t>
        </is>
      </c>
      <c r="E31" s="4" t="n">
        <v>10.68561</v>
      </c>
      <c r="F31" s="4" t="n">
        <v>106.74299</v>
      </c>
      <c r="G31" s="52">
        <f>HYPERLINK("https://maps.google.com/?q="&amp;E31&amp;","&amp;F31,"Mở bản đồ")</f>
        <v/>
      </c>
    </row>
    <row r="32">
      <c r="A32" s="4" t="inlineStr">
        <is>
          <t>HNB021</t>
        </is>
      </c>
      <c r="B32" s="4" t="inlineStr">
        <is>
          <t>CSG</t>
        </is>
      </c>
      <c r="C32" s="4" t="inlineStr">
        <is>
          <t>R7</t>
        </is>
      </c>
      <c r="D32" s="4" t="inlineStr">
        <is>
          <t>ring</t>
        </is>
      </c>
      <c r="E32" s="4" t="n">
        <v>10.68903</v>
      </c>
      <c r="F32" s="4" t="n">
        <v>106.74593</v>
      </c>
      <c r="G32" s="52">
        <f>HYPERLINK("https://maps.google.com/?q="&amp;E32&amp;","&amp;F32,"Mở bản đồ")</f>
        <v/>
      </c>
    </row>
    <row r="33">
      <c r="A33" s="4" t="inlineStr">
        <is>
          <t>HNB062</t>
        </is>
      </c>
      <c r="B33" s="4" t="inlineStr">
        <is>
          <t>CSG</t>
        </is>
      </c>
      <c r="C33" s="4" t="inlineStr">
        <is>
          <t>R7</t>
        </is>
      </c>
      <c r="D33" s="4" t="inlineStr">
        <is>
          <t>ring</t>
        </is>
      </c>
      <c r="E33" s="4" t="n">
        <v>10.69053</v>
      </c>
      <c r="F33" s="4" t="n">
        <v>106.7421</v>
      </c>
      <c r="G33" s="52">
        <f>HYPERLINK("https://maps.google.com/?q="&amp;E33&amp;","&amp;F33,"Mở bản đồ")</f>
        <v/>
      </c>
    </row>
    <row r="34">
      <c r="A34" s="4" t="inlineStr">
        <is>
          <t>HNB016</t>
        </is>
      </c>
      <c r="B34" s="4" t="inlineStr">
        <is>
          <t>CSG</t>
        </is>
      </c>
      <c r="C34" s="4" t="inlineStr">
        <is>
          <t>R8</t>
        </is>
      </c>
      <c r="D34" s="4" t="inlineStr">
        <is>
          <t>ring</t>
        </is>
      </c>
      <c r="E34" s="4" t="n">
        <v>10.70048319131371</v>
      </c>
      <c r="F34" s="4" t="n">
        <v>106.7357928486523</v>
      </c>
      <c r="G34" s="52">
        <f>HYPERLINK("https://maps.google.com/?q="&amp;E34&amp;","&amp;F34,"Mở bản đồ")</f>
        <v/>
      </c>
    </row>
    <row r="35">
      <c r="A35" s="4" t="inlineStr">
        <is>
          <t>HNB038</t>
        </is>
      </c>
      <c r="B35" s="4" t="inlineStr">
        <is>
          <t>CSG</t>
        </is>
      </c>
      <c r="C35" s="4" t="inlineStr">
        <is>
          <t>R8</t>
        </is>
      </c>
      <c r="D35" s="4" t="inlineStr">
        <is>
          <t>ring</t>
        </is>
      </c>
      <c r="E35" s="4" t="n">
        <v>10.69881</v>
      </c>
      <c r="F35" s="4" t="n">
        <v>106.73604</v>
      </c>
      <c r="G35" s="52">
        <f>HYPERLINK("https://maps.google.com/?q="&amp;E35&amp;","&amp;F35,"Mở bản đồ")</f>
        <v/>
      </c>
    </row>
    <row r="36">
      <c r="A36" s="4" t="inlineStr">
        <is>
          <t>HNB066</t>
        </is>
      </c>
      <c r="B36" s="4" t="inlineStr">
        <is>
          <t>CSG</t>
        </is>
      </c>
      <c r="C36" s="4" t="inlineStr">
        <is>
          <t>R8</t>
        </is>
      </c>
      <c r="D36" s="4" t="inlineStr">
        <is>
          <t>ring</t>
        </is>
      </c>
      <c r="E36" s="4" t="n">
        <v>10.70106700219243</v>
      </c>
      <c r="F36" s="4" t="n">
        <v>106.7385099583239</v>
      </c>
      <c r="G36" s="52">
        <f>HYPERLINK("https://maps.google.com/?q="&amp;E36&amp;","&amp;F36,"Mở bản đồ")</f>
        <v/>
      </c>
    </row>
  </sheetData>
  <pageMargins left="0.75" right="0.75" top="1" bottom="1" header="0.5" footer="0.5"/>
  <pageSetup orientation="landscape" fitToHeight="0" fitToWidth="1"/>
</worksheet>
</file>

<file path=xl/worksheets/sheet17.xml><?xml version="1.0" encoding="utf-8"?>
<worksheet xmlns="http://schemas.openxmlformats.org/spreadsheetml/2006/main">
  <sheetPr>
    <outlinePr summaryBelow="1" summaryRight="1"/>
    <pageSetUpPr fitToPage="1"/>
  </sheetPr>
  <dimension ref="A1:P3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1" customWidth="1" min="14" max="14"/>
    <col width="12" customWidth="1" min="15" max="15"/>
    <col width="12" customWidth="1" min="16" max="16"/>
  </cols>
  <sheetData>
    <row r="1">
      <c r="A1" s="1" t="inlineStr">
        <is>
          <t>ODF tại các CSG — lưới cổng (hướng đến)</t>
        </is>
      </c>
    </row>
    <row r="2">
      <c r="A2" s="2" t="inlineStr">
        <is>
          <t>Mỗi ODF 12 cổng (nhánh cụt 6). Màu theo hướng. Chi tiết đầu cáp ở sheet "ODF chi tiết". Ô trống = chưa ghi trong file nguồn.</t>
        </is>
      </c>
    </row>
    <row r="4" ht="32" customHeight="1">
      <c r="A4" s="3" t="inlineStr">
        <is>
          <t>ODF</t>
        </is>
      </c>
      <c r="B4" s="3" t="inlineStr">
        <is>
          <t>Cổng 1</t>
        </is>
      </c>
      <c r="C4" s="3" t="inlineStr">
        <is>
          <t>Cổng 2</t>
        </is>
      </c>
      <c r="D4" s="3" t="inlineStr">
        <is>
          <t>Cổng 3</t>
        </is>
      </c>
      <c r="E4" s="3" t="inlineStr">
        <is>
          <t>Cổng 4</t>
        </is>
      </c>
      <c r="F4" s="3" t="inlineStr">
        <is>
          <t>Cổng 5</t>
        </is>
      </c>
      <c r="G4" s="3" t="inlineStr">
        <is>
          <t>Cổng 6</t>
        </is>
      </c>
      <c r="H4" s="3" t="inlineStr">
        <is>
          <t>Cổng 7</t>
        </is>
      </c>
      <c r="I4" s="3" t="inlineStr">
        <is>
          <t>Cổng 8</t>
        </is>
      </c>
      <c r="J4" s="3" t="inlineStr">
        <is>
          <t>Cổng 9</t>
        </is>
      </c>
      <c r="K4" s="3" t="inlineStr">
        <is>
          <t>Cổng 10</t>
        </is>
      </c>
      <c r="L4" s="3" t="inlineStr">
        <is>
          <t>Cổng 11</t>
        </is>
      </c>
      <c r="M4" s="3" t="inlineStr">
        <is>
          <t>Cổng 12</t>
        </is>
      </c>
      <c r="N4" s="3" t="inlineStr">
        <is>
          <t>Cổng có dữ liệu</t>
        </is>
      </c>
      <c r="O4" s="3" t="inlineStr">
        <is>
          <t>Hướng 1</t>
        </is>
      </c>
      <c r="P4" s="3" t="inlineStr">
        <is>
          <t>Hướng 2</t>
        </is>
      </c>
    </row>
    <row r="5">
      <c r="A5" s="14" t="inlineStr">
        <is>
          <t>ODF-HNB066</t>
        </is>
      </c>
      <c r="B5" s="53" t="inlineStr">
        <is>
          <t>NBE12</t>
        </is>
      </c>
      <c r="C5" s="53" t="inlineStr">
        <is>
          <t>NBE12</t>
        </is>
      </c>
      <c r="D5" s="53" t="inlineStr">
        <is>
          <t>NBE12</t>
        </is>
      </c>
      <c r="E5" s="53" t="inlineStr">
        <is>
          <t>NBE12</t>
        </is>
      </c>
      <c r="F5" s="53" t="inlineStr">
        <is>
          <t>NBE12</t>
        </is>
      </c>
      <c r="G5" s="53" t="inlineStr">
        <is>
          <t>NBE12</t>
        </is>
      </c>
      <c r="H5" s="54" t="inlineStr">
        <is>
          <t>HNB016</t>
        </is>
      </c>
      <c r="I5" s="54" t="inlineStr">
        <is>
          <t>HNB016</t>
        </is>
      </c>
      <c r="J5" s="54" t="inlineStr">
        <is>
          <t>HNB016</t>
        </is>
      </c>
      <c r="K5" s="54" t="inlineStr">
        <is>
          <t>HNB016</t>
        </is>
      </c>
      <c r="L5" s="54" t="inlineStr">
        <is>
          <t>HNB016</t>
        </is>
      </c>
      <c r="M5" s="54" t="inlineStr">
        <is>
          <t>HNB016</t>
        </is>
      </c>
      <c r="N5" s="4">
        <f>12-COUNTBLANK(B5:M5)</f>
        <v/>
      </c>
      <c r="O5" s="4" t="inlineStr">
        <is>
          <t>NBE12</t>
        </is>
      </c>
      <c r="P5" s="4" t="inlineStr">
        <is>
          <t>HNB016</t>
        </is>
      </c>
    </row>
    <row r="6">
      <c r="A6" s="14" t="inlineStr">
        <is>
          <t>ODF-HNB016</t>
        </is>
      </c>
      <c r="B6" s="55" t="inlineStr">
        <is>
          <t>HNB066</t>
        </is>
      </c>
      <c r="C6" s="55" t="inlineStr">
        <is>
          <t>HNB066</t>
        </is>
      </c>
      <c r="D6" s="55" t="inlineStr">
        <is>
          <t>HNB066</t>
        </is>
      </c>
      <c r="E6" s="55" t="inlineStr">
        <is>
          <t>HNB066</t>
        </is>
      </c>
      <c r="F6" s="55" t="inlineStr">
        <is>
          <t>HNB066</t>
        </is>
      </c>
      <c r="G6" s="55" t="inlineStr">
        <is>
          <t>HNB066</t>
        </is>
      </c>
      <c r="H6" s="55" t="inlineStr">
        <is>
          <t>HNB066</t>
        </is>
      </c>
      <c r="I6" s="55" t="inlineStr">
        <is>
          <t>HNB066</t>
        </is>
      </c>
      <c r="J6" s="56" t="inlineStr">
        <is>
          <t>HNB038</t>
        </is>
      </c>
      <c r="K6" s="56" t="inlineStr">
        <is>
          <t>HNB038</t>
        </is>
      </c>
      <c r="L6" s="56" t="inlineStr">
        <is>
          <t>HNB038</t>
        </is>
      </c>
      <c r="M6" s="56" t="inlineStr">
        <is>
          <t>HNB038</t>
        </is>
      </c>
      <c r="N6" s="4">
        <f>12-COUNTBLANK(B6:M6)</f>
        <v/>
      </c>
      <c r="O6" s="4" t="inlineStr">
        <is>
          <t>HNB066</t>
        </is>
      </c>
      <c r="P6" s="4" t="inlineStr">
        <is>
          <t>HNB038</t>
        </is>
      </c>
    </row>
    <row r="7">
      <c r="A7" s="14" t="inlineStr">
        <is>
          <t>ODF-HNB038</t>
        </is>
      </c>
      <c r="B7" s="57" t="inlineStr">
        <is>
          <t>NBE22</t>
        </is>
      </c>
      <c r="C7" s="57" t="inlineStr">
        <is>
          <t>NBE22</t>
        </is>
      </c>
      <c r="D7" s="57" t="inlineStr">
        <is>
          <t>NBE22</t>
        </is>
      </c>
      <c r="E7" s="57" t="inlineStr">
        <is>
          <t>NBE22</t>
        </is>
      </c>
      <c r="F7" s="57" t="inlineStr">
        <is>
          <t>NBE22</t>
        </is>
      </c>
      <c r="G7" s="57" t="inlineStr">
        <is>
          <t>NBE22</t>
        </is>
      </c>
      <c r="H7" s="57" t="inlineStr">
        <is>
          <t>NBE22</t>
        </is>
      </c>
      <c r="I7" s="57" t="inlineStr">
        <is>
          <t>NBE22</t>
        </is>
      </c>
      <c r="J7" s="54" t="inlineStr">
        <is>
          <t>HNB016</t>
        </is>
      </c>
      <c r="K7" s="54" t="inlineStr">
        <is>
          <t>HNB016</t>
        </is>
      </c>
      <c r="L7" s="54" t="inlineStr">
        <is>
          <t>HNB016</t>
        </is>
      </c>
      <c r="M7" s="54" t="inlineStr">
        <is>
          <t>HNB016</t>
        </is>
      </c>
      <c r="N7" s="4">
        <f>12-COUNTBLANK(B7:M7)</f>
        <v/>
      </c>
      <c r="O7" s="4" t="inlineStr">
        <is>
          <t>NBE22</t>
        </is>
      </c>
      <c r="P7" s="4" t="inlineStr">
        <is>
          <t>HNB016</t>
        </is>
      </c>
    </row>
    <row r="8">
      <c r="A8" s="14" t="inlineStr">
        <is>
          <t>ODF-HNB005</t>
        </is>
      </c>
      <c r="B8" s="53" t="inlineStr">
        <is>
          <t>NBE12</t>
        </is>
      </c>
      <c r="C8" s="53" t="inlineStr">
        <is>
          <t>NBE12</t>
        </is>
      </c>
      <c r="D8" s="53" t="inlineStr">
        <is>
          <t>NBE12</t>
        </is>
      </c>
      <c r="E8" s="53" t="inlineStr">
        <is>
          <t>NBE12</t>
        </is>
      </c>
      <c r="F8" s="53" t="inlineStr">
        <is>
          <t>NBE12</t>
        </is>
      </c>
      <c r="G8" s="53" t="inlineStr">
        <is>
          <t>NBE12</t>
        </is>
      </c>
      <c r="H8" s="58" t="inlineStr">
        <is>
          <t>HNB062</t>
        </is>
      </c>
      <c r="I8" s="58" t="inlineStr">
        <is>
          <t>HNB062</t>
        </is>
      </c>
      <c r="J8" s="58" t="inlineStr">
        <is>
          <t>HNB062</t>
        </is>
      </c>
      <c r="K8" s="58" t="inlineStr">
        <is>
          <t>HNB062</t>
        </is>
      </c>
      <c r="L8" s="58" t="inlineStr">
        <is>
          <t>HNB062</t>
        </is>
      </c>
      <c r="M8" s="58" t="inlineStr">
        <is>
          <t>HNB062</t>
        </is>
      </c>
      <c r="N8" s="4">
        <f>12-COUNTBLANK(B8:M8)</f>
        <v/>
      </c>
      <c r="O8" s="4" t="inlineStr">
        <is>
          <t>NBE12</t>
        </is>
      </c>
      <c r="P8" s="4" t="inlineStr">
        <is>
          <t>HNB062</t>
        </is>
      </c>
    </row>
    <row r="9">
      <c r="A9" s="14" t="inlineStr">
        <is>
          <t>ODF-HNB062</t>
        </is>
      </c>
      <c r="B9" s="59" t="inlineStr">
        <is>
          <t>HNB021</t>
        </is>
      </c>
      <c r="C9" s="59" t="inlineStr">
        <is>
          <t>HNB021</t>
        </is>
      </c>
      <c r="D9" s="59" t="inlineStr">
        <is>
          <t>HNB021</t>
        </is>
      </c>
      <c r="E9" s="59" t="inlineStr">
        <is>
          <t>HNB021</t>
        </is>
      </c>
      <c r="F9" s="59" t="inlineStr">
        <is>
          <t>HNB021</t>
        </is>
      </c>
      <c r="G9" s="59" t="inlineStr">
        <is>
          <t>HNB021</t>
        </is>
      </c>
      <c r="H9" s="60" t="inlineStr">
        <is>
          <t>HNB005</t>
        </is>
      </c>
      <c r="I9" s="60" t="inlineStr">
        <is>
          <t>HNB005</t>
        </is>
      </c>
      <c r="J9" s="60" t="inlineStr">
        <is>
          <t>HNB005</t>
        </is>
      </c>
      <c r="K9" s="60" t="inlineStr">
        <is>
          <t>HNB005</t>
        </is>
      </c>
      <c r="L9" s="60" t="inlineStr">
        <is>
          <t>HNB005</t>
        </is>
      </c>
      <c r="M9" s="60" t="inlineStr">
        <is>
          <t>HNB005</t>
        </is>
      </c>
      <c r="N9" s="4">
        <f>12-COUNTBLANK(B9:M9)</f>
        <v/>
      </c>
      <c r="O9" s="4" t="inlineStr">
        <is>
          <t>HNB021</t>
        </is>
      </c>
      <c r="P9" s="4" t="inlineStr">
        <is>
          <t>HNB005</t>
        </is>
      </c>
    </row>
    <row r="10">
      <c r="A10" s="14" t="inlineStr">
        <is>
          <t>ODF-HNB021</t>
        </is>
      </c>
      <c r="B10" s="58" t="inlineStr">
        <is>
          <t>HNB062</t>
        </is>
      </c>
      <c r="C10" s="58" t="inlineStr">
        <is>
          <t>HNB062</t>
        </is>
      </c>
      <c r="D10" s="58" t="inlineStr">
        <is>
          <t>HNB062</t>
        </is>
      </c>
      <c r="E10" s="58" t="inlineStr">
        <is>
          <t>HNB062</t>
        </is>
      </c>
      <c r="F10" s="58" t="inlineStr">
        <is>
          <t>HNB062</t>
        </is>
      </c>
      <c r="G10" s="58" t="inlineStr">
        <is>
          <t>HNB062</t>
        </is>
      </c>
      <c r="H10" s="53" t="inlineStr">
        <is>
          <t>HNB013</t>
        </is>
      </c>
      <c r="I10" s="53" t="inlineStr">
        <is>
          <t>HNB013</t>
        </is>
      </c>
      <c r="J10" s="53" t="inlineStr">
        <is>
          <t>HNB013</t>
        </is>
      </c>
      <c r="K10" s="53" t="inlineStr">
        <is>
          <t>HNB013</t>
        </is>
      </c>
      <c r="L10" s="53" t="inlineStr">
        <is>
          <t>HNB013</t>
        </is>
      </c>
      <c r="M10" s="53" t="inlineStr">
        <is>
          <t>HNB013</t>
        </is>
      </c>
      <c r="N10" s="4">
        <f>12-COUNTBLANK(B10:M10)</f>
        <v/>
      </c>
      <c r="O10" s="4" t="inlineStr">
        <is>
          <t>HNB062</t>
        </is>
      </c>
      <c r="P10" s="4" t="inlineStr">
        <is>
          <t>HNB013</t>
        </is>
      </c>
    </row>
    <row r="11">
      <c r="A11" s="14" t="inlineStr">
        <is>
          <t>ODF-HNB013</t>
        </is>
      </c>
      <c r="B11" s="59" t="inlineStr">
        <is>
          <t>HNB021</t>
        </is>
      </c>
      <c r="C11" s="59" t="inlineStr">
        <is>
          <t>HNB021</t>
        </is>
      </c>
      <c r="D11" s="59" t="inlineStr">
        <is>
          <t>HNB021</t>
        </is>
      </c>
      <c r="E11" s="59" t="inlineStr">
        <is>
          <t>HNB021</t>
        </is>
      </c>
      <c r="F11" s="59" t="inlineStr">
        <is>
          <t>HNB021</t>
        </is>
      </c>
      <c r="G11" s="59" t="inlineStr">
        <is>
          <t>HNB021</t>
        </is>
      </c>
      <c r="H11" s="57" t="inlineStr">
        <is>
          <t>NBE22</t>
        </is>
      </c>
      <c r="I11" s="57" t="inlineStr">
        <is>
          <t>NBE22</t>
        </is>
      </c>
      <c r="J11" s="57" t="inlineStr">
        <is>
          <t>NBE22</t>
        </is>
      </c>
      <c r="K11" s="57" t="inlineStr">
        <is>
          <t>NBE22</t>
        </is>
      </c>
      <c r="L11" s="57" t="inlineStr">
        <is>
          <t>NBE22</t>
        </is>
      </c>
      <c r="M11" s="57" t="inlineStr">
        <is>
          <t>NBE22</t>
        </is>
      </c>
      <c r="N11" s="4">
        <f>12-COUNTBLANK(B11:M11)</f>
        <v/>
      </c>
      <c r="O11" s="4" t="inlineStr">
        <is>
          <t>HNB021</t>
        </is>
      </c>
      <c r="P11" s="4" t="inlineStr">
        <is>
          <t>NBE22</t>
        </is>
      </c>
    </row>
    <row r="12">
      <c r="A12" s="14" t="inlineStr">
        <is>
          <t>ODF-HNB011</t>
        </is>
      </c>
      <c r="B12" s="53" t="inlineStr">
        <is>
          <t>NBE12</t>
        </is>
      </c>
      <c r="C12" s="53" t="inlineStr">
        <is>
          <t>NBE12</t>
        </is>
      </c>
      <c r="D12" s="53" t="inlineStr">
        <is>
          <t>NBE12</t>
        </is>
      </c>
      <c r="E12" s="53" t="inlineStr">
        <is>
          <t>NBE12</t>
        </is>
      </c>
      <c r="F12" s="53" t="inlineStr">
        <is>
          <t>NBE12</t>
        </is>
      </c>
      <c r="G12" s="53" t="inlineStr">
        <is>
          <t>NBE12</t>
        </is>
      </c>
      <c r="H12" s="54" t="inlineStr">
        <is>
          <t>HNB056</t>
        </is>
      </c>
      <c r="I12" s="54" t="inlineStr">
        <is>
          <t>HNB056</t>
        </is>
      </c>
      <c r="J12" s="54" t="inlineStr">
        <is>
          <t>HNB056</t>
        </is>
      </c>
      <c r="K12" s="54" t="inlineStr">
        <is>
          <t>HNB056</t>
        </is>
      </c>
      <c r="L12" s="54" t="inlineStr">
        <is>
          <t>HNB056</t>
        </is>
      </c>
      <c r="M12" s="54" t="inlineStr">
        <is>
          <t>HNB056</t>
        </is>
      </c>
      <c r="N12" s="4">
        <f>12-COUNTBLANK(B12:M12)</f>
        <v/>
      </c>
      <c r="O12" s="4" t="inlineStr">
        <is>
          <t>NBE12</t>
        </is>
      </c>
      <c r="P12" s="4" t="inlineStr">
        <is>
          <t>HNB056</t>
        </is>
      </c>
    </row>
    <row r="13">
      <c r="A13" s="14" t="inlineStr">
        <is>
          <t>ODF-HNB056</t>
        </is>
      </c>
      <c r="B13" s="55" t="inlineStr">
        <is>
          <t>HNB011</t>
        </is>
      </c>
      <c r="C13" s="55" t="inlineStr">
        <is>
          <t>HNB011</t>
        </is>
      </c>
      <c r="D13" s="55" t="inlineStr">
        <is>
          <t>HNB011</t>
        </is>
      </c>
      <c r="E13" s="55" t="inlineStr">
        <is>
          <t>HNB011</t>
        </is>
      </c>
      <c r="F13" s="55" t="inlineStr">
        <is>
          <t>HNB011</t>
        </is>
      </c>
      <c r="G13" s="55" t="inlineStr">
        <is>
          <t>HNB011</t>
        </is>
      </c>
      <c r="H13" s="56" t="inlineStr">
        <is>
          <t>HNB071</t>
        </is>
      </c>
      <c r="I13" s="56" t="inlineStr">
        <is>
          <t>HNB071</t>
        </is>
      </c>
      <c r="J13" s="56" t="inlineStr">
        <is>
          <t>HNB071</t>
        </is>
      </c>
      <c r="K13" s="56" t="inlineStr">
        <is>
          <t>HNB071</t>
        </is>
      </c>
      <c r="L13" s="56" t="inlineStr">
        <is>
          <t>HNB071</t>
        </is>
      </c>
      <c r="M13" s="56" t="inlineStr">
        <is>
          <t>HNB071</t>
        </is>
      </c>
      <c r="N13" s="4">
        <f>12-COUNTBLANK(B13:M13)</f>
        <v/>
      </c>
      <c r="O13" s="4" t="inlineStr">
        <is>
          <t>HNB011</t>
        </is>
      </c>
      <c r="P13" s="4" t="inlineStr">
        <is>
          <t>HNB071</t>
        </is>
      </c>
    </row>
    <row r="14">
      <c r="A14" s="14" t="inlineStr">
        <is>
          <t>ODF-HNB071</t>
        </is>
      </c>
      <c r="B14" s="54" t="inlineStr">
        <is>
          <t>HNB056</t>
        </is>
      </c>
      <c r="C14" s="54" t="inlineStr">
        <is>
          <t>HNB056</t>
        </is>
      </c>
      <c r="D14" s="54" t="inlineStr">
        <is>
          <t>HNB056</t>
        </is>
      </c>
      <c r="E14" s="54" t="inlineStr">
        <is>
          <t>HNB056</t>
        </is>
      </c>
      <c r="F14" s="54" t="inlineStr">
        <is>
          <t>HNB056</t>
        </is>
      </c>
      <c r="G14" s="54" t="inlineStr">
        <is>
          <t>HNB056</t>
        </is>
      </c>
      <c r="H14" s="57" t="inlineStr">
        <is>
          <t>HNB073</t>
        </is>
      </c>
      <c r="I14" s="57" t="inlineStr">
        <is>
          <t>HNB073</t>
        </is>
      </c>
      <c r="J14" s="57" t="inlineStr">
        <is>
          <t>HNB073</t>
        </is>
      </c>
      <c r="K14" s="57" t="inlineStr">
        <is>
          <t>HNB073</t>
        </is>
      </c>
      <c r="L14" s="57" t="inlineStr">
        <is>
          <t>HNB073</t>
        </is>
      </c>
      <c r="M14" s="57" t="inlineStr">
        <is>
          <t>HNB073</t>
        </is>
      </c>
      <c r="N14" s="4">
        <f>12-COUNTBLANK(B14:M14)</f>
        <v/>
      </c>
      <c r="O14" s="4" t="inlineStr">
        <is>
          <t>HNB056</t>
        </is>
      </c>
      <c r="P14" s="4" t="inlineStr">
        <is>
          <t>HNB073</t>
        </is>
      </c>
    </row>
    <row r="15">
      <c r="A15" s="14" t="inlineStr">
        <is>
          <t>ODF-HNB073</t>
        </is>
      </c>
      <c r="B15" s="56" t="inlineStr">
        <is>
          <t>HNB071</t>
        </is>
      </c>
      <c r="C15" s="56" t="inlineStr">
        <is>
          <t>HNB071</t>
        </is>
      </c>
      <c r="D15" s="56" t="inlineStr">
        <is>
          <t>HNB071</t>
        </is>
      </c>
      <c r="E15" s="56" t="inlineStr">
        <is>
          <t>HNB071</t>
        </is>
      </c>
      <c r="F15" s="56" t="inlineStr">
        <is>
          <t>HNB071</t>
        </is>
      </c>
      <c r="G15" s="56" t="inlineStr">
        <is>
          <t>HNB071</t>
        </is>
      </c>
      <c r="H15" s="57" t="inlineStr">
        <is>
          <t>NBE22</t>
        </is>
      </c>
      <c r="I15" s="57" t="inlineStr">
        <is>
          <t>NBE22</t>
        </is>
      </c>
      <c r="J15" s="57" t="inlineStr">
        <is>
          <t>NBE22</t>
        </is>
      </c>
      <c r="K15" s="57" t="inlineStr">
        <is>
          <t>NBE22</t>
        </is>
      </c>
      <c r="L15" s="57" t="inlineStr">
        <is>
          <t>NBE22</t>
        </is>
      </c>
      <c r="M15" s="57" t="inlineStr">
        <is>
          <t>NBE22</t>
        </is>
      </c>
      <c r="N15" s="4">
        <f>12-COUNTBLANK(B15:M15)</f>
        <v/>
      </c>
      <c r="O15" s="4" t="inlineStr">
        <is>
          <t>HNB071</t>
        </is>
      </c>
      <c r="P15" s="4" t="inlineStr">
        <is>
          <t>NBE22</t>
        </is>
      </c>
    </row>
    <row r="16">
      <c r="A16" s="14" t="inlineStr">
        <is>
          <t>ODF-HNB055</t>
        </is>
      </c>
      <c r="B16" s="58" t="inlineStr">
        <is>
          <t>HNB065</t>
        </is>
      </c>
      <c r="C16" s="58" t="inlineStr">
        <is>
          <t>HNB065</t>
        </is>
      </c>
      <c r="D16" s="58" t="inlineStr">
        <is>
          <t>HNB065</t>
        </is>
      </c>
      <c r="E16" s="58" t="inlineStr">
        <is>
          <t>HNB065</t>
        </is>
      </c>
      <c r="F16" s="58" t="inlineStr">
        <is>
          <t>HNB065</t>
        </is>
      </c>
      <c r="G16" s="58" t="inlineStr">
        <is>
          <t>HNB065</t>
        </is>
      </c>
      <c r="H16" s="53" t="inlineStr">
        <is>
          <t>NBE12</t>
        </is>
      </c>
      <c r="I16" s="53" t="inlineStr">
        <is>
          <t>NBE12</t>
        </is>
      </c>
      <c r="J16" s="53" t="inlineStr">
        <is>
          <t>NBE12</t>
        </is>
      </c>
      <c r="K16" s="53" t="inlineStr">
        <is>
          <t>NBE12</t>
        </is>
      </c>
      <c r="L16" s="53" t="inlineStr">
        <is>
          <t>NBE12</t>
        </is>
      </c>
      <c r="M16" s="53" t="inlineStr">
        <is>
          <t>NBE12</t>
        </is>
      </c>
      <c r="N16" s="4">
        <f>12-COUNTBLANK(B16:M16)</f>
        <v/>
      </c>
      <c r="O16" s="4" t="inlineStr">
        <is>
          <t>HNB065</t>
        </is>
      </c>
      <c r="P16" s="4" t="inlineStr">
        <is>
          <t>NBE12</t>
        </is>
      </c>
    </row>
    <row r="17">
      <c r="A17" s="14" t="inlineStr">
        <is>
          <t>ODF-HNB065</t>
        </is>
      </c>
      <c r="B17" s="59" t="inlineStr">
        <is>
          <t>HNB055</t>
        </is>
      </c>
      <c r="C17" s="59" t="inlineStr">
        <is>
          <t>HNB055</t>
        </is>
      </c>
      <c r="D17" s="59" t="inlineStr">
        <is>
          <t>HNB055</t>
        </is>
      </c>
      <c r="E17" s="59" t="inlineStr">
        <is>
          <t>HNB055</t>
        </is>
      </c>
      <c r="F17" s="59" t="inlineStr">
        <is>
          <t>HNB055</t>
        </is>
      </c>
      <c r="G17" s="59" t="inlineStr">
        <is>
          <t>HNB055</t>
        </is>
      </c>
      <c r="H17" s="60" t="inlineStr">
        <is>
          <t>HNB094</t>
        </is>
      </c>
      <c r="I17" s="60" t="inlineStr">
        <is>
          <t>HNB094</t>
        </is>
      </c>
      <c r="J17" s="60" t="inlineStr">
        <is>
          <t>HNB094</t>
        </is>
      </c>
      <c r="K17" s="60" t="inlineStr">
        <is>
          <t>HNB094</t>
        </is>
      </c>
      <c r="L17" s="60" t="inlineStr">
        <is>
          <t>HNB094</t>
        </is>
      </c>
      <c r="M17" s="60" t="inlineStr">
        <is>
          <t>HNB094</t>
        </is>
      </c>
      <c r="N17" s="4">
        <f>12-COUNTBLANK(B17:M17)</f>
        <v/>
      </c>
      <c r="O17" s="4" t="inlineStr">
        <is>
          <t>HNB055</t>
        </is>
      </c>
      <c r="P17" s="4" t="inlineStr">
        <is>
          <t>HNB094</t>
        </is>
      </c>
    </row>
    <row r="18">
      <c r="A18" s="14" t="inlineStr">
        <is>
          <t>ODF-HNB094</t>
        </is>
      </c>
      <c r="B18" s="53" t="inlineStr">
        <is>
          <t>HNB018</t>
        </is>
      </c>
      <c r="C18" s="53" t="inlineStr">
        <is>
          <t>HNB018</t>
        </is>
      </c>
      <c r="D18" s="58" t="inlineStr">
        <is>
          <t>HNB065</t>
        </is>
      </c>
      <c r="E18" s="58" t="inlineStr">
        <is>
          <t>HNB065</t>
        </is>
      </c>
      <c r="F18" s="57" t="inlineStr">
        <is>
          <t>NBE22</t>
        </is>
      </c>
      <c r="G18" s="57" t="inlineStr">
        <is>
          <t>NBE22</t>
        </is>
      </c>
      <c r="H18" s="54" t="inlineStr">
        <is>
          <t>MX_LVL-03</t>
        </is>
      </c>
      <c r="I18" s="54" t="inlineStr">
        <is>
          <t>MX_LVL-03</t>
        </is>
      </c>
      <c r="J18" s="54" t="inlineStr">
        <is>
          <t>MX_LVL-03</t>
        </is>
      </c>
      <c r="K18" s="54" t="inlineStr">
        <is>
          <t>MX_LVL-03</t>
        </is>
      </c>
      <c r="L18" s="54" t="inlineStr">
        <is>
          <t>MX_LVL-03</t>
        </is>
      </c>
      <c r="M18" s="54" t="inlineStr">
        <is>
          <t>MX_LVL-03</t>
        </is>
      </c>
      <c r="N18" s="4">
        <f>12-COUNTBLANK(B18:M18)</f>
        <v/>
      </c>
      <c r="O18" s="4" t="inlineStr">
        <is>
          <t>HNB018</t>
        </is>
      </c>
      <c r="P18" s="4" t="inlineStr">
        <is>
          <t>HNB065</t>
        </is>
      </c>
    </row>
    <row r="19">
      <c r="A19" s="14" t="inlineStr">
        <is>
          <t>ODF-HNB018</t>
        </is>
      </c>
      <c r="B19" s="60" t="inlineStr">
        <is>
          <t>HNB094</t>
        </is>
      </c>
      <c r="C19" s="60" t="inlineStr">
        <is>
          <t>HNB094</t>
        </is>
      </c>
      <c r="D19" s="60" t="inlineStr">
        <is>
          <t>HNB094</t>
        </is>
      </c>
      <c r="E19" s="60" t="inlineStr">
        <is>
          <t>HNB094</t>
        </is>
      </c>
      <c r="F19" s="60" t="inlineStr">
        <is>
          <t>HNB094</t>
        </is>
      </c>
      <c r="G19" s="60" t="inlineStr">
        <is>
          <t>HNB094</t>
        </is>
      </c>
      <c r="H19" s="4" t="n"/>
      <c r="I19" s="4" t="n"/>
      <c r="J19" s="4" t="n"/>
      <c r="K19" s="4" t="n"/>
      <c r="L19" s="4" t="n"/>
      <c r="M19" s="4" t="n"/>
      <c r="N19" s="4">
        <f>6-COUNTBLANK(B19:G19)</f>
        <v/>
      </c>
      <c r="O19" s="4" t="inlineStr">
        <is>
          <t>HNB094</t>
        </is>
      </c>
      <c r="P19" s="4" t="inlineStr"/>
    </row>
    <row r="20">
      <c r="A20" s="14" t="inlineStr">
        <is>
          <t>ODF-HNB086</t>
        </is>
      </c>
      <c r="B20" s="53" t="inlineStr">
        <is>
          <t>NBE12</t>
        </is>
      </c>
      <c r="C20" s="53" t="inlineStr">
        <is>
          <t>NBE12</t>
        </is>
      </c>
      <c r="D20" s="53" t="inlineStr">
        <is>
          <t>NBE12</t>
        </is>
      </c>
      <c r="E20" s="53" t="inlineStr">
        <is>
          <t>NBE12</t>
        </is>
      </c>
      <c r="F20" s="53" t="inlineStr">
        <is>
          <t>NBE12</t>
        </is>
      </c>
      <c r="G20" s="53" t="inlineStr">
        <is>
          <t>NBE12</t>
        </is>
      </c>
      <c r="H20" s="55" t="inlineStr">
        <is>
          <t>HNB024</t>
        </is>
      </c>
      <c r="I20" s="55" t="inlineStr">
        <is>
          <t>HNB024</t>
        </is>
      </c>
      <c r="J20" s="55" t="inlineStr">
        <is>
          <t>HNB024</t>
        </is>
      </c>
      <c r="K20" s="55" t="inlineStr">
        <is>
          <t>HNB024</t>
        </is>
      </c>
      <c r="L20" s="55" t="inlineStr">
        <is>
          <t>HNB024</t>
        </is>
      </c>
      <c r="M20" s="55" t="inlineStr">
        <is>
          <t>HNB024</t>
        </is>
      </c>
      <c r="N20" s="4">
        <f>12-COUNTBLANK(B20:M20)</f>
        <v/>
      </c>
      <c r="O20" s="4" t="inlineStr">
        <is>
          <t>NBE12</t>
        </is>
      </c>
      <c r="P20" s="4" t="inlineStr">
        <is>
          <t>HNB024</t>
        </is>
      </c>
    </row>
    <row r="21">
      <c r="A21" s="14" t="inlineStr">
        <is>
          <t>ODF-HNB024</t>
        </is>
      </c>
      <c r="B21" s="56" t="inlineStr">
        <is>
          <t>HNB086</t>
        </is>
      </c>
      <c r="C21" s="56" t="inlineStr">
        <is>
          <t>HNB086</t>
        </is>
      </c>
      <c r="D21" s="56" t="inlineStr">
        <is>
          <t>HNB086</t>
        </is>
      </c>
      <c r="E21" s="56" t="inlineStr">
        <is>
          <t>HNB086</t>
        </is>
      </c>
      <c r="F21" s="56" t="inlineStr">
        <is>
          <t>HNB086</t>
        </is>
      </c>
      <c r="G21" s="56" t="inlineStr">
        <is>
          <t>HNB086</t>
        </is>
      </c>
      <c r="H21" s="57" t="inlineStr">
        <is>
          <t>HNB027</t>
        </is>
      </c>
      <c r="I21" s="57" t="inlineStr">
        <is>
          <t>HNB027</t>
        </is>
      </c>
      <c r="J21" s="57" t="inlineStr">
        <is>
          <t>HNB027</t>
        </is>
      </c>
      <c r="K21" s="57" t="inlineStr">
        <is>
          <t>HNB027</t>
        </is>
      </c>
      <c r="L21" s="57" t="inlineStr">
        <is>
          <t>HNB027</t>
        </is>
      </c>
      <c r="M21" s="57" t="inlineStr">
        <is>
          <t>HNB027</t>
        </is>
      </c>
      <c r="N21" s="4">
        <f>12-COUNTBLANK(B21:M21)</f>
        <v/>
      </c>
      <c r="O21" s="4" t="inlineStr">
        <is>
          <t>HNB086</t>
        </is>
      </c>
      <c r="P21" s="4" t="inlineStr">
        <is>
          <t>HNB027</t>
        </is>
      </c>
    </row>
    <row r="22">
      <c r="A22" s="14" t="inlineStr">
        <is>
          <t>ODF-HNB027</t>
        </is>
      </c>
      <c r="B22" s="55" t="inlineStr">
        <is>
          <t>HNB024</t>
        </is>
      </c>
      <c r="C22" s="55" t="inlineStr">
        <is>
          <t>HNB024</t>
        </is>
      </c>
      <c r="D22" s="55" t="inlineStr">
        <is>
          <t>HNB024</t>
        </is>
      </c>
      <c r="E22" s="55" t="inlineStr">
        <is>
          <t>HNB024</t>
        </is>
      </c>
      <c r="F22" s="55" t="inlineStr">
        <is>
          <t>HNB024</t>
        </is>
      </c>
      <c r="G22" s="55" t="inlineStr">
        <is>
          <t>HNB024</t>
        </is>
      </c>
      <c r="H22" s="58" t="inlineStr">
        <is>
          <t>HNB031</t>
        </is>
      </c>
      <c r="I22" s="58" t="inlineStr">
        <is>
          <t>HNB031</t>
        </is>
      </c>
      <c r="J22" s="58" t="inlineStr">
        <is>
          <t>HNB031</t>
        </is>
      </c>
      <c r="K22" s="58" t="inlineStr">
        <is>
          <t>HNB031</t>
        </is>
      </c>
      <c r="L22" s="58" t="inlineStr">
        <is>
          <t>HNB031</t>
        </is>
      </c>
      <c r="M22" s="58" t="inlineStr">
        <is>
          <t>HNB031</t>
        </is>
      </c>
      <c r="N22" s="4">
        <f>12-COUNTBLANK(B22:M22)</f>
        <v/>
      </c>
      <c r="O22" s="4" t="inlineStr">
        <is>
          <t>HNB024</t>
        </is>
      </c>
      <c r="P22" s="4" t="inlineStr">
        <is>
          <t>HNB031</t>
        </is>
      </c>
    </row>
    <row r="23">
      <c r="A23" s="14" t="inlineStr">
        <is>
          <t>ODF-HNB031</t>
        </is>
      </c>
      <c r="B23" s="57" t="inlineStr">
        <is>
          <t>HNB027</t>
        </is>
      </c>
      <c r="C23" s="57" t="inlineStr">
        <is>
          <t>HNB027</t>
        </is>
      </c>
      <c r="D23" s="57" t="inlineStr">
        <is>
          <t>HNB027</t>
        </is>
      </c>
      <c r="E23" s="57" t="inlineStr">
        <is>
          <t>HNB027</t>
        </is>
      </c>
      <c r="F23" s="57" t="inlineStr">
        <is>
          <t>HNB027</t>
        </is>
      </c>
      <c r="G23" s="57" t="inlineStr">
        <is>
          <t>HNB027</t>
        </is>
      </c>
      <c r="H23" s="59" t="inlineStr">
        <is>
          <t>HNB020</t>
        </is>
      </c>
      <c r="I23" s="59" t="inlineStr">
        <is>
          <t>HNB020</t>
        </is>
      </c>
      <c r="J23" s="59" t="inlineStr">
        <is>
          <t>HNB020</t>
        </is>
      </c>
      <c r="K23" s="59" t="inlineStr">
        <is>
          <t>HNB020</t>
        </is>
      </c>
      <c r="L23" s="59" t="inlineStr">
        <is>
          <t>HNB020</t>
        </is>
      </c>
      <c r="M23" s="59" t="inlineStr">
        <is>
          <t>HNB020</t>
        </is>
      </c>
      <c r="N23" s="4">
        <f>12-COUNTBLANK(B23:M23)</f>
        <v/>
      </c>
      <c r="O23" s="4" t="inlineStr">
        <is>
          <t>HNB027</t>
        </is>
      </c>
      <c r="P23" s="4" t="inlineStr">
        <is>
          <t>HNB020</t>
        </is>
      </c>
    </row>
    <row r="24">
      <c r="A24" s="14" t="inlineStr">
        <is>
          <t>ODF-HNB020</t>
        </is>
      </c>
      <c r="B24" s="57" t="inlineStr">
        <is>
          <t>HNB027</t>
        </is>
      </c>
      <c r="C24" s="57" t="inlineStr">
        <is>
          <t>HNB027</t>
        </is>
      </c>
      <c r="D24" s="57" t="inlineStr">
        <is>
          <t>HNB027</t>
        </is>
      </c>
      <c r="E24" s="57" t="inlineStr">
        <is>
          <t>HNB027</t>
        </is>
      </c>
      <c r="F24" s="57" t="inlineStr">
        <is>
          <t>HNB027</t>
        </is>
      </c>
      <c r="G24" s="57" t="inlineStr">
        <is>
          <t>HNB027</t>
        </is>
      </c>
      <c r="H24" s="59" t="inlineStr">
        <is>
          <t>HNB020</t>
        </is>
      </c>
      <c r="I24" s="59" t="inlineStr">
        <is>
          <t>HNB020</t>
        </is>
      </c>
      <c r="J24" s="59" t="inlineStr">
        <is>
          <t>HNB020</t>
        </is>
      </c>
      <c r="K24" s="59" t="inlineStr">
        <is>
          <t>HNB020</t>
        </is>
      </c>
      <c r="L24" s="59" t="inlineStr">
        <is>
          <t>HNB020</t>
        </is>
      </c>
      <c r="M24" s="59" t="inlineStr">
        <is>
          <t>HNB020</t>
        </is>
      </c>
      <c r="N24" s="4">
        <f>12-COUNTBLANK(B24:M24)</f>
        <v/>
      </c>
      <c r="O24" s="4" t="inlineStr">
        <is>
          <t>HNB027</t>
        </is>
      </c>
      <c r="P24" s="4" t="inlineStr">
        <is>
          <t>HNB020</t>
        </is>
      </c>
    </row>
    <row r="25">
      <c r="A25" s="14" t="inlineStr">
        <is>
          <t>ODF-HNB075</t>
        </is>
      </c>
      <c r="B25" s="60" t="inlineStr">
        <is>
          <t>HNB014</t>
        </is>
      </c>
      <c r="C25" s="60" t="inlineStr">
        <is>
          <t>HNB014</t>
        </is>
      </c>
      <c r="D25" s="60" t="inlineStr">
        <is>
          <t>HNB014</t>
        </is>
      </c>
      <c r="E25" s="60" t="inlineStr">
        <is>
          <t>HNB014</t>
        </is>
      </c>
      <c r="F25" s="60" t="inlineStr">
        <is>
          <t>HNB014</t>
        </is>
      </c>
      <c r="G25" s="60" t="inlineStr">
        <is>
          <t>HNB014</t>
        </is>
      </c>
      <c r="H25" s="57" t="inlineStr">
        <is>
          <t>NBE22</t>
        </is>
      </c>
      <c r="I25" s="57" t="inlineStr">
        <is>
          <t>NBE22</t>
        </is>
      </c>
      <c r="J25" s="57" t="inlineStr">
        <is>
          <t>NBE22</t>
        </is>
      </c>
      <c r="K25" s="57" t="inlineStr">
        <is>
          <t>NBE22</t>
        </is>
      </c>
      <c r="L25" s="57" t="inlineStr">
        <is>
          <t>NBE22</t>
        </is>
      </c>
      <c r="M25" s="57" t="inlineStr">
        <is>
          <t>NBE22</t>
        </is>
      </c>
      <c r="N25" s="4">
        <f>12-COUNTBLANK(B25:M25)</f>
        <v/>
      </c>
      <c r="O25" s="4" t="inlineStr">
        <is>
          <t>HNB014</t>
        </is>
      </c>
      <c r="P25" s="4" t="inlineStr">
        <is>
          <t>NBE22</t>
        </is>
      </c>
    </row>
    <row r="26">
      <c r="A26" s="14" t="inlineStr">
        <is>
          <t>ODF-HNB014</t>
        </is>
      </c>
      <c r="B26" s="61" t="inlineStr"/>
      <c r="C26" s="61" t="inlineStr"/>
      <c r="D26" s="61" t="inlineStr"/>
      <c r="E26" s="61" t="inlineStr"/>
      <c r="F26" s="61" t="inlineStr"/>
      <c r="G26" s="61" t="inlineStr"/>
      <c r="H26" s="61" t="inlineStr"/>
      <c r="I26" s="61" t="inlineStr"/>
      <c r="J26" s="61" t="inlineStr"/>
      <c r="K26" s="61" t="inlineStr"/>
      <c r="L26" s="61" t="inlineStr"/>
      <c r="M26" s="61" t="inlineStr"/>
      <c r="N26" s="4">
        <f>12-COUNTBLANK(B26:M26)</f>
        <v/>
      </c>
      <c r="O26" s="4" t="inlineStr"/>
      <c r="P26" s="4" t="inlineStr"/>
    </row>
    <row r="27">
      <c r="A27" s="14" t="inlineStr">
        <is>
          <t>ODF-HNB012</t>
        </is>
      </c>
      <c r="B27" s="57" t="inlineStr">
        <is>
          <t>NBE22</t>
        </is>
      </c>
      <c r="C27" s="57" t="inlineStr">
        <is>
          <t>NBE22</t>
        </is>
      </c>
      <c r="D27" s="57" t="inlineStr">
        <is>
          <t>NBE22</t>
        </is>
      </c>
      <c r="E27" s="57" t="inlineStr">
        <is>
          <t>NBE22</t>
        </is>
      </c>
      <c r="F27" s="53" t="inlineStr">
        <is>
          <t>MX_Phạm Hùng</t>
        </is>
      </c>
      <c r="G27" s="53" t="inlineStr">
        <is>
          <t>MX_Phạm Hùng</t>
        </is>
      </c>
      <c r="H27" s="53" t="inlineStr">
        <is>
          <t>MX_Phạm Hùng</t>
        </is>
      </c>
      <c r="I27" s="53" t="inlineStr">
        <is>
          <t>MX_Phạm Hùng</t>
        </is>
      </c>
      <c r="J27" s="53" t="inlineStr">
        <is>
          <t>MX_Phạm Hùng</t>
        </is>
      </c>
      <c r="K27" s="53" t="inlineStr">
        <is>
          <t>MX_Phạm Hùng</t>
        </is>
      </c>
      <c r="L27" s="53" t="inlineStr">
        <is>
          <t>MX_Phạm Hùng</t>
        </is>
      </c>
      <c r="M27" s="53" t="inlineStr">
        <is>
          <t>MX_Phạm Hùng</t>
        </is>
      </c>
      <c r="N27" s="4">
        <f>12-COUNTBLANK(B27:M27)</f>
        <v/>
      </c>
      <c r="O27" s="4" t="inlineStr">
        <is>
          <t>NBE22</t>
        </is>
      </c>
      <c r="P27" s="4" t="inlineStr">
        <is>
          <t>MX_Phạm Hùng</t>
        </is>
      </c>
    </row>
    <row r="28">
      <c r="A28" s="14" t="inlineStr">
        <is>
          <t>ODF-HNB113</t>
        </is>
      </c>
      <c r="B28" s="54" t="inlineStr">
        <is>
          <t>HNB012</t>
        </is>
      </c>
      <c r="C28" s="54" t="inlineStr">
        <is>
          <t>HNB012</t>
        </is>
      </c>
      <c r="D28" s="54" t="inlineStr">
        <is>
          <t>HNB012</t>
        </is>
      </c>
      <c r="E28" s="54" t="inlineStr">
        <is>
          <t>HNB012</t>
        </is>
      </c>
      <c r="F28" s="54" t="inlineStr">
        <is>
          <t>HNB012</t>
        </is>
      </c>
      <c r="G28" s="54" t="inlineStr">
        <is>
          <t>HNB012</t>
        </is>
      </c>
      <c r="H28" s="4" t="n"/>
      <c r="I28" s="4" t="n"/>
      <c r="J28" s="4" t="n"/>
      <c r="K28" s="4" t="n"/>
      <c r="L28" s="4" t="n"/>
      <c r="M28" s="4" t="n"/>
      <c r="N28" s="4">
        <f>6-COUNTBLANK(B28:G28)</f>
        <v/>
      </c>
      <c r="O28" s="4" t="inlineStr">
        <is>
          <t>HNB012</t>
        </is>
      </c>
      <c r="P28" s="4" t="inlineStr"/>
    </row>
    <row r="29">
      <c r="A29" s="14" t="inlineStr">
        <is>
          <t>ODF-HNB054</t>
        </is>
      </c>
      <c r="B29" s="61" t="inlineStr"/>
      <c r="C29" s="61" t="inlineStr"/>
      <c r="D29" s="61" t="inlineStr"/>
      <c r="E29" s="61" t="inlineStr"/>
      <c r="F29" s="61" t="inlineStr"/>
      <c r="G29" s="61" t="inlineStr"/>
      <c r="H29" s="61" t="inlineStr"/>
      <c r="I29" s="61" t="inlineStr"/>
      <c r="J29" s="61" t="inlineStr"/>
      <c r="K29" s="61" t="inlineStr"/>
      <c r="L29" s="61" t="inlineStr"/>
      <c r="M29" s="61" t="inlineStr"/>
      <c r="N29" s="4">
        <f>12-COUNTBLANK(B29:M29)</f>
        <v/>
      </c>
      <c r="O29" s="4" t="inlineStr"/>
      <c r="P29" s="4" t="inlineStr"/>
    </row>
    <row r="30">
      <c r="A30" s="14" t="inlineStr">
        <is>
          <t>ODF-HNB006</t>
        </is>
      </c>
      <c r="B30" s="61" t="inlineStr"/>
      <c r="C30" s="61" t="inlineStr"/>
      <c r="D30" s="61" t="inlineStr"/>
      <c r="E30" s="61" t="inlineStr"/>
      <c r="F30" s="61" t="inlineStr"/>
      <c r="G30" s="61" t="inlineStr"/>
      <c r="H30" s="61" t="inlineStr"/>
      <c r="I30" s="61" t="inlineStr"/>
      <c r="J30" s="61" t="inlineStr"/>
      <c r="K30" s="61" t="inlineStr"/>
      <c r="L30" s="61" t="inlineStr"/>
      <c r="M30" s="61" t="inlineStr"/>
      <c r="N30" s="4">
        <f>12-COUNTBLANK(B30:M30)</f>
        <v/>
      </c>
      <c r="O30" s="4" t="inlineStr"/>
      <c r="P30" s="4" t="inlineStr"/>
    </row>
    <row r="31">
      <c r="A31" s="14" t="inlineStr">
        <is>
          <t>ODF-HNB091</t>
        </is>
      </c>
      <c r="B31" s="61" t="inlineStr"/>
      <c r="C31" s="61" t="inlineStr"/>
      <c r="D31" s="61" t="inlineStr"/>
      <c r="E31" s="61" t="inlineStr"/>
      <c r="F31" s="61" t="inlineStr"/>
      <c r="G31" s="61" t="inlineStr"/>
      <c r="H31" s="61" t="inlineStr"/>
      <c r="I31" s="61" t="inlineStr"/>
      <c r="J31" s="61" t="inlineStr"/>
      <c r="K31" s="61" t="inlineStr"/>
      <c r="L31" s="61" t="inlineStr"/>
      <c r="M31" s="61" t="inlineStr"/>
      <c r="N31" s="4">
        <f>12-COUNTBLANK(B31:M31)</f>
        <v/>
      </c>
      <c r="O31" s="4" t="inlineStr"/>
      <c r="P31" s="4" t="inlineStr"/>
    </row>
    <row r="32">
      <c r="A32" s="14" t="inlineStr">
        <is>
          <t>ODF-HNB048</t>
        </is>
      </c>
      <c r="B32" s="61" t="inlineStr"/>
      <c r="C32" s="61" t="inlineStr"/>
      <c r="D32" s="61" t="inlineStr"/>
      <c r="E32" s="61" t="inlineStr"/>
      <c r="F32" s="61" t="inlineStr"/>
      <c r="G32" s="61" t="inlineStr"/>
      <c r="H32" s="61" t="inlineStr"/>
      <c r="I32" s="61" t="inlineStr"/>
      <c r="J32" s="61" t="inlineStr"/>
      <c r="K32" s="61" t="inlineStr"/>
      <c r="L32" s="61" t="inlineStr"/>
      <c r="M32" s="61" t="inlineStr"/>
      <c r="N32" s="4">
        <f>12-COUNTBLANK(B32:M32)</f>
        <v/>
      </c>
      <c r="O32" s="4" t="inlineStr"/>
      <c r="P32" s="4" t="inlineStr"/>
    </row>
    <row r="33">
      <c r="A33" s="14" t="inlineStr">
        <is>
          <t>ODF-HNB060</t>
        </is>
      </c>
      <c r="B33" s="61" t="inlineStr"/>
      <c r="C33" s="61" t="inlineStr"/>
      <c r="D33" s="61" t="inlineStr"/>
      <c r="E33" s="61" t="inlineStr"/>
      <c r="F33" s="61" t="inlineStr"/>
      <c r="G33" s="61" t="inlineStr"/>
      <c r="H33" s="61" t="inlineStr"/>
      <c r="I33" s="61" t="inlineStr"/>
      <c r="J33" s="61" t="inlineStr"/>
      <c r="K33" s="61" t="inlineStr"/>
      <c r="L33" s="61" t="inlineStr"/>
      <c r="M33" s="61" t="inlineStr"/>
      <c r="N33" s="4">
        <f>12-COUNTBLANK(B33:M33)</f>
        <v/>
      </c>
      <c r="O33" s="4" t="inlineStr"/>
      <c r="P33" s="4" t="inlineStr"/>
    </row>
    <row r="34">
      <c r="A34" s="14" t="inlineStr">
        <is>
          <t>ODF-HNB059</t>
        </is>
      </c>
      <c r="B34" s="61" t="inlineStr"/>
      <c r="C34" s="61" t="inlineStr"/>
      <c r="D34" s="61" t="inlineStr"/>
      <c r="E34" s="61" t="inlineStr"/>
      <c r="F34" s="61" t="inlineStr"/>
      <c r="G34" s="61" t="inlineStr"/>
      <c r="H34" s="61" t="inlineStr"/>
      <c r="I34" s="61" t="inlineStr"/>
      <c r="J34" s="61" t="inlineStr"/>
      <c r="K34" s="61" t="inlineStr"/>
      <c r="L34" s="61" t="inlineStr"/>
      <c r="M34" s="61" t="inlineStr"/>
      <c r="N34" s="4">
        <f>12-COUNTBLANK(B34:M34)</f>
        <v/>
      </c>
      <c r="O34" s="4" t="inlineStr"/>
      <c r="P34" s="4" t="inlineStr"/>
    </row>
  </sheetData>
  <pageMargins left="0.75" right="0.75" top="1" bottom="1" header="0.5" footer="0.5"/>
  <pageSetup orientation="landscape" fitToHeight="0" fitToWidth="1"/>
</worksheet>
</file>

<file path=xl/worksheets/sheet18.xml><?xml version="1.0" encoding="utf-8"?>
<worksheet xmlns="http://schemas.openxmlformats.org/spreadsheetml/2006/main">
  <sheetPr>
    <outlinePr summaryBelow="1" summaryRight="1"/>
    <pageSetUpPr fitToPage="1"/>
  </sheetPr>
  <dimension ref="A1:G351"/>
  <sheetViews>
    <sheetView showGridLines="0" workbookViewId="0">
      <pane ySplit="3" topLeftCell="A4" activePane="bottomLeft" state="frozen"/>
      <selection pane="bottomLeft" activeCell="A1" sqref="A1"/>
    </sheetView>
  </sheetViews>
  <sheetFormatPr baseColWidth="8" defaultRowHeight="15"/>
  <cols>
    <col width="10" customWidth="1" min="1" max="1"/>
    <col width="7" customWidth="1" min="2" max="2"/>
    <col width="8" customWidth="1" min="3" max="3"/>
    <col width="14" customWidth="1" min="4" max="4"/>
    <col width="10" customWidth="1" min="5" max="5"/>
    <col width="12" customWidth="1" min="6" max="6"/>
    <col width="80" customWidth="1" min="7" max="7"/>
  </cols>
  <sheetData>
    <row r="1">
      <c r="A1" s="1" t="inlineStr">
        <is>
          <t>ODF CSG — chi tiết từng cổng (trích nguyên văn ghi chú)</t>
        </is>
      </c>
    </row>
    <row r="3" ht="32" customHeight="1">
      <c r="A3" s="3" t="inlineStr">
        <is>
          <t>Nút</t>
        </is>
      </c>
      <c r="B3" s="3" t="inlineStr">
        <is>
          <t>Cổng</t>
        </is>
      </c>
      <c r="C3" s="3" t="inlineStr">
        <is>
          <t>Nhãn E</t>
        </is>
      </c>
      <c r="D3" s="3" t="inlineStr">
        <is>
          <t>Hướng đến</t>
        </is>
      </c>
      <c r="E3" s="3" t="inlineStr">
        <is>
          <t>Số FO (ghi chú)</t>
        </is>
      </c>
      <c r="F3" s="3" t="inlineStr">
        <is>
          <t>Chỉ số mét (cs)</t>
        </is>
      </c>
      <c r="G3" s="3" t="inlineStr">
        <is>
          <t>Ghi chú gốc</t>
        </is>
      </c>
    </row>
    <row r="4">
      <c r="A4" t="inlineStr">
        <is>
          <t>HNB066</t>
        </is>
      </c>
      <c r="B4" t="n">
        <v>1</v>
      </c>
      <c r="C4" t="inlineStr">
        <is>
          <t>a</t>
        </is>
      </c>
      <c r="D4" t="inlineStr">
        <is>
          <t>NBE12</t>
        </is>
      </c>
      <c r="E4" t="inlineStr">
        <is>
          <t>8</t>
        </is>
      </c>
      <c r="F4" t="inlineStr">
        <is>
          <t>1814</t>
        </is>
      </c>
      <c r="G4" t="inlineStr">
        <is>
          <t>To AGG-NBE12 / (MX_HTP-03) / POSTEF 8FO 2016  / cs 1814 / cáp tròn</t>
        </is>
      </c>
    </row>
    <row r="5">
      <c r="A5" t="inlineStr">
        <is>
          <t>HNB066</t>
        </is>
      </c>
      <c r="B5" t="n">
        <v>2</v>
      </c>
      <c r="C5" t="inlineStr">
        <is>
          <t>a</t>
        </is>
      </c>
      <c r="D5" t="inlineStr">
        <is>
          <t>NBE12</t>
        </is>
      </c>
      <c r="E5" t="inlineStr">
        <is>
          <t>8</t>
        </is>
      </c>
      <c r="F5" t="inlineStr">
        <is>
          <t>1814</t>
        </is>
      </c>
      <c r="G5" t="inlineStr">
        <is>
          <t>To AGG-NBE12 / (MX_HTP-03) / POSTEF 8FO 2016  / cs 1814 / cáp tròn</t>
        </is>
      </c>
    </row>
    <row r="6">
      <c r="A6" t="inlineStr">
        <is>
          <t>HNB066</t>
        </is>
      </c>
      <c r="B6" t="n">
        <v>3</v>
      </c>
      <c r="C6" t="inlineStr"/>
      <c r="D6" t="inlineStr">
        <is>
          <t>NBE12</t>
        </is>
      </c>
      <c r="E6" t="inlineStr">
        <is>
          <t>8</t>
        </is>
      </c>
      <c r="F6" t="inlineStr">
        <is>
          <t>1814</t>
        </is>
      </c>
      <c r="G6" t="inlineStr">
        <is>
          <t>To AGG-NBE12 / (MX_HTP-03) / POSTEF 8FO 2016  / cs 1814 / cáp tròn</t>
        </is>
      </c>
    </row>
    <row r="7">
      <c r="A7" t="inlineStr">
        <is>
          <t>HNB066</t>
        </is>
      </c>
      <c r="B7" t="n">
        <v>4</v>
      </c>
      <c r="C7" t="inlineStr"/>
      <c r="D7" t="inlineStr">
        <is>
          <t>NBE12</t>
        </is>
      </c>
      <c r="E7" t="inlineStr">
        <is>
          <t>8</t>
        </is>
      </c>
      <c r="F7" t="inlineStr">
        <is>
          <t>1814</t>
        </is>
      </c>
      <c r="G7" t="inlineStr">
        <is>
          <t>To AGG-NBE12 / (MX_HTP-03) / POSTEF 8FO 2016  / cs 1814 / cáp tròn</t>
        </is>
      </c>
    </row>
    <row r="8">
      <c r="A8" t="inlineStr">
        <is>
          <t>HNB066</t>
        </is>
      </c>
      <c r="B8" t="n">
        <v>5</v>
      </c>
      <c r="C8" t="inlineStr"/>
      <c r="D8" t="inlineStr">
        <is>
          <t>NBE12</t>
        </is>
      </c>
      <c r="E8" t="inlineStr">
        <is>
          <t>8</t>
        </is>
      </c>
      <c r="F8" t="inlineStr">
        <is>
          <t>1814</t>
        </is>
      </c>
      <c r="G8" t="inlineStr">
        <is>
          <t>To AGG-NBE12 / (MX_HTP-03) / POSTEF 8FO 2016  / cs 1814 / cáp tròn</t>
        </is>
      </c>
    </row>
    <row r="9">
      <c r="A9" t="inlineStr">
        <is>
          <t>HNB066</t>
        </is>
      </c>
      <c r="B9" t="n">
        <v>6</v>
      </c>
      <c r="C9" t="inlineStr"/>
      <c r="D9" t="inlineStr">
        <is>
          <t>NBE12</t>
        </is>
      </c>
      <c r="E9" t="inlineStr">
        <is>
          <t>8</t>
        </is>
      </c>
      <c r="F9" t="inlineStr">
        <is>
          <t>1814</t>
        </is>
      </c>
      <c r="G9" t="inlineStr">
        <is>
          <t>To AGG-NBE12 / (MX_HTP-03) / POSTEF 8FO 2016  / cs 1814 / cáp tròn</t>
        </is>
      </c>
    </row>
    <row r="10">
      <c r="A10" t="inlineStr">
        <is>
          <t>HNB066</t>
        </is>
      </c>
      <c r="B10" t="n">
        <v>7</v>
      </c>
      <c r="C10" t="inlineStr"/>
      <c r="D10" t="inlineStr">
        <is>
          <t>HNB016</t>
        </is>
      </c>
      <c r="E10" t="inlineStr">
        <is>
          <t>8</t>
        </is>
      </c>
      <c r="F10" t="inlineStr">
        <is>
          <t>5109</t>
        </is>
      </c>
      <c r="G10" t="inlineStr">
        <is>
          <t>To HNB016 / VDF / 8FO  / cs 5109 / cáp treo</t>
        </is>
      </c>
    </row>
    <row r="11">
      <c r="A11" t="inlineStr">
        <is>
          <t>HNB066</t>
        </is>
      </c>
      <c r="B11" t="n">
        <v>8</v>
      </c>
      <c r="C11" t="inlineStr"/>
      <c r="D11" t="inlineStr">
        <is>
          <t>HNB016</t>
        </is>
      </c>
      <c r="E11" t="inlineStr">
        <is>
          <t>8</t>
        </is>
      </c>
      <c r="F11" t="inlineStr">
        <is>
          <t>5109</t>
        </is>
      </c>
      <c r="G11" t="inlineStr">
        <is>
          <t>To HNB016 / VDF / 8FO  / cs 5109 / cáp treo</t>
        </is>
      </c>
    </row>
    <row r="12">
      <c r="A12" t="inlineStr">
        <is>
          <t>HNB066</t>
        </is>
      </c>
      <c r="B12" t="n">
        <v>9</v>
      </c>
      <c r="C12" t="inlineStr"/>
      <c r="D12" t="inlineStr">
        <is>
          <t>HNB016</t>
        </is>
      </c>
      <c r="E12" t="inlineStr">
        <is>
          <t>8</t>
        </is>
      </c>
      <c r="F12" t="inlineStr">
        <is>
          <t>5109</t>
        </is>
      </c>
      <c r="G12" t="inlineStr">
        <is>
          <t>To HNB016 / VDF / 8FO  / cs 5109 / cáp treo</t>
        </is>
      </c>
    </row>
    <row r="13">
      <c r="A13" t="inlineStr">
        <is>
          <t>HNB066</t>
        </is>
      </c>
      <c r="B13" t="n">
        <v>10</v>
      </c>
      <c r="C13" t="inlineStr"/>
      <c r="D13" t="inlineStr">
        <is>
          <t>HNB016</t>
        </is>
      </c>
      <c r="E13" t="inlineStr">
        <is>
          <t>8</t>
        </is>
      </c>
      <c r="F13" t="inlineStr">
        <is>
          <t>5109</t>
        </is>
      </c>
      <c r="G13" t="inlineStr">
        <is>
          <t>To HNB016 / VDF / 8FO  / cs 5109 / cáp treo</t>
        </is>
      </c>
    </row>
    <row r="14">
      <c r="A14" t="inlineStr">
        <is>
          <t>HNB066</t>
        </is>
      </c>
      <c r="B14" t="n">
        <v>11</v>
      </c>
      <c r="C14" t="inlineStr"/>
      <c r="D14" t="inlineStr">
        <is>
          <t>HNB016</t>
        </is>
      </c>
      <c r="E14" t="inlineStr">
        <is>
          <t>8</t>
        </is>
      </c>
      <c r="F14" t="inlineStr">
        <is>
          <t>5109</t>
        </is>
      </c>
      <c r="G14" t="inlineStr">
        <is>
          <t>To HNB016 / VDF / 8FO  / cs 5109 / cáp treo</t>
        </is>
      </c>
    </row>
    <row r="15">
      <c r="A15" t="inlineStr">
        <is>
          <t>HNB066</t>
        </is>
      </c>
      <c r="B15" t="n">
        <v>12</v>
      </c>
      <c r="C15" t="inlineStr"/>
      <c r="D15" t="inlineStr">
        <is>
          <t>HNB016</t>
        </is>
      </c>
      <c r="E15" t="inlineStr">
        <is>
          <t>8</t>
        </is>
      </c>
      <c r="F15" t="inlineStr">
        <is>
          <t>5109</t>
        </is>
      </c>
      <c r="G15" t="inlineStr">
        <is>
          <t>To HNB016 / VDF / 8FO  / cs 5109 / cáp treo</t>
        </is>
      </c>
    </row>
    <row r="16">
      <c r="A16" t="inlineStr">
        <is>
          <t>HNB016</t>
        </is>
      </c>
      <c r="B16" t="n">
        <v>1</v>
      </c>
      <c r="C16" t="inlineStr"/>
      <c r="D16" t="inlineStr">
        <is>
          <t>HNB066</t>
        </is>
      </c>
      <c r="E16" t="inlineStr">
        <is>
          <t>12</t>
        </is>
      </c>
      <c r="F16" t="inlineStr">
        <is>
          <t>2958</t>
        </is>
      </c>
      <c r="G16" t="inlineStr">
        <is>
          <t>To HNB066 / POSTEF-2017 / 12FO  / cs 2958 / cáp treo</t>
        </is>
      </c>
    </row>
    <row r="17">
      <c r="A17" t="inlineStr">
        <is>
          <t>HNB016</t>
        </is>
      </c>
      <c r="B17" t="n">
        <v>2</v>
      </c>
      <c r="C17" t="inlineStr"/>
      <c r="D17" t="inlineStr">
        <is>
          <t>HNB066</t>
        </is>
      </c>
      <c r="E17" t="inlineStr">
        <is>
          <t>12</t>
        </is>
      </c>
      <c r="F17" t="inlineStr">
        <is>
          <t>2958</t>
        </is>
      </c>
      <c r="G17" t="inlineStr">
        <is>
          <t>To HNB066 / POSTEF-2017 / 12FO  / cs 2958 / cáp treo</t>
        </is>
      </c>
    </row>
    <row r="18">
      <c r="A18" t="inlineStr">
        <is>
          <t>HNB016</t>
        </is>
      </c>
      <c r="B18" t="n">
        <v>3</v>
      </c>
      <c r="C18" t="inlineStr"/>
      <c r="D18" t="inlineStr">
        <is>
          <t>HNB066</t>
        </is>
      </c>
      <c r="E18" t="inlineStr">
        <is>
          <t>12</t>
        </is>
      </c>
      <c r="F18" t="inlineStr">
        <is>
          <t>2958</t>
        </is>
      </c>
      <c r="G18" t="inlineStr">
        <is>
          <t>To HNB066 / POSTEF-2017 / 12FO  / cs 2958 / cáp treo</t>
        </is>
      </c>
    </row>
    <row r="19">
      <c r="A19" t="inlineStr">
        <is>
          <t>HNB016</t>
        </is>
      </c>
      <c r="B19" t="n">
        <v>4</v>
      </c>
      <c r="C19" t="inlineStr"/>
      <c r="D19" t="inlineStr">
        <is>
          <t>HNB066</t>
        </is>
      </c>
      <c r="E19" t="inlineStr">
        <is>
          <t>12</t>
        </is>
      </c>
      <c r="F19" t="inlineStr">
        <is>
          <t>2958</t>
        </is>
      </c>
      <c r="G19" t="inlineStr">
        <is>
          <t>To HNB066 / POSTEF-2017 / 12FO  / cs 2958 / cáp treo</t>
        </is>
      </c>
    </row>
    <row r="20">
      <c r="A20" t="inlineStr">
        <is>
          <t>HNB016</t>
        </is>
      </c>
      <c r="B20" t="n">
        <v>5</v>
      </c>
      <c r="C20" t="inlineStr"/>
      <c r="D20" t="inlineStr">
        <is>
          <t>HNB066</t>
        </is>
      </c>
      <c r="E20" t="inlineStr">
        <is>
          <t>12</t>
        </is>
      </c>
      <c r="F20" t="inlineStr">
        <is>
          <t>2958</t>
        </is>
      </c>
      <c r="G20" t="inlineStr">
        <is>
          <t>To HNB066 / POSTEF-2017 / 12FO  / cs 2958 / cáp treo</t>
        </is>
      </c>
    </row>
    <row r="21">
      <c r="A21" t="inlineStr">
        <is>
          <t>HNB016</t>
        </is>
      </c>
      <c r="B21" t="n">
        <v>6</v>
      </c>
      <c r="C21" t="inlineStr"/>
      <c r="D21" t="inlineStr">
        <is>
          <t>HNB066</t>
        </is>
      </c>
      <c r="E21" t="inlineStr">
        <is>
          <t>12</t>
        </is>
      </c>
      <c r="F21" t="inlineStr">
        <is>
          <t>2958</t>
        </is>
      </c>
      <c r="G21" t="inlineStr">
        <is>
          <t>To HNB066 / POSTEF-2017 / 12FO  / cs 2958 / cáp treo</t>
        </is>
      </c>
    </row>
    <row r="22">
      <c r="A22" t="inlineStr">
        <is>
          <t>HNB016</t>
        </is>
      </c>
      <c r="B22" t="n">
        <v>7</v>
      </c>
      <c r="C22" t="inlineStr"/>
      <c r="D22" t="inlineStr">
        <is>
          <t>HNB066</t>
        </is>
      </c>
      <c r="E22" t="inlineStr">
        <is>
          <t>12</t>
        </is>
      </c>
      <c r="F22" t="inlineStr">
        <is>
          <t>2958</t>
        </is>
      </c>
      <c r="G22" t="inlineStr">
        <is>
          <t>To HNB066 / POSTEF-2017 / 12FO  / cs 2958 / cáp treo</t>
        </is>
      </c>
    </row>
    <row r="23">
      <c r="A23" t="inlineStr">
        <is>
          <t>HNB016</t>
        </is>
      </c>
      <c r="B23" t="n">
        <v>8</v>
      </c>
      <c r="C23" t="inlineStr"/>
      <c r="D23" t="inlineStr">
        <is>
          <t>HNB066</t>
        </is>
      </c>
      <c r="E23" t="inlineStr">
        <is>
          <t>12</t>
        </is>
      </c>
      <c r="F23" t="inlineStr">
        <is>
          <t>2958</t>
        </is>
      </c>
      <c r="G23" t="inlineStr">
        <is>
          <t>To HNB066 / POSTEF-2017 / 12FO  / cs 2958 / cáp treo</t>
        </is>
      </c>
    </row>
    <row r="24">
      <c r="A24" t="inlineStr">
        <is>
          <t>HNB016</t>
        </is>
      </c>
      <c r="B24" t="n">
        <v>9</v>
      </c>
      <c r="C24" t="inlineStr"/>
      <c r="D24" t="inlineStr">
        <is>
          <t>HNB038</t>
        </is>
      </c>
      <c r="E24" t="inlineStr">
        <is>
          <t>4</t>
        </is>
      </c>
      <c r="F24" t="inlineStr">
        <is>
          <t>0991</t>
        </is>
      </c>
      <c r="G24" t="inlineStr">
        <is>
          <t>To HNB038 / RECOIN 12/2016 / 4FO  / cs 0991 / cáp treo</t>
        </is>
      </c>
    </row>
    <row r="25">
      <c r="A25" t="inlineStr">
        <is>
          <t>HNB016</t>
        </is>
      </c>
      <c r="B25" t="n">
        <v>10</v>
      </c>
      <c r="C25" t="inlineStr"/>
      <c r="D25" t="inlineStr">
        <is>
          <t>HNB038</t>
        </is>
      </c>
      <c r="E25" t="inlineStr">
        <is>
          <t>4</t>
        </is>
      </c>
      <c r="F25" t="inlineStr">
        <is>
          <t>0991</t>
        </is>
      </c>
      <c r="G25" t="inlineStr">
        <is>
          <t>To HNB038 / RECOIN 12/2016 / 4FO  / cs 0991 / cáp treo</t>
        </is>
      </c>
    </row>
    <row r="26">
      <c r="A26" t="inlineStr">
        <is>
          <t>HNB016</t>
        </is>
      </c>
      <c r="B26" t="n">
        <v>11</v>
      </c>
      <c r="C26" t="inlineStr"/>
      <c r="D26" t="inlineStr">
        <is>
          <t>HNB038</t>
        </is>
      </c>
      <c r="E26" t="inlineStr">
        <is>
          <t>4</t>
        </is>
      </c>
      <c r="F26" t="inlineStr">
        <is>
          <t>0991</t>
        </is>
      </c>
      <c r="G26" t="inlineStr">
        <is>
          <t>To HNB038 / RECOIN 12/2016 / 4FO  / cs 0991 / cáp treo</t>
        </is>
      </c>
    </row>
    <row r="27">
      <c r="A27" t="inlineStr">
        <is>
          <t>HNB016</t>
        </is>
      </c>
      <c r="B27" t="n">
        <v>12</v>
      </c>
      <c r="C27" t="inlineStr"/>
      <c r="D27" t="inlineStr">
        <is>
          <t>HNB038</t>
        </is>
      </c>
      <c r="E27" t="inlineStr">
        <is>
          <t>4</t>
        </is>
      </c>
      <c r="F27" t="inlineStr">
        <is>
          <t>0991</t>
        </is>
      </c>
      <c r="G27" t="inlineStr">
        <is>
          <t>To HNB038 / RECOIN 12/2016 / 4FO  / cs 0991 / cáp treo</t>
        </is>
      </c>
    </row>
    <row r="28">
      <c r="A28" t="inlineStr">
        <is>
          <t>HNB038</t>
        </is>
      </c>
      <c r="B28" t="n">
        <v>1</v>
      </c>
      <c r="C28" t="inlineStr"/>
      <c r="D28" t="inlineStr">
        <is>
          <t>NBE22</t>
        </is>
      </c>
      <c r="E28" t="inlineStr">
        <is>
          <t>8</t>
        </is>
      </c>
      <c r="F28" t="inlineStr">
        <is>
          <t>1948</t>
        </is>
      </c>
      <c r="G28" t="inlineStr">
        <is>
          <t>To AGG-NBE22 / POSTEF-1/2019 / 8FO  / cs 1948 / cáp tròn</t>
        </is>
      </c>
    </row>
    <row r="29">
      <c r="A29" t="inlineStr">
        <is>
          <t>HNB038</t>
        </is>
      </c>
      <c r="B29" t="n">
        <v>2</v>
      </c>
      <c r="C29" t="inlineStr"/>
      <c r="D29" t="inlineStr">
        <is>
          <t>NBE22</t>
        </is>
      </c>
      <c r="E29" t="inlineStr">
        <is>
          <t>8</t>
        </is>
      </c>
      <c r="F29" t="inlineStr">
        <is>
          <t>1948</t>
        </is>
      </c>
      <c r="G29" t="inlineStr">
        <is>
          <t>To AGG-NBE22 / POSTEF-1/2019 / 8FO  / cs 1948 / cáp tròn</t>
        </is>
      </c>
    </row>
    <row r="30">
      <c r="A30" t="inlineStr">
        <is>
          <t>HNB038</t>
        </is>
      </c>
      <c r="B30" t="n">
        <v>3</v>
      </c>
      <c r="C30" t="inlineStr"/>
      <c r="D30" t="inlineStr">
        <is>
          <t>NBE22</t>
        </is>
      </c>
      <c r="E30" t="inlineStr">
        <is>
          <t>8</t>
        </is>
      </c>
      <c r="F30" t="inlineStr">
        <is>
          <t>1948</t>
        </is>
      </c>
      <c r="G30" t="inlineStr">
        <is>
          <t>To AGG-NBE22 / POSTEF-1/2019 / 8FO  / cs 1948 / cáp tròn</t>
        </is>
      </c>
    </row>
    <row r="31">
      <c r="A31" t="inlineStr">
        <is>
          <t>HNB038</t>
        </is>
      </c>
      <c r="B31" t="n">
        <v>4</v>
      </c>
      <c r="C31" t="inlineStr"/>
      <c r="D31" t="inlineStr">
        <is>
          <t>NBE22</t>
        </is>
      </c>
      <c r="E31" t="inlineStr">
        <is>
          <t>8</t>
        </is>
      </c>
      <c r="F31" t="inlineStr">
        <is>
          <t>1948</t>
        </is>
      </c>
      <c r="G31" t="inlineStr">
        <is>
          <t>To AGG-NBE22 / POSTEF-1/2019 / 8FO  / cs 1948 / cáp tròn</t>
        </is>
      </c>
    </row>
    <row r="32">
      <c r="A32" t="inlineStr">
        <is>
          <t>HNB038</t>
        </is>
      </c>
      <c r="B32" t="n">
        <v>5</v>
      </c>
      <c r="C32" t="inlineStr"/>
      <c r="D32" t="inlineStr">
        <is>
          <t>NBE22</t>
        </is>
      </c>
      <c r="E32" t="inlineStr">
        <is>
          <t>8</t>
        </is>
      </c>
      <c r="F32" t="inlineStr">
        <is>
          <t>1948</t>
        </is>
      </c>
      <c r="G32" t="inlineStr">
        <is>
          <t>To AGG-NBE22 / POSTEF-1/2019 / 8FO  / cs 1948 / cáp tròn</t>
        </is>
      </c>
    </row>
    <row r="33">
      <c r="A33" t="inlineStr">
        <is>
          <t>HNB038</t>
        </is>
      </c>
      <c r="B33" t="n">
        <v>6</v>
      </c>
      <c r="C33" t="inlineStr"/>
      <c r="D33" t="inlineStr">
        <is>
          <t>NBE22</t>
        </is>
      </c>
      <c r="E33" t="inlineStr">
        <is>
          <t>8</t>
        </is>
      </c>
      <c r="F33" t="inlineStr">
        <is>
          <t>1948</t>
        </is>
      </c>
      <c r="G33" t="inlineStr">
        <is>
          <t>To AGG-NBE22 / POSTEF-1/2019 / 8FO  / cs 1948 / cáp tròn</t>
        </is>
      </c>
    </row>
    <row r="34">
      <c r="A34" t="inlineStr">
        <is>
          <t>HNB038</t>
        </is>
      </c>
      <c r="B34" t="n">
        <v>7</v>
      </c>
      <c r="C34" t="inlineStr"/>
      <c r="D34" t="inlineStr">
        <is>
          <t>NBE22</t>
        </is>
      </c>
      <c r="E34" t="inlineStr">
        <is>
          <t>8</t>
        </is>
      </c>
      <c r="F34" t="inlineStr">
        <is>
          <t>1948</t>
        </is>
      </c>
      <c r="G34" t="inlineStr">
        <is>
          <t>To AGG-NBE22 / POSTEF-1/2019 / 8FO  / cs 1948 / cáp tròn</t>
        </is>
      </c>
    </row>
    <row r="35">
      <c r="A35" t="inlineStr">
        <is>
          <t>HNB038</t>
        </is>
      </c>
      <c r="B35" t="n">
        <v>8</v>
      </c>
      <c r="C35" t="inlineStr"/>
      <c r="D35" t="inlineStr">
        <is>
          <t>NBE22</t>
        </is>
      </c>
      <c r="E35" t="inlineStr">
        <is>
          <t>8</t>
        </is>
      </c>
      <c r="F35" t="inlineStr">
        <is>
          <t>1948</t>
        </is>
      </c>
      <c r="G35" t="inlineStr">
        <is>
          <t>To AGG-NBE22 / POSTEF-1/2019 / 8FO  / cs 1948 / cáp tròn</t>
        </is>
      </c>
    </row>
    <row r="36">
      <c r="A36" t="inlineStr">
        <is>
          <t>HNB038</t>
        </is>
      </c>
      <c r="B36" t="n">
        <v>9</v>
      </c>
      <c r="C36" t="inlineStr"/>
      <c r="D36" t="inlineStr">
        <is>
          <t>HNB016</t>
        </is>
      </c>
      <c r="E36" t="inlineStr">
        <is>
          <t>4</t>
        </is>
      </c>
      <c r="F36" t="inlineStr">
        <is>
          <t>0395</t>
        </is>
      </c>
      <c r="G36" t="inlineStr">
        <is>
          <t>To HNB016 / RECOIN 12/2016 / 4FO  / cs 0395 / cáp treo</t>
        </is>
      </c>
    </row>
    <row r="37">
      <c r="A37" t="inlineStr">
        <is>
          <t>HNB038</t>
        </is>
      </c>
      <c r="B37" t="n">
        <v>10</v>
      </c>
      <c r="C37" t="inlineStr"/>
      <c r="D37" t="inlineStr">
        <is>
          <t>HNB016</t>
        </is>
      </c>
      <c r="E37" t="inlineStr">
        <is>
          <t>4</t>
        </is>
      </c>
      <c r="F37" t="inlineStr">
        <is>
          <t>0395</t>
        </is>
      </c>
      <c r="G37" t="inlineStr">
        <is>
          <t>To HNB016 / RECOIN 12/2016 / 4FO  / cs 0395 / cáp treo</t>
        </is>
      </c>
    </row>
    <row r="38">
      <c r="A38" t="inlineStr">
        <is>
          <t>HNB038</t>
        </is>
      </c>
      <c r="B38" t="n">
        <v>11</v>
      </c>
      <c r="C38" t="inlineStr"/>
      <c r="D38" t="inlineStr">
        <is>
          <t>HNB016</t>
        </is>
      </c>
      <c r="E38" t="inlineStr">
        <is>
          <t>4</t>
        </is>
      </c>
      <c r="F38" t="inlineStr">
        <is>
          <t>0395</t>
        </is>
      </c>
      <c r="G38" t="inlineStr">
        <is>
          <t>To HNB016 / RECOIN 12/2016 / 4FO  / cs 0395 / cáp treo</t>
        </is>
      </c>
    </row>
    <row r="39">
      <c r="A39" t="inlineStr">
        <is>
          <t>HNB038</t>
        </is>
      </c>
      <c r="B39" t="n">
        <v>12</v>
      </c>
      <c r="C39" t="inlineStr"/>
      <c r="D39" t="inlineStr">
        <is>
          <t>HNB016</t>
        </is>
      </c>
      <c r="E39" t="inlineStr">
        <is>
          <t>4</t>
        </is>
      </c>
      <c r="F39" t="inlineStr">
        <is>
          <t>0395</t>
        </is>
      </c>
      <c r="G39" t="inlineStr">
        <is>
          <t>To HNB016 / RECOIN 12/2016 / 4FO  / cs 0395 / cáp treo</t>
        </is>
      </c>
    </row>
    <row r="40">
      <c r="A40" t="inlineStr">
        <is>
          <t>HNB005</t>
        </is>
      </c>
      <c r="B40" t="n">
        <v>1</v>
      </c>
      <c r="C40" t="inlineStr"/>
      <c r="D40" t="inlineStr">
        <is>
          <t>NBE12</t>
        </is>
      </c>
      <c r="E40" t="inlineStr">
        <is>
          <t>8</t>
        </is>
      </c>
      <c r="F40" t="inlineStr">
        <is>
          <t>1590</t>
        </is>
      </c>
      <c r="G40" t="inlineStr">
        <is>
          <t>To AGG-NBE12 / Vina-OFC AESS2016 / 8FO  / cs 1590 / cáp treo</t>
        </is>
      </c>
    </row>
    <row r="41">
      <c r="A41" t="inlineStr">
        <is>
          <t>HNB005</t>
        </is>
      </c>
      <c r="B41" t="n">
        <v>2</v>
      </c>
      <c r="C41" t="inlineStr"/>
      <c r="D41" t="inlineStr">
        <is>
          <t>NBE12</t>
        </is>
      </c>
      <c r="E41" t="inlineStr">
        <is>
          <t>8</t>
        </is>
      </c>
      <c r="F41" t="inlineStr">
        <is>
          <t>1590</t>
        </is>
      </c>
      <c r="G41" t="inlineStr">
        <is>
          <t>To AGG-NBE12 / Vina-OFC AESS2016 / 8FO  / cs 1590 / cáp treo</t>
        </is>
      </c>
    </row>
    <row r="42">
      <c r="A42" t="inlineStr">
        <is>
          <t>HNB005</t>
        </is>
      </c>
      <c r="B42" t="n">
        <v>3</v>
      </c>
      <c r="C42" t="inlineStr"/>
      <c r="D42" t="inlineStr">
        <is>
          <t>NBE12</t>
        </is>
      </c>
      <c r="E42" t="inlineStr">
        <is>
          <t>8</t>
        </is>
      </c>
      <c r="F42" t="inlineStr">
        <is>
          <t>1590</t>
        </is>
      </c>
      <c r="G42" t="inlineStr">
        <is>
          <t>To AGG-NBE12 / Vina-OFC AESS2016 / 8FO  / cs 1590 / cáp treo</t>
        </is>
      </c>
    </row>
    <row r="43">
      <c r="A43" t="inlineStr">
        <is>
          <t>HNB005</t>
        </is>
      </c>
      <c r="B43" t="n">
        <v>4</v>
      </c>
      <c r="C43" t="inlineStr"/>
      <c r="D43" t="inlineStr">
        <is>
          <t>NBE12</t>
        </is>
      </c>
      <c r="E43" t="inlineStr">
        <is>
          <t>8</t>
        </is>
      </c>
      <c r="F43" t="inlineStr">
        <is>
          <t>1590</t>
        </is>
      </c>
      <c r="G43" t="inlineStr">
        <is>
          <t>To AGG-NBE12 / Vina-OFC AESS2016 / 8FO  / cs 1590 / cáp treo</t>
        </is>
      </c>
    </row>
    <row r="44">
      <c r="A44" t="inlineStr">
        <is>
          <t>HNB005</t>
        </is>
      </c>
      <c r="B44" t="n">
        <v>5</v>
      </c>
      <c r="C44" t="inlineStr"/>
      <c r="D44" t="inlineStr">
        <is>
          <t>NBE12</t>
        </is>
      </c>
      <c r="E44" t="inlineStr">
        <is>
          <t>8</t>
        </is>
      </c>
      <c r="F44" t="inlineStr">
        <is>
          <t>1590</t>
        </is>
      </c>
      <c r="G44" t="inlineStr">
        <is>
          <t>To AGG-NBE12 / Vina-OFC AESS2016 / 8FO  / cs 1590 / cáp treo</t>
        </is>
      </c>
    </row>
    <row r="45">
      <c r="A45" t="inlineStr">
        <is>
          <t>HNB005</t>
        </is>
      </c>
      <c r="B45" t="n">
        <v>6</v>
      </c>
      <c r="C45" t="inlineStr"/>
      <c r="D45" t="inlineStr">
        <is>
          <t>NBE12</t>
        </is>
      </c>
      <c r="E45" t="inlineStr">
        <is>
          <t>8</t>
        </is>
      </c>
      <c r="F45" t="inlineStr">
        <is>
          <t>1590</t>
        </is>
      </c>
      <c r="G45" t="inlineStr">
        <is>
          <t>To AGG-NBE12 / Vina-OFC AESS2016 / 8FO  / cs 1590 / cáp treo</t>
        </is>
      </c>
    </row>
    <row r="46">
      <c r="A46" t="inlineStr">
        <is>
          <t>HNB005</t>
        </is>
      </c>
      <c r="B46" t="n">
        <v>7</v>
      </c>
      <c r="C46" t="inlineStr"/>
      <c r="D46" t="inlineStr">
        <is>
          <t>HNB062</t>
        </is>
      </c>
      <c r="E46" t="inlineStr">
        <is>
          <t>8</t>
        </is>
      </c>
      <c r="F46" t="inlineStr">
        <is>
          <t>0001</t>
        </is>
      </c>
      <c r="G46" t="inlineStr">
        <is>
          <t>To HNB062 / POSTEF-1/2019 / 8FO  / cs 0001 / cáp tròn</t>
        </is>
      </c>
    </row>
    <row r="47">
      <c r="A47" t="inlineStr">
        <is>
          <t>HNB005</t>
        </is>
      </c>
      <c r="B47" t="n">
        <v>8</v>
      </c>
      <c r="C47" t="inlineStr"/>
      <c r="D47" t="inlineStr">
        <is>
          <t>HNB062</t>
        </is>
      </c>
      <c r="E47" t="inlineStr">
        <is>
          <t>8</t>
        </is>
      </c>
      <c r="F47" t="inlineStr">
        <is>
          <t>0001</t>
        </is>
      </c>
      <c r="G47" t="inlineStr">
        <is>
          <t>To HNB062 / POSTEF-1/2019 / 8FO  / cs 0001 / cáp tròn</t>
        </is>
      </c>
    </row>
    <row r="48">
      <c r="A48" t="inlineStr">
        <is>
          <t>HNB005</t>
        </is>
      </c>
      <c r="B48" t="n">
        <v>9</v>
      </c>
      <c r="C48" t="inlineStr"/>
      <c r="D48" t="inlineStr">
        <is>
          <t>HNB062</t>
        </is>
      </c>
      <c r="E48" t="inlineStr">
        <is>
          <t>8</t>
        </is>
      </c>
      <c r="F48" t="inlineStr">
        <is>
          <t>0001</t>
        </is>
      </c>
      <c r="G48" t="inlineStr">
        <is>
          <t>To HNB062 / POSTEF-1/2019 / 8FO  / cs 0001 / cáp tròn</t>
        </is>
      </c>
    </row>
    <row r="49">
      <c r="A49" t="inlineStr">
        <is>
          <t>HNB005</t>
        </is>
      </c>
      <c r="B49" t="n">
        <v>10</v>
      </c>
      <c r="C49" t="inlineStr"/>
      <c r="D49" t="inlineStr">
        <is>
          <t>HNB062</t>
        </is>
      </c>
      <c r="E49" t="inlineStr">
        <is>
          <t>8</t>
        </is>
      </c>
      <c r="F49" t="inlineStr">
        <is>
          <t>0001</t>
        </is>
      </c>
      <c r="G49" t="inlineStr">
        <is>
          <t>To HNB062 / POSTEF-1/2019 / 8FO  / cs 0001 / cáp tròn</t>
        </is>
      </c>
    </row>
    <row r="50">
      <c r="A50" t="inlineStr">
        <is>
          <t>HNB005</t>
        </is>
      </c>
      <c r="B50" t="n">
        <v>11</v>
      </c>
      <c r="C50" t="inlineStr"/>
      <c r="D50" t="inlineStr">
        <is>
          <t>HNB062</t>
        </is>
      </c>
      <c r="E50" t="inlineStr">
        <is>
          <t>8</t>
        </is>
      </c>
      <c r="F50" t="inlineStr">
        <is>
          <t>0001</t>
        </is>
      </c>
      <c r="G50" t="inlineStr">
        <is>
          <t>To HNB062 / POSTEF-1/2019 / 8FO  / cs 0001 / cáp tròn</t>
        </is>
      </c>
    </row>
    <row r="51">
      <c r="A51" t="inlineStr">
        <is>
          <t>HNB005</t>
        </is>
      </c>
      <c r="B51" t="n">
        <v>12</v>
      </c>
      <c r="C51" t="inlineStr"/>
      <c r="D51" t="inlineStr">
        <is>
          <t>HNB062</t>
        </is>
      </c>
      <c r="E51" t="inlineStr">
        <is>
          <t>8</t>
        </is>
      </c>
      <c r="F51" t="inlineStr">
        <is>
          <t>0001</t>
        </is>
      </c>
      <c r="G51" t="inlineStr">
        <is>
          <t>To HNB062 / POSTEF-1/2019 / 8FO  / cs 0001 / cáp tròn</t>
        </is>
      </c>
    </row>
    <row r="52">
      <c r="A52" t="inlineStr">
        <is>
          <t>HNB062</t>
        </is>
      </c>
      <c r="B52" t="n">
        <v>1</v>
      </c>
      <c r="C52" t="inlineStr"/>
      <c r="D52" t="inlineStr">
        <is>
          <t>HNB021</t>
        </is>
      </c>
      <c r="E52" t="inlineStr">
        <is>
          <t>8</t>
        </is>
      </c>
      <c r="F52" t="inlineStr">
        <is>
          <t>4065</t>
        </is>
      </c>
      <c r="G52" t="inlineStr">
        <is>
          <t>To HNB021 / ETCC-2009 / 8FO  / cs 4065 / cáp treo</t>
        </is>
      </c>
    </row>
    <row r="53">
      <c r="A53" t="inlineStr">
        <is>
          <t>HNB062</t>
        </is>
      </c>
      <c r="B53" t="n">
        <v>2</v>
      </c>
      <c r="C53" t="inlineStr"/>
      <c r="D53" t="inlineStr">
        <is>
          <t>HNB021</t>
        </is>
      </c>
      <c r="E53" t="inlineStr">
        <is>
          <t>8</t>
        </is>
      </c>
      <c r="F53" t="inlineStr">
        <is>
          <t>4065</t>
        </is>
      </c>
      <c r="G53" t="inlineStr">
        <is>
          <t>To HNB021 / ETCC-2009 / 8FO  / cs 4065 / cáp treo</t>
        </is>
      </c>
    </row>
    <row r="54">
      <c r="A54" t="inlineStr">
        <is>
          <t>HNB062</t>
        </is>
      </c>
      <c r="B54" t="n">
        <v>3</v>
      </c>
      <c r="C54" t="inlineStr"/>
      <c r="D54" t="inlineStr">
        <is>
          <t>HNB021</t>
        </is>
      </c>
      <c r="E54" t="inlineStr">
        <is>
          <t>8</t>
        </is>
      </c>
      <c r="F54" t="inlineStr">
        <is>
          <t>4065</t>
        </is>
      </c>
      <c r="G54" t="inlineStr">
        <is>
          <t>To HNB021 / ETCC-2009 / 8FO  / cs 4065 / cáp treo</t>
        </is>
      </c>
    </row>
    <row r="55">
      <c r="A55" t="inlineStr">
        <is>
          <t>HNB062</t>
        </is>
      </c>
      <c r="B55" t="n">
        <v>4</v>
      </c>
      <c r="C55" t="inlineStr"/>
      <c r="D55" t="inlineStr">
        <is>
          <t>HNB021</t>
        </is>
      </c>
      <c r="E55" t="inlineStr">
        <is>
          <t>8</t>
        </is>
      </c>
      <c r="F55" t="inlineStr">
        <is>
          <t>4065</t>
        </is>
      </c>
      <c r="G55" t="inlineStr">
        <is>
          <t>To HNB021 / ETCC-2009 / 8FO  / cs 4065 / cáp treo</t>
        </is>
      </c>
    </row>
    <row r="56">
      <c r="A56" t="inlineStr">
        <is>
          <t>HNB062</t>
        </is>
      </c>
      <c r="B56" t="n">
        <v>5</v>
      </c>
      <c r="C56" t="inlineStr"/>
      <c r="D56" t="inlineStr">
        <is>
          <t>HNB021</t>
        </is>
      </c>
      <c r="E56" t="inlineStr">
        <is>
          <t>8</t>
        </is>
      </c>
      <c r="F56" t="inlineStr">
        <is>
          <t>4065</t>
        </is>
      </c>
      <c r="G56" t="inlineStr">
        <is>
          <t>To HNB021 / ETCC-2009 / 8FO  / cs 4065 / cáp treo</t>
        </is>
      </c>
    </row>
    <row r="57">
      <c r="A57" t="inlineStr">
        <is>
          <t>HNB062</t>
        </is>
      </c>
      <c r="B57" t="n">
        <v>6</v>
      </c>
      <c r="C57" t="inlineStr"/>
      <c r="D57" t="inlineStr">
        <is>
          <t>HNB021</t>
        </is>
      </c>
      <c r="E57" t="inlineStr">
        <is>
          <t>8</t>
        </is>
      </c>
      <c r="F57" t="inlineStr">
        <is>
          <t>4065</t>
        </is>
      </c>
      <c r="G57" t="inlineStr">
        <is>
          <t>To HNB021 / ETCC-2009 / 8FO  / cs 4065 / cáp treo</t>
        </is>
      </c>
    </row>
    <row r="58">
      <c r="A58" t="inlineStr">
        <is>
          <t>HNB062</t>
        </is>
      </c>
      <c r="B58" t="n">
        <v>7</v>
      </c>
      <c r="C58" t="inlineStr"/>
      <c r="D58" t="inlineStr">
        <is>
          <t>HNB005</t>
        </is>
      </c>
      <c r="E58" t="inlineStr">
        <is>
          <t>8</t>
        </is>
      </c>
      <c r="F58" t="inlineStr">
        <is>
          <t>1248</t>
        </is>
      </c>
      <c r="G58" t="inlineStr">
        <is>
          <t>To HNB005 / POSTEF-1/2019 / 8FO  / cs 1248 / cáp tròn</t>
        </is>
      </c>
    </row>
    <row r="59">
      <c r="A59" t="inlineStr">
        <is>
          <t>HNB062</t>
        </is>
      </c>
      <c r="B59" t="n">
        <v>8</v>
      </c>
      <c r="C59" t="inlineStr"/>
      <c r="D59" t="inlineStr">
        <is>
          <t>HNB005</t>
        </is>
      </c>
      <c r="E59" t="inlineStr">
        <is>
          <t>8</t>
        </is>
      </c>
      <c r="F59" t="inlineStr">
        <is>
          <t>1248</t>
        </is>
      </c>
      <c r="G59" t="inlineStr">
        <is>
          <t>To HNB005 / POSTEF-1/2019 / 8FO  / cs 1248 / cáp tròn</t>
        </is>
      </c>
    </row>
    <row r="60">
      <c r="A60" t="inlineStr">
        <is>
          <t>HNB062</t>
        </is>
      </c>
      <c r="B60" t="n">
        <v>9</v>
      </c>
      <c r="C60" t="inlineStr"/>
      <c r="D60" t="inlineStr">
        <is>
          <t>HNB005</t>
        </is>
      </c>
      <c r="E60" t="inlineStr">
        <is>
          <t>8</t>
        </is>
      </c>
      <c r="F60" t="inlineStr">
        <is>
          <t>1248</t>
        </is>
      </c>
      <c r="G60" t="inlineStr">
        <is>
          <t>To HNB005 / POSTEF-1/2019 / 8FO  / cs 1248 / cáp tròn</t>
        </is>
      </c>
    </row>
    <row r="61">
      <c r="A61" t="inlineStr">
        <is>
          <t>HNB062</t>
        </is>
      </c>
      <c r="B61" t="n">
        <v>10</v>
      </c>
      <c r="C61" t="inlineStr"/>
      <c r="D61" t="inlineStr">
        <is>
          <t>HNB005</t>
        </is>
      </c>
      <c r="E61" t="inlineStr">
        <is>
          <t>8</t>
        </is>
      </c>
      <c r="F61" t="inlineStr">
        <is>
          <t>1248</t>
        </is>
      </c>
      <c r="G61" t="inlineStr">
        <is>
          <t>To HNB005 / POSTEF-1/2019 / 8FO  / cs 1248 / cáp tròn</t>
        </is>
      </c>
    </row>
    <row r="62">
      <c r="A62" t="inlineStr">
        <is>
          <t>HNB062</t>
        </is>
      </c>
      <c r="B62" t="n">
        <v>11</v>
      </c>
      <c r="C62" t="inlineStr"/>
      <c r="D62" t="inlineStr">
        <is>
          <t>HNB005</t>
        </is>
      </c>
      <c r="E62" t="inlineStr">
        <is>
          <t>8</t>
        </is>
      </c>
      <c r="F62" t="inlineStr">
        <is>
          <t>1248</t>
        </is>
      </c>
      <c r="G62" t="inlineStr">
        <is>
          <t>To HNB005 / POSTEF-1/2019 / 8FO  / cs 1248 / cáp tròn</t>
        </is>
      </c>
    </row>
    <row r="63">
      <c r="A63" t="inlineStr">
        <is>
          <t>HNB062</t>
        </is>
      </c>
      <c r="B63" t="n">
        <v>12</v>
      </c>
      <c r="C63" t="inlineStr"/>
      <c r="D63" t="inlineStr">
        <is>
          <t>HNB005</t>
        </is>
      </c>
      <c r="E63" t="inlineStr">
        <is>
          <t>8</t>
        </is>
      </c>
      <c r="F63" t="inlineStr">
        <is>
          <t>1248</t>
        </is>
      </c>
      <c r="G63" t="inlineStr">
        <is>
          <t>To HNB005 / POSTEF-1/2019 / 8FO  / cs 1248 / cáp tròn</t>
        </is>
      </c>
    </row>
    <row r="64">
      <c r="A64" t="inlineStr">
        <is>
          <t>HNB021</t>
        </is>
      </c>
      <c r="B64" t="n">
        <v>1</v>
      </c>
      <c r="C64" t="inlineStr"/>
      <c r="D64" t="inlineStr">
        <is>
          <t>HNB062</t>
        </is>
      </c>
      <c r="E64" t="inlineStr">
        <is>
          <t>8</t>
        </is>
      </c>
      <c r="F64" t="inlineStr">
        <is>
          <t>0911</t>
        </is>
      </c>
      <c r="G64" t="inlineStr">
        <is>
          <t>To HNB062 / FiberHome Aerial / 8FO  / cs 0911</t>
        </is>
      </c>
    </row>
    <row r="65">
      <c r="A65" t="inlineStr">
        <is>
          <t>HNB021</t>
        </is>
      </c>
      <c r="B65" t="n">
        <v>2</v>
      </c>
      <c r="C65" t="inlineStr"/>
      <c r="D65" t="inlineStr">
        <is>
          <t>HNB062</t>
        </is>
      </c>
      <c r="E65" t="inlineStr">
        <is>
          <t>8</t>
        </is>
      </c>
      <c r="F65" t="inlineStr">
        <is>
          <t>0911</t>
        </is>
      </c>
      <c r="G65" t="inlineStr">
        <is>
          <t>To HNB062 / FiberHome Aerial / 8FO  / cs 0911</t>
        </is>
      </c>
    </row>
    <row r="66">
      <c r="A66" t="inlineStr">
        <is>
          <t>HNB021</t>
        </is>
      </c>
      <c r="B66" t="n">
        <v>3</v>
      </c>
      <c r="C66" t="inlineStr"/>
      <c r="D66" t="inlineStr">
        <is>
          <t>HNB062</t>
        </is>
      </c>
      <c r="E66" t="inlineStr">
        <is>
          <t>8</t>
        </is>
      </c>
      <c r="F66" t="inlineStr">
        <is>
          <t>0911</t>
        </is>
      </c>
      <c r="G66" t="inlineStr">
        <is>
          <t>To HNB062 / FiberHome Aerial / 8FO  / cs 0911</t>
        </is>
      </c>
    </row>
    <row r="67">
      <c r="A67" t="inlineStr">
        <is>
          <t>HNB021</t>
        </is>
      </c>
      <c r="B67" t="n">
        <v>4</v>
      </c>
      <c r="C67" t="inlineStr"/>
      <c r="D67" t="inlineStr">
        <is>
          <t>HNB062</t>
        </is>
      </c>
      <c r="E67" t="inlineStr">
        <is>
          <t>8</t>
        </is>
      </c>
      <c r="F67" t="inlineStr">
        <is>
          <t>0911</t>
        </is>
      </c>
      <c r="G67" t="inlineStr">
        <is>
          <t>To HNB062 / FiberHome Aerial / 8FO  / cs 0911</t>
        </is>
      </c>
    </row>
    <row r="68">
      <c r="A68" t="inlineStr">
        <is>
          <t>HNB021</t>
        </is>
      </c>
      <c r="B68" t="n">
        <v>5</v>
      </c>
      <c r="C68" t="inlineStr"/>
      <c r="D68" t="inlineStr">
        <is>
          <t>HNB062</t>
        </is>
      </c>
      <c r="E68" t="inlineStr">
        <is>
          <t>8</t>
        </is>
      </c>
      <c r="F68" t="inlineStr">
        <is>
          <t>0911</t>
        </is>
      </c>
      <c r="G68" t="inlineStr">
        <is>
          <t>To HNB062 / FiberHome Aerial / 8FO  / cs 0911</t>
        </is>
      </c>
    </row>
    <row r="69">
      <c r="A69" t="inlineStr">
        <is>
          <t>HNB021</t>
        </is>
      </c>
      <c r="B69" t="n">
        <v>6</v>
      </c>
      <c r="C69" t="inlineStr"/>
      <c r="D69" t="inlineStr">
        <is>
          <t>HNB062</t>
        </is>
      </c>
      <c r="E69" t="inlineStr">
        <is>
          <t>8</t>
        </is>
      </c>
      <c r="F69" t="inlineStr">
        <is>
          <t>0911</t>
        </is>
      </c>
      <c r="G69" t="inlineStr">
        <is>
          <t>To HNB062 / FiberHome Aerial / 8FO  / cs 0911</t>
        </is>
      </c>
    </row>
    <row r="70">
      <c r="A70" t="inlineStr">
        <is>
          <t>HNB021</t>
        </is>
      </c>
      <c r="B70" t="n">
        <v>7</v>
      </c>
      <c r="C70" t="inlineStr"/>
      <c r="D70" t="inlineStr">
        <is>
          <t>HNB013</t>
        </is>
      </c>
      <c r="E70" t="inlineStr">
        <is>
          <t>8</t>
        </is>
      </c>
      <c r="F70" t="inlineStr">
        <is>
          <t>2888</t>
        </is>
      </c>
      <c r="G70" t="inlineStr">
        <is>
          <t>To HNB013 / VinaCap / 8FO  / cs 2888</t>
        </is>
      </c>
    </row>
    <row r="71">
      <c r="A71" t="inlineStr">
        <is>
          <t>HNB021</t>
        </is>
      </c>
      <c r="B71" t="n">
        <v>8</v>
      </c>
      <c r="C71" t="inlineStr"/>
      <c r="D71" t="inlineStr">
        <is>
          <t>HNB013</t>
        </is>
      </c>
      <c r="E71" t="inlineStr">
        <is>
          <t>8</t>
        </is>
      </c>
      <c r="F71" t="inlineStr">
        <is>
          <t>2888</t>
        </is>
      </c>
      <c r="G71" t="inlineStr">
        <is>
          <t>To HNB013 / VinaCap / 8FO  / cs 2888</t>
        </is>
      </c>
    </row>
    <row r="72">
      <c r="A72" t="inlineStr">
        <is>
          <t>HNB021</t>
        </is>
      </c>
      <c r="B72" t="n">
        <v>9</v>
      </c>
      <c r="C72" t="inlineStr"/>
      <c r="D72" t="inlineStr">
        <is>
          <t>HNB013</t>
        </is>
      </c>
      <c r="E72" t="inlineStr">
        <is>
          <t>8</t>
        </is>
      </c>
      <c r="F72" t="inlineStr">
        <is>
          <t>2888</t>
        </is>
      </c>
      <c r="G72" t="inlineStr">
        <is>
          <t>To HNB013 / VinaCap / 8FO  / cs 2888</t>
        </is>
      </c>
    </row>
    <row r="73">
      <c r="A73" t="inlineStr">
        <is>
          <t>HNB021</t>
        </is>
      </c>
      <c r="B73" t="n">
        <v>10</v>
      </c>
      <c r="C73" t="inlineStr"/>
      <c r="D73" t="inlineStr">
        <is>
          <t>HNB013</t>
        </is>
      </c>
      <c r="E73" t="inlineStr">
        <is>
          <t>8</t>
        </is>
      </c>
      <c r="F73" t="inlineStr">
        <is>
          <t>2888</t>
        </is>
      </c>
      <c r="G73" t="inlineStr">
        <is>
          <t>To HNB013 / VinaCap / 8FO  / cs 2888</t>
        </is>
      </c>
    </row>
    <row r="74">
      <c r="A74" t="inlineStr">
        <is>
          <t>HNB021</t>
        </is>
      </c>
      <c r="B74" t="n">
        <v>11</v>
      </c>
      <c r="C74" t="inlineStr"/>
      <c r="D74" t="inlineStr">
        <is>
          <t>HNB013</t>
        </is>
      </c>
      <c r="E74" t="inlineStr">
        <is>
          <t>8</t>
        </is>
      </c>
      <c r="F74" t="inlineStr">
        <is>
          <t>2888</t>
        </is>
      </c>
      <c r="G74" t="inlineStr">
        <is>
          <t>To HNB013 / VinaCap / 8FO  / cs 2888</t>
        </is>
      </c>
    </row>
    <row r="75">
      <c r="A75" t="inlineStr">
        <is>
          <t>HNB021</t>
        </is>
      </c>
      <c r="B75" t="n">
        <v>12</v>
      </c>
      <c r="C75" t="inlineStr"/>
      <c r="D75" t="inlineStr">
        <is>
          <t>HNB013</t>
        </is>
      </c>
      <c r="E75" t="inlineStr">
        <is>
          <t>8</t>
        </is>
      </c>
      <c r="F75" t="inlineStr">
        <is>
          <t>2888</t>
        </is>
      </c>
      <c r="G75" t="inlineStr">
        <is>
          <t>To HNB013 / VinaCap / 8FO  / cs 2888</t>
        </is>
      </c>
    </row>
    <row r="76">
      <c r="A76" t="inlineStr">
        <is>
          <t>HNB013</t>
        </is>
      </c>
      <c r="B76" t="n">
        <v>1</v>
      </c>
      <c r="C76" t="inlineStr"/>
      <c r="D76" t="inlineStr">
        <is>
          <t>HNB021</t>
        </is>
      </c>
      <c r="E76" t="inlineStr">
        <is>
          <t>8</t>
        </is>
      </c>
      <c r="F76" t="inlineStr">
        <is>
          <t>4645</t>
        </is>
      </c>
      <c r="G76" t="inlineStr">
        <is>
          <t>To HNB021 / ETCC-2009 / 8FO  / cs 4645</t>
        </is>
      </c>
    </row>
    <row r="77">
      <c r="A77" t="inlineStr">
        <is>
          <t>HNB013</t>
        </is>
      </c>
      <c r="B77" t="n">
        <v>2</v>
      </c>
      <c r="C77" t="inlineStr"/>
      <c r="D77" t="inlineStr">
        <is>
          <t>HNB021</t>
        </is>
      </c>
      <c r="E77" t="inlineStr">
        <is>
          <t>8</t>
        </is>
      </c>
      <c r="F77" t="inlineStr">
        <is>
          <t>4645</t>
        </is>
      </c>
      <c r="G77" t="inlineStr">
        <is>
          <t>To HNB021 / ETCC-2009 / 8FO  / cs 4645</t>
        </is>
      </c>
    </row>
    <row r="78">
      <c r="A78" t="inlineStr">
        <is>
          <t>HNB013</t>
        </is>
      </c>
      <c r="B78" t="n">
        <v>3</v>
      </c>
      <c r="C78" t="inlineStr"/>
      <c r="D78" t="inlineStr">
        <is>
          <t>HNB021</t>
        </is>
      </c>
      <c r="E78" t="inlineStr">
        <is>
          <t>8</t>
        </is>
      </c>
      <c r="F78" t="inlineStr">
        <is>
          <t>4645</t>
        </is>
      </c>
      <c r="G78" t="inlineStr">
        <is>
          <t>To HNB021 / ETCC-2009 / 8FO  / cs 4645</t>
        </is>
      </c>
    </row>
    <row r="79">
      <c r="A79" t="inlineStr">
        <is>
          <t>HNB013</t>
        </is>
      </c>
      <c r="B79" t="n">
        <v>4</v>
      </c>
      <c r="C79" t="inlineStr"/>
      <c r="D79" t="inlineStr">
        <is>
          <t>HNB021</t>
        </is>
      </c>
      <c r="E79" t="inlineStr">
        <is>
          <t>8</t>
        </is>
      </c>
      <c r="F79" t="inlineStr">
        <is>
          <t>4645</t>
        </is>
      </c>
      <c r="G79" t="inlineStr">
        <is>
          <t>To HNB021 / ETCC-2009 / 8FO  / cs 4645</t>
        </is>
      </c>
    </row>
    <row r="80">
      <c r="A80" t="inlineStr">
        <is>
          <t>HNB013</t>
        </is>
      </c>
      <c r="B80" t="n">
        <v>5</v>
      </c>
      <c r="C80" t="inlineStr"/>
      <c r="D80" t="inlineStr">
        <is>
          <t>HNB021</t>
        </is>
      </c>
      <c r="E80" t="inlineStr">
        <is>
          <t>8</t>
        </is>
      </c>
      <c r="F80" t="inlineStr">
        <is>
          <t>4645</t>
        </is>
      </c>
      <c r="G80" t="inlineStr">
        <is>
          <t>To HNB021 / ETCC-2009 / 8FO  / cs 4645</t>
        </is>
      </c>
    </row>
    <row r="81">
      <c r="A81" t="inlineStr">
        <is>
          <t>HNB013</t>
        </is>
      </c>
      <c r="B81" t="n">
        <v>6</v>
      </c>
      <c r="C81" t="inlineStr"/>
      <c r="D81" t="inlineStr">
        <is>
          <t>HNB021</t>
        </is>
      </c>
      <c r="E81" t="inlineStr">
        <is>
          <t>8</t>
        </is>
      </c>
      <c r="F81" t="inlineStr">
        <is>
          <t>4645</t>
        </is>
      </c>
      <c r="G81" t="inlineStr">
        <is>
          <t>To HNB021 / ETCC-2009 / 8FO  / cs 4645</t>
        </is>
      </c>
    </row>
    <row r="82">
      <c r="A82" t="inlineStr">
        <is>
          <t>HNB013</t>
        </is>
      </c>
      <c r="B82" t="n">
        <v>7</v>
      </c>
      <c r="C82" t="inlineStr"/>
      <c r="D82" t="inlineStr">
        <is>
          <t>NBE22</t>
        </is>
      </c>
      <c r="E82" t="inlineStr">
        <is>
          <t>8</t>
        </is>
      </c>
      <c r="F82" t="inlineStr">
        <is>
          <t>1281</t>
        </is>
      </c>
      <c r="G82" t="inlineStr">
        <is>
          <t>To AGG-NBE22 / POSTEF 2017 / 8FO  / cs 1281</t>
        </is>
      </c>
    </row>
    <row r="83">
      <c r="A83" t="inlineStr">
        <is>
          <t>HNB013</t>
        </is>
      </c>
      <c r="B83" t="n">
        <v>8</v>
      </c>
      <c r="C83" t="inlineStr"/>
      <c r="D83" t="inlineStr">
        <is>
          <t>NBE22</t>
        </is>
      </c>
      <c r="E83" t="inlineStr">
        <is>
          <t>8</t>
        </is>
      </c>
      <c r="F83" t="inlineStr">
        <is>
          <t>1281</t>
        </is>
      </c>
      <c r="G83" t="inlineStr">
        <is>
          <t>To AGG-NBE22 / POSTEF 2017 / 8FO  / cs 1281</t>
        </is>
      </c>
    </row>
    <row r="84">
      <c r="A84" t="inlineStr">
        <is>
          <t>HNB013</t>
        </is>
      </c>
      <c r="B84" t="n">
        <v>9</v>
      </c>
      <c r="C84" t="inlineStr"/>
      <c r="D84" t="inlineStr">
        <is>
          <t>NBE22</t>
        </is>
      </c>
      <c r="E84" t="inlineStr">
        <is>
          <t>8</t>
        </is>
      </c>
      <c r="F84" t="inlineStr">
        <is>
          <t>1281</t>
        </is>
      </c>
      <c r="G84" t="inlineStr">
        <is>
          <t>To AGG-NBE22 / POSTEF 2017 / 8FO  / cs 1281</t>
        </is>
      </c>
    </row>
    <row r="85">
      <c r="A85" t="inlineStr">
        <is>
          <t>HNB013</t>
        </is>
      </c>
      <c r="B85" t="n">
        <v>10</v>
      </c>
      <c r="C85" t="inlineStr"/>
      <c r="D85" t="inlineStr">
        <is>
          <t>NBE22</t>
        </is>
      </c>
      <c r="E85" t="inlineStr">
        <is>
          <t>8</t>
        </is>
      </c>
      <c r="F85" t="inlineStr">
        <is>
          <t>1281</t>
        </is>
      </c>
      <c r="G85" t="inlineStr">
        <is>
          <t>To AGG-NBE22 / POSTEF 2017 / 8FO  / cs 1281</t>
        </is>
      </c>
    </row>
    <row r="86">
      <c r="A86" t="inlineStr">
        <is>
          <t>HNB013</t>
        </is>
      </c>
      <c r="B86" t="n">
        <v>11</v>
      </c>
      <c r="C86" t="inlineStr"/>
      <c r="D86" t="inlineStr">
        <is>
          <t>NBE22</t>
        </is>
      </c>
      <c r="E86" t="inlineStr">
        <is>
          <t>8</t>
        </is>
      </c>
      <c r="F86" t="inlineStr">
        <is>
          <t>1281</t>
        </is>
      </c>
      <c r="G86" t="inlineStr">
        <is>
          <t>To AGG-NBE22 / POSTEF 2017 / 8FO  / cs 1281</t>
        </is>
      </c>
    </row>
    <row r="87">
      <c r="A87" t="inlineStr">
        <is>
          <t>HNB013</t>
        </is>
      </c>
      <c r="B87" t="n">
        <v>12</v>
      </c>
      <c r="C87" t="inlineStr"/>
      <c r="D87" t="inlineStr">
        <is>
          <t>NBE22</t>
        </is>
      </c>
      <c r="E87" t="inlineStr">
        <is>
          <t>8</t>
        </is>
      </c>
      <c r="F87" t="inlineStr">
        <is>
          <t>1281</t>
        </is>
      </c>
      <c r="G87" t="inlineStr">
        <is>
          <t>To AGG-NBE22 / POSTEF 2017 / 8FO  / cs 1281</t>
        </is>
      </c>
    </row>
    <row r="88">
      <c r="A88" t="inlineStr">
        <is>
          <t>HNB011</t>
        </is>
      </c>
      <c r="B88" t="n">
        <v>1</v>
      </c>
      <c r="C88" t="inlineStr"/>
      <c r="D88" t="inlineStr">
        <is>
          <t>NBE12</t>
        </is>
      </c>
      <c r="E88" t="inlineStr">
        <is>
          <t>12</t>
        </is>
      </c>
      <c r="F88" t="inlineStr">
        <is>
          <t>0120</t>
        </is>
      </c>
      <c r="G88" t="inlineStr">
        <is>
          <t>To AGG-NBE12 / (MX_LVL-01) /  VINA-OFC 12FO 2018  / cs  0120 / cáp treo</t>
        </is>
      </c>
    </row>
    <row r="89">
      <c r="A89" t="inlineStr">
        <is>
          <t>HNB011</t>
        </is>
      </c>
      <c r="B89" t="n">
        <v>2</v>
      </c>
      <c r="C89" t="inlineStr"/>
      <c r="D89" t="inlineStr">
        <is>
          <t>NBE12</t>
        </is>
      </c>
      <c r="E89" t="inlineStr">
        <is>
          <t>12</t>
        </is>
      </c>
      <c r="F89" t="inlineStr">
        <is>
          <t>0120</t>
        </is>
      </c>
      <c r="G89" t="inlineStr">
        <is>
          <t>To AGG-NBE12 / (MX_LVL-01) /  VINA-OFC 12FO 2018  / cs  0120 / cáp treo</t>
        </is>
      </c>
    </row>
    <row r="90">
      <c r="A90" t="inlineStr">
        <is>
          <t>HNB011</t>
        </is>
      </c>
      <c r="B90" t="n">
        <v>3</v>
      </c>
      <c r="C90" t="inlineStr"/>
      <c r="D90" t="inlineStr">
        <is>
          <t>NBE12</t>
        </is>
      </c>
      <c r="E90" t="inlineStr">
        <is>
          <t>12</t>
        </is>
      </c>
      <c r="F90" t="inlineStr">
        <is>
          <t>0120</t>
        </is>
      </c>
      <c r="G90" t="inlineStr">
        <is>
          <t>To AGG-NBE12 / (MX_LVL-01) /  VINA-OFC 12FO 2018  / cs  0120 / cáp treo</t>
        </is>
      </c>
    </row>
    <row r="91">
      <c r="A91" t="inlineStr">
        <is>
          <t>HNB011</t>
        </is>
      </c>
      <c r="B91" t="n">
        <v>4</v>
      </c>
      <c r="C91" t="inlineStr"/>
      <c r="D91" t="inlineStr">
        <is>
          <t>NBE12</t>
        </is>
      </c>
      <c r="E91" t="inlineStr">
        <is>
          <t>12</t>
        </is>
      </c>
      <c r="F91" t="inlineStr">
        <is>
          <t>0120</t>
        </is>
      </c>
      <c r="G91" t="inlineStr">
        <is>
          <t>To AGG-NBE12 / (MX_LVL-01) /  VINA-OFC 12FO 2018  / cs  0120 / cáp treo</t>
        </is>
      </c>
    </row>
    <row r="92">
      <c r="A92" t="inlineStr">
        <is>
          <t>HNB011</t>
        </is>
      </c>
      <c r="B92" t="n">
        <v>5</v>
      </c>
      <c r="C92" t="inlineStr"/>
      <c r="D92" t="inlineStr">
        <is>
          <t>NBE12</t>
        </is>
      </c>
      <c r="E92" t="inlineStr">
        <is>
          <t>12</t>
        </is>
      </c>
      <c r="F92" t="inlineStr">
        <is>
          <t>0120</t>
        </is>
      </c>
      <c r="G92" t="inlineStr">
        <is>
          <t>To AGG-NBE12 / (MX_LVL-01) /  VINA-OFC 12FO 2018  / cs  0120 / cáp treo</t>
        </is>
      </c>
    </row>
    <row r="93">
      <c r="A93" t="inlineStr">
        <is>
          <t>HNB011</t>
        </is>
      </c>
      <c r="B93" t="n">
        <v>6</v>
      </c>
      <c r="C93" t="inlineStr"/>
      <c r="D93" t="inlineStr">
        <is>
          <t>NBE12</t>
        </is>
      </c>
      <c r="E93" t="inlineStr">
        <is>
          <t>12</t>
        </is>
      </c>
      <c r="F93" t="inlineStr">
        <is>
          <t>0120</t>
        </is>
      </c>
      <c r="G93" t="inlineStr">
        <is>
          <t>To AGG-NBE12 / (MX_LVL-01) /  VINA-OFC 12FO 2018  / cs  0120 / cáp treo</t>
        </is>
      </c>
    </row>
    <row r="94">
      <c r="A94" t="inlineStr">
        <is>
          <t>HNB011</t>
        </is>
      </c>
      <c r="B94" t="n">
        <v>7</v>
      </c>
      <c r="C94" t="inlineStr"/>
      <c r="D94" t="inlineStr">
        <is>
          <t>HNB056</t>
        </is>
      </c>
      <c r="E94" t="inlineStr">
        <is>
          <t>12</t>
        </is>
      </c>
      <c r="F94" t="inlineStr">
        <is>
          <t>2144</t>
        </is>
      </c>
      <c r="G94" t="inlineStr">
        <is>
          <t>To HNB056 /  PRYSMIAN 2009 12FO  / cs  2144 / cáp tròn /</t>
        </is>
      </c>
    </row>
    <row r="95">
      <c r="A95" t="inlineStr">
        <is>
          <t>HNB011</t>
        </is>
      </c>
      <c r="B95" t="n">
        <v>8</v>
      </c>
      <c r="C95" t="inlineStr"/>
      <c r="D95" t="inlineStr">
        <is>
          <t>HNB056</t>
        </is>
      </c>
      <c r="E95" t="inlineStr">
        <is>
          <t>12</t>
        </is>
      </c>
      <c r="F95" t="inlineStr">
        <is>
          <t>2144</t>
        </is>
      </c>
      <c r="G95" t="inlineStr">
        <is>
          <t>To HNB056 /  PRYSMIAN 2009 12FO  / cs  2144 / cáp tròn /</t>
        </is>
      </c>
    </row>
    <row r="96">
      <c r="A96" t="inlineStr">
        <is>
          <t>HNB011</t>
        </is>
      </c>
      <c r="B96" t="n">
        <v>9</v>
      </c>
      <c r="C96" t="inlineStr"/>
      <c r="D96" t="inlineStr">
        <is>
          <t>HNB056</t>
        </is>
      </c>
      <c r="E96" t="inlineStr">
        <is>
          <t>12</t>
        </is>
      </c>
      <c r="F96" t="inlineStr">
        <is>
          <t>2144</t>
        </is>
      </c>
      <c r="G96" t="inlineStr">
        <is>
          <t>To HNB056 /  PRYSMIAN 2009 12FO  / cs  2144 / cáp tròn /</t>
        </is>
      </c>
    </row>
    <row r="97">
      <c r="A97" t="inlineStr">
        <is>
          <t>HNB011</t>
        </is>
      </c>
      <c r="B97" t="n">
        <v>10</v>
      </c>
      <c r="C97" t="inlineStr"/>
      <c r="D97" t="inlineStr">
        <is>
          <t>HNB056</t>
        </is>
      </c>
      <c r="E97" t="inlineStr">
        <is>
          <t>12</t>
        </is>
      </c>
      <c r="F97" t="inlineStr">
        <is>
          <t>2144</t>
        </is>
      </c>
      <c r="G97" t="inlineStr">
        <is>
          <t>To HNB056 /  PRYSMIAN 2009 12FO  / cs  2144 / cáp tròn /</t>
        </is>
      </c>
    </row>
    <row r="98">
      <c r="A98" t="inlineStr">
        <is>
          <t>HNB011</t>
        </is>
      </c>
      <c r="B98" t="n">
        <v>11</v>
      </c>
      <c r="C98" t="inlineStr"/>
      <c r="D98" t="inlineStr">
        <is>
          <t>HNB056</t>
        </is>
      </c>
      <c r="E98" t="inlineStr">
        <is>
          <t>12</t>
        </is>
      </c>
      <c r="F98" t="inlineStr">
        <is>
          <t>2144</t>
        </is>
      </c>
      <c r="G98" t="inlineStr">
        <is>
          <t>To HNB056 /  PRYSMIAN 2009 12FO  / cs  2144 / cáp tròn /</t>
        </is>
      </c>
    </row>
    <row r="99">
      <c r="A99" t="inlineStr">
        <is>
          <t>HNB011</t>
        </is>
      </c>
      <c r="B99" t="n">
        <v>12</v>
      </c>
      <c r="C99" t="inlineStr"/>
      <c r="D99" t="inlineStr">
        <is>
          <t>HNB056</t>
        </is>
      </c>
      <c r="E99" t="inlineStr">
        <is>
          <t>12</t>
        </is>
      </c>
      <c r="F99" t="inlineStr">
        <is>
          <t>2144</t>
        </is>
      </c>
      <c r="G99" t="inlineStr">
        <is>
          <t>To HNB056 /  PRYSMIAN 2009 12FO  / cs  2144 / cáp tròn /</t>
        </is>
      </c>
    </row>
    <row r="100">
      <c r="A100" t="inlineStr">
        <is>
          <t>HNB056</t>
        </is>
      </c>
      <c r="B100" t="n">
        <v>1</v>
      </c>
      <c r="C100" t="inlineStr"/>
      <c r="D100" t="inlineStr">
        <is>
          <t>HNB011</t>
        </is>
      </c>
      <c r="E100" t="inlineStr">
        <is>
          <t>12</t>
        </is>
      </c>
      <c r="F100" t="inlineStr"/>
      <c r="G100" t="inlineStr">
        <is>
          <t>To HNB011 / PRYSMIAN 2009 12FO  / cs   / cáp tròn</t>
        </is>
      </c>
    </row>
    <row r="101">
      <c r="A101" t="inlineStr">
        <is>
          <t>HNB056</t>
        </is>
      </c>
      <c r="B101" t="n">
        <v>2</v>
      </c>
      <c r="C101" t="inlineStr"/>
      <c r="D101" t="inlineStr">
        <is>
          <t>HNB011</t>
        </is>
      </c>
      <c r="E101" t="inlineStr">
        <is>
          <t>12</t>
        </is>
      </c>
      <c r="F101" t="inlineStr"/>
      <c r="G101" t="inlineStr">
        <is>
          <t>To HNB011 / PRYSMIAN 2009 12FO  / cs   / cáp tròn</t>
        </is>
      </c>
    </row>
    <row r="102">
      <c r="A102" t="inlineStr">
        <is>
          <t>HNB056</t>
        </is>
      </c>
      <c r="B102" t="n">
        <v>3</v>
      </c>
      <c r="C102" t="inlineStr"/>
      <c r="D102" t="inlineStr">
        <is>
          <t>HNB011</t>
        </is>
      </c>
      <c r="E102" t="inlineStr">
        <is>
          <t>12</t>
        </is>
      </c>
      <c r="F102" t="inlineStr"/>
      <c r="G102" t="inlineStr">
        <is>
          <t>To HNB011 / PRYSMIAN 2009 12FO  / cs   / cáp tròn</t>
        </is>
      </c>
    </row>
    <row r="103">
      <c r="A103" t="inlineStr">
        <is>
          <t>HNB056</t>
        </is>
      </c>
      <c r="B103" t="n">
        <v>4</v>
      </c>
      <c r="C103" t="inlineStr"/>
      <c r="D103" t="inlineStr">
        <is>
          <t>HNB011</t>
        </is>
      </c>
      <c r="E103" t="inlineStr">
        <is>
          <t>12</t>
        </is>
      </c>
      <c r="F103" t="inlineStr"/>
      <c r="G103" t="inlineStr">
        <is>
          <t>To HNB011 / PRYSMIAN 2009 12FO  / cs   / cáp tròn</t>
        </is>
      </c>
    </row>
    <row r="104">
      <c r="A104" t="inlineStr">
        <is>
          <t>HNB056</t>
        </is>
      </c>
      <c r="B104" t="n">
        <v>5</v>
      </c>
      <c r="C104" t="inlineStr"/>
      <c r="D104" t="inlineStr">
        <is>
          <t>HNB011</t>
        </is>
      </c>
      <c r="E104" t="inlineStr">
        <is>
          <t>12</t>
        </is>
      </c>
      <c r="F104" t="inlineStr"/>
      <c r="G104" t="inlineStr">
        <is>
          <t>To HNB011 / PRYSMIAN 2009 12FO  / cs   / cáp tròn</t>
        </is>
      </c>
    </row>
    <row r="105">
      <c r="A105" t="inlineStr">
        <is>
          <t>HNB056</t>
        </is>
      </c>
      <c r="B105" t="n">
        <v>6</v>
      </c>
      <c r="C105" t="inlineStr"/>
      <c r="D105" t="inlineStr">
        <is>
          <t>HNB011</t>
        </is>
      </c>
      <c r="E105" t="inlineStr">
        <is>
          <t>12</t>
        </is>
      </c>
      <c r="F105" t="inlineStr"/>
      <c r="G105" t="inlineStr">
        <is>
          <t>To HNB011 / PRYSMIAN 2009 12FO  / cs   / cáp tròn</t>
        </is>
      </c>
    </row>
    <row r="106">
      <c r="A106" t="inlineStr">
        <is>
          <t>HNB056</t>
        </is>
      </c>
      <c r="B106" t="n">
        <v>7</v>
      </c>
      <c r="C106" t="inlineStr"/>
      <c r="D106" t="inlineStr">
        <is>
          <t>HNB071</t>
        </is>
      </c>
      <c r="E106" t="inlineStr"/>
      <c r="F106" t="inlineStr"/>
      <c r="G106" t="inlineStr">
        <is>
          <t>To HNB071 /</t>
        </is>
      </c>
    </row>
    <row r="107">
      <c r="A107" t="inlineStr">
        <is>
          <t>HNB056</t>
        </is>
      </c>
      <c r="B107" t="n">
        <v>8</v>
      </c>
      <c r="C107" t="inlineStr"/>
      <c r="D107" t="inlineStr">
        <is>
          <t>HNB071</t>
        </is>
      </c>
      <c r="E107" t="inlineStr"/>
      <c r="F107" t="inlineStr"/>
      <c r="G107" t="inlineStr">
        <is>
          <t>To HNB071 /</t>
        </is>
      </c>
    </row>
    <row r="108">
      <c r="A108" t="inlineStr">
        <is>
          <t>HNB056</t>
        </is>
      </c>
      <c r="B108" t="n">
        <v>9</v>
      </c>
      <c r="C108" t="inlineStr"/>
      <c r="D108" t="inlineStr">
        <is>
          <t>HNB071</t>
        </is>
      </c>
      <c r="E108" t="inlineStr"/>
      <c r="F108" t="inlineStr"/>
      <c r="G108" t="inlineStr">
        <is>
          <t>To HNB071 /</t>
        </is>
      </c>
    </row>
    <row r="109">
      <c r="A109" t="inlineStr">
        <is>
          <t>HNB056</t>
        </is>
      </c>
      <c r="B109" t="n">
        <v>10</v>
      </c>
      <c r="C109" t="inlineStr"/>
      <c r="D109" t="inlineStr">
        <is>
          <t>HNB071</t>
        </is>
      </c>
      <c r="E109" t="inlineStr"/>
      <c r="F109" t="inlineStr"/>
      <c r="G109" t="inlineStr">
        <is>
          <t>To HNB071 /</t>
        </is>
      </c>
    </row>
    <row r="110">
      <c r="A110" t="inlineStr">
        <is>
          <t>HNB056</t>
        </is>
      </c>
      <c r="B110" t="n">
        <v>11</v>
      </c>
      <c r="C110" t="inlineStr"/>
      <c r="D110" t="inlineStr">
        <is>
          <t>HNB071</t>
        </is>
      </c>
      <c r="E110" t="inlineStr"/>
      <c r="F110" t="inlineStr"/>
      <c r="G110" t="inlineStr">
        <is>
          <t>To HNB071 /</t>
        </is>
      </c>
    </row>
    <row r="111">
      <c r="A111" t="inlineStr">
        <is>
          <t>HNB056</t>
        </is>
      </c>
      <c r="B111" t="n">
        <v>12</v>
      </c>
      <c r="C111" t="inlineStr"/>
      <c r="D111" t="inlineStr">
        <is>
          <t>HNB071</t>
        </is>
      </c>
      <c r="E111" t="inlineStr"/>
      <c r="F111" t="inlineStr"/>
      <c r="G111" t="inlineStr">
        <is>
          <t>To HNB071 /</t>
        </is>
      </c>
    </row>
    <row r="112">
      <c r="A112" t="inlineStr">
        <is>
          <t>HNB071</t>
        </is>
      </c>
      <c r="B112" t="n">
        <v>1</v>
      </c>
      <c r="C112" t="inlineStr"/>
      <c r="D112" t="inlineStr">
        <is>
          <t>HNB056</t>
        </is>
      </c>
      <c r="E112" t="inlineStr"/>
      <c r="F112" t="inlineStr"/>
      <c r="G112" t="inlineStr">
        <is>
          <t>To HNB056</t>
        </is>
      </c>
    </row>
    <row r="113">
      <c r="A113" t="inlineStr">
        <is>
          <t>HNB071</t>
        </is>
      </c>
      <c r="B113" t="n">
        <v>2</v>
      </c>
      <c r="C113" t="inlineStr"/>
      <c r="D113" t="inlineStr">
        <is>
          <t>HNB056</t>
        </is>
      </c>
      <c r="E113" t="inlineStr"/>
      <c r="F113" t="inlineStr"/>
      <c r="G113" t="inlineStr">
        <is>
          <t>To HNB056</t>
        </is>
      </c>
    </row>
    <row r="114">
      <c r="A114" t="inlineStr">
        <is>
          <t>HNB071</t>
        </is>
      </c>
      <c r="B114" t="n">
        <v>3</v>
      </c>
      <c r="C114" t="inlineStr"/>
      <c r="D114" t="inlineStr">
        <is>
          <t>HNB056</t>
        </is>
      </c>
      <c r="E114" t="inlineStr"/>
      <c r="F114" t="inlineStr"/>
      <c r="G114" t="inlineStr">
        <is>
          <t>To HNB056</t>
        </is>
      </c>
    </row>
    <row r="115">
      <c r="A115" t="inlineStr">
        <is>
          <t>HNB071</t>
        </is>
      </c>
      <c r="B115" t="n">
        <v>4</v>
      </c>
      <c r="C115" t="inlineStr"/>
      <c r="D115" t="inlineStr">
        <is>
          <t>HNB056</t>
        </is>
      </c>
      <c r="E115" t="inlineStr"/>
      <c r="F115" t="inlineStr"/>
      <c r="G115" t="inlineStr">
        <is>
          <t>To HNB056</t>
        </is>
      </c>
    </row>
    <row r="116">
      <c r="A116" t="inlineStr">
        <is>
          <t>HNB071</t>
        </is>
      </c>
      <c r="B116" t="n">
        <v>5</v>
      </c>
      <c r="C116" t="inlineStr"/>
      <c r="D116" t="inlineStr">
        <is>
          <t>HNB056</t>
        </is>
      </c>
      <c r="E116" t="inlineStr"/>
      <c r="F116" t="inlineStr"/>
      <c r="G116" t="inlineStr">
        <is>
          <t>To HNB056</t>
        </is>
      </c>
    </row>
    <row r="117">
      <c r="A117" t="inlineStr">
        <is>
          <t>HNB071</t>
        </is>
      </c>
      <c r="B117" t="n">
        <v>6</v>
      </c>
      <c r="C117" t="inlineStr"/>
      <c r="D117" t="inlineStr">
        <is>
          <t>HNB056</t>
        </is>
      </c>
      <c r="E117" t="inlineStr"/>
      <c r="F117" t="inlineStr"/>
      <c r="G117" t="inlineStr">
        <is>
          <t>To HNB056</t>
        </is>
      </c>
    </row>
    <row r="118">
      <c r="A118" t="inlineStr">
        <is>
          <t>HNB071</t>
        </is>
      </c>
      <c r="B118" t="n">
        <v>7</v>
      </c>
      <c r="C118" t="inlineStr"/>
      <c r="D118" t="inlineStr">
        <is>
          <t>HNB073</t>
        </is>
      </c>
      <c r="E118" t="inlineStr">
        <is>
          <t>8</t>
        </is>
      </c>
      <c r="F118" t="inlineStr">
        <is>
          <t>0023</t>
        </is>
      </c>
      <c r="G118" t="inlineStr">
        <is>
          <t>To HNB073 / POSTEF 8FO 2017  / (cs 0023) / cáp treo</t>
        </is>
      </c>
    </row>
    <row r="119">
      <c r="A119" t="inlineStr">
        <is>
          <t>HNB071</t>
        </is>
      </c>
      <c r="B119" t="n">
        <v>8</v>
      </c>
      <c r="C119" t="inlineStr"/>
      <c r="D119" t="inlineStr">
        <is>
          <t>HNB073</t>
        </is>
      </c>
      <c r="E119" t="inlineStr">
        <is>
          <t>8</t>
        </is>
      </c>
      <c r="F119" t="inlineStr">
        <is>
          <t>0023</t>
        </is>
      </c>
      <c r="G119" t="inlineStr">
        <is>
          <t>To HNB073 / POSTEF 8FO 2017  / (cs 0023) / cáp treo</t>
        </is>
      </c>
    </row>
    <row r="120">
      <c r="A120" t="inlineStr">
        <is>
          <t>HNB071</t>
        </is>
      </c>
      <c r="B120" t="n">
        <v>9</v>
      </c>
      <c r="C120" t="inlineStr"/>
      <c r="D120" t="inlineStr">
        <is>
          <t>HNB073</t>
        </is>
      </c>
      <c r="E120" t="inlineStr">
        <is>
          <t>8</t>
        </is>
      </c>
      <c r="F120" t="inlineStr">
        <is>
          <t>0023</t>
        </is>
      </c>
      <c r="G120" t="inlineStr">
        <is>
          <t>To HNB073 / POSTEF 8FO 2017  / (cs 0023) / cáp treo</t>
        </is>
      </c>
    </row>
    <row r="121">
      <c r="A121" t="inlineStr">
        <is>
          <t>HNB071</t>
        </is>
      </c>
      <c r="B121" t="n">
        <v>10</v>
      </c>
      <c r="C121" t="inlineStr"/>
      <c r="D121" t="inlineStr">
        <is>
          <t>HNB073</t>
        </is>
      </c>
      <c r="E121" t="inlineStr">
        <is>
          <t>8</t>
        </is>
      </c>
      <c r="F121" t="inlineStr">
        <is>
          <t>0023</t>
        </is>
      </c>
      <c r="G121" t="inlineStr">
        <is>
          <t>To HNB073 / POSTEF 8FO 2017  / (cs 0023) / cáp treo</t>
        </is>
      </c>
    </row>
    <row r="122">
      <c r="A122" t="inlineStr">
        <is>
          <t>HNB071</t>
        </is>
      </c>
      <c r="B122" t="n">
        <v>11</v>
      </c>
      <c r="C122" t="inlineStr"/>
      <c r="D122" t="inlineStr">
        <is>
          <t>HNB073</t>
        </is>
      </c>
      <c r="E122" t="inlineStr">
        <is>
          <t>8</t>
        </is>
      </c>
      <c r="F122" t="inlineStr">
        <is>
          <t>0023</t>
        </is>
      </c>
      <c r="G122" t="inlineStr">
        <is>
          <t>To HNB073 / POSTEF 8FO 2017  / (cs 0023) / cáp treo</t>
        </is>
      </c>
    </row>
    <row r="123">
      <c r="A123" t="inlineStr">
        <is>
          <t>HNB071</t>
        </is>
      </c>
      <c r="B123" t="n">
        <v>12</v>
      </c>
      <c r="C123" t="inlineStr"/>
      <c r="D123" t="inlineStr">
        <is>
          <t>HNB073</t>
        </is>
      </c>
      <c r="E123" t="inlineStr">
        <is>
          <t>8</t>
        </is>
      </c>
      <c r="F123" t="inlineStr">
        <is>
          <t>0023</t>
        </is>
      </c>
      <c r="G123" t="inlineStr">
        <is>
          <t>To HNB073 / POSTEF 8FO 2017  / (cs 0023) / cáp treo</t>
        </is>
      </c>
    </row>
    <row r="124">
      <c r="A124" t="inlineStr">
        <is>
          <t>HNB073</t>
        </is>
      </c>
      <c r="B124" t="n">
        <v>1</v>
      </c>
      <c r="C124" t="inlineStr"/>
      <c r="D124" t="inlineStr">
        <is>
          <t>HNB071</t>
        </is>
      </c>
      <c r="E124" t="inlineStr">
        <is>
          <t>8</t>
        </is>
      </c>
      <c r="F124" t="inlineStr">
        <is>
          <t>0023</t>
        </is>
      </c>
      <c r="G124" t="inlineStr">
        <is>
          <t>To HNB071 / POSTEF 8FO 2017  / (cs 0023) / cáp treo</t>
        </is>
      </c>
    </row>
    <row r="125">
      <c r="A125" t="inlineStr">
        <is>
          <t>HNB073</t>
        </is>
      </c>
      <c r="B125" t="n">
        <v>2</v>
      </c>
      <c r="C125" t="inlineStr"/>
      <c r="D125" t="inlineStr">
        <is>
          <t>HNB071</t>
        </is>
      </c>
      <c r="E125" t="inlineStr">
        <is>
          <t>8</t>
        </is>
      </c>
      <c r="F125" t="inlineStr">
        <is>
          <t>0023</t>
        </is>
      </c>
      <c r="G125" t="inlineStr">
        <is>
          <t>To HNB071 / POSTEF 8FO 2017  / (cs 0023) / cáp treo</t>
        </is>
      </c>
    </row>
    <row r="126">
      <c r="A126" t="inlineStr">
        <is>
          <t>HNB073</t>
        </is>
      </c>
      <c r="B126" t="n">
        <v>3</v>
      </c>
      <c r="C126" t="inlineStr"/>
      <c r="D126" t="inlineStr">
        <is>
          <t>HNB071</t>
        </is>
      </c>
      <c r="E126" t="inlineStr">
        <is>
          <t>8</t>
        </is>
      </c>
      <c r="F126" t="inlineStr">
        <is>
          <t>0023</t>
        </is>
      </c>
      <c r="G126" t="inlineStr">
        <is>
          <t>To HNB071 / POSTEF 8FO 2017  / (cs 0023) / cáp treo</t>
        </is>
      </c>
    </row>
    <row r="127">
      <c r="A127" t="inlineStr">
        <is>
          <t>HNB073</t>
        </is>
      </c>
      <c r="B127" t="n">
        <v>4</v>
      </c>
      <c r="C127" t="inlineStr"/>
      <c r="D127" t="inlineStr">
        <is>
          <t>HNB071</t>
        </is>
      </c>
      <c r="E127" t="inlineStr">
        <is>
          <t>8</t>
        </is>
      </c>
      <c r="F127" t="inlineStr">
        <is>
          <t>0023</t>
        </is>
      </c>
      <c r="G127" t="inlineStr">
        <is>
          <t>To HNB071 / POSTEF 8FO 2017  / (cs 0023) / cáp treo</t>
        </is>
      </c>
    </row>
    <row r="128">
      <c r="A128" t="inlineStr">
        <is>
          <t>HNB073</t>
        </is>
      </c>
      <c r="B128" t="n">
        <v>5</v>
      </c>
      <c r="C128" t="inlineStr"/>
      <c r="D128" t="inlineStr">
        <is>
          <t>HNB071</t>
        </is>
      </c>
      <c r="E128" t="inlineStr">
        <is>
          <t>8</t>
        </is>
      </c>
      <c r="F128" t="inlineStr">
        <is>
          <t>0023</t>
        </is>
      </c>
      <c r="G128" t="inlineStr">
        <is>
          <t>To HNB071 / POSTEF 8FO 2017  / (cs 0023) / cáp treo</t>
        </is>
      </c>
    </row>
    <row r="129">
      <c r="A129" t="inlineStr">
        <is>
          <t>HNB073</t>
        </is>
      </c>
      <c r="B129" t="n">
        <v>6</v>
      </c>
      <c r="C129" t="inlineStr"/>
      <c r="D129" t="inlineStr">
        <is>
          <t>HNB071</t>
        </is>
      </c>
      <c r="E129" t="inlineStr">
        <is>
          <t>8</t>
        </is>
      </c>
      <c r="F129" t="inlineStr">
        <is>
          <t>0023</t>
        </is>
      </c>
      <c r="G129" t="inlineStr">
        <is>
          <t>To HNB071 / POSTEF 8FO 2017  / (cs 0023) / cáp treo</t>
        </is>
      </c>
    </row>
    <row r="130">
      <c r="A130" t="inlineStr">
        <is>
          <t>HNB073</t>
        </is>
      </c>
      <c r="B130" t="n">
        <v>7</v>
      </c>
      <c r="C130" t="inlineStr"/>
      <c r="D130" t="inlineStr">
        <is>
          <t>NBE22</t>
        </is>
      </c>
      <c r="E130" t="inlineStr"/>
      <c r="F130" t="inlineStr">
        <is>
          <t>2285</t>
        </is>
      </c>
      <c r="G130" t="inlineStr">
        <is>
          <t>To AGG-NBE22 / (MX_LVL-02) / VINA-OFC 2017 / (cs 2285) / cáp treo</t>
        </is>
      </c>
    </row>
    <row r="131">
      <c r="A131" t="inlineStr">
        <is>
          <t>HNB073</t>
        </is>
      </c>
      <c r="B131" t="n">
        <v>8</v>
      </c>
      <c r="C131" t="inlineStr"/>
      <c r="D131" t="inlineStr">
        <is>
          <t>NBE22</t>
        </is>
      </c>
      <c r="E131" t="inlineStr"/>
      <c r="F131" t="inlineStr">
        <is>
          <t>2285</t>
        </is>
      </c>
      <c r="G131" t="inlineStr">
        <is>
          <t>To AGG-NBE22 / (MX_LVL-02) / VINA-OFC 2017 / (cs 2285) / cáp treo</t>
        </is>
      </c>
    </row>
    <row r="132">
      <c r="A132" t="inlineStr">
        <is>
          <t>HNB073</t>
        </is>
      </c>
      <c r="B132" t="n">
        <v>9</v>
      </c>
      <c r="C132" t="inlineStr"/>
      <c r="D132" t="inlineStr">
        <is>
          <t>NBE22</t>
        </is>
      </c>
      <c r="E132" t="inlineStr"/>
      <c r="F132" t="inlineStr">
        <is>
          <t>2285</t>
        </is>
      </c>
      <c r="G132" t="inlineStr">
        <is>
          <t>To AGG-NBE22 / (MX_LVL-02) / VINA-OFC 2017 / (cs 2285) / cáp treo</t>
        </is>
      </c>
    </row>
    <row r="133">
      <c r="A133" t="inlineStr">
        <is>
          <t>HNB073</t>
        </is>
      </c>
      <c r="B133" t="n">
        <v>10</v>
      </c>
      <c r="C133" t="inlineStr"/>
      <c r="D133" t="inlineStr">
        <is>
          <t>NBE22</t>
        </is>
      </c>
      <c r="E133" t="inlineStr"/>
      <c r="F133" t="inlineStr">
        <is>
          <t>2285</t>
        </is>
      </c>
      <c r="G133" t="inlineStr">
        <is>
          <t>To AGG-NBE22 / (MX_LVL-02) / VINA-OFC 2017 / (cs 2285) / cáp treo</t>
        </is>
      </c>
    </row>
    <row r="134">
      <c r="A134" t="inlineStr">
        <is>
          <t>HNB073</t>
        </is>
      </c>
      <c r="B134" t="n">
        <v>11</v>
      </c>
      <c r="C134" t="inlineStr"/>
      <c r="D134" t="inlineStr">
        <is>
          <t>NBE22</t>
        </is>
      </c>
      <c r="E134" t="inlineStr"/>
      <c r="F134" t="inlineStr">
        <is>
          <t>2285</t>
        </is>
      </c>
      <c r="G134" t="inlineStr">
        <is>
          <t>To AGG-NBE22 / (MX_LVL-02) / VINA-OFC 2017 / (cs 2285) / cáp treo</t>
        </is>
      </c>
    </row>
    <row r="135">
      <c r="A135" t="inlineStr">
        <is>
          <t>HNB073</t>
        </is>
      </c>
      <c r="B135" t="n">
        <v>12</v>
      </c>
      <c r="C135" t="inlineStr"/>
      <c r="D135" t="inlineStr">
        <is>
          <t>NBE22</t>
        </is>
      </c>
      <c r="E135" t="inlineStr"/>
      <c r="F135" t="inlineStr">
        <is>
          <t>2285</t>
        </is>
      </c>
      <c r="G135" t="inlineStr">
        <is>
          <t>To AGG-NBE22 / (MX_LVL-02) / VINA-OFC 2017 / (cs 2285) / cáp treo</t>
        </is>
      </c>
    </row>
    <row r="136">
      <c r="A136" t="inlineStr">
        <is>
          <t>HNB055</t>
        </is>
      </c>
      <c r="B136" t="n">
        <v>1</v>
      </c>
      <c r="C136" t="inlineStr"/>
      <c r="D136" t="inlineStr">
        <is>
          <t>HNB065</t>
        </is>
      </c>
      <c r="E136" t="inlineStr">
        <is>
          <t>8</t>
        </is>
      </c>
      <c r="F136" t="inlineStr">
        <is>
          <t>0070</t>
        </is>
      </c>
      <c r="G136" t="inlineStr">
        <is>
          <t>To HNB065 / POSTEF 8FO 6/2019  / (cs 0070) / cáp treo</t>
        </is>
      </c>
    </row>
    <row r="137">
      <c r="A137" t="inlineStr">
        <is>
          <t>HNB055</t>
        </is>
      </c>
      <c r="B137" t="n">
        <v>2</v>
      </c>
      <c r="C137" t="inlineStr"/>
      <c r="D137" t="inlineStr">
        <is>
          <t>HNB065</t>
        </is>
      </c>
      <c r="E137" t="inlineStr">
        <is>
          <t>8</t>
        </is>
      </c>
      <c r="F137" t="inlineStr">
        <is>
          <t>0070</t>
        </is>
      </c>
      <c r="G137" t="inlineStr">
        <is>
          <t>To HNB065 / POSTEF 8FO 6/2019  / (cs 0070) / cáp treo</t>
        </is>
      </c>
    </row>
    <row r="138">
      <c r="A138" t="inlineStr">
        <is>
          <t>HNB055</t>
        </is>
      </c>
      <c r="B138" t="n">
        <v>3</v>
      </c>
      <c r="C138" t="inlineStr"/>
      <c r="D138" t="inlineStr">
        <is>
          <t>HNB065</t>
        </is>
      </c>
      <c r="E138" t="inlineStr">
        <is>
          <t>8</t>
        </is>
      </c>
      <c r="F138" t="inlineStr">
        <is>
          <t>0070</t>
        </is>
      </c>
      <c r="G138" t="inlineStr">
        <is>
          <t>To HNB065 / POSTEF 8FO 6/2019  / (cs 0070) / cáp treo</t>
        </is>
      </c>
    </row>
    <row r="139">
      <c r="A139" t="inlineStr">
        <is>
          <t>HNB055</t>
        </is>
      </c>
      <c r="B139" t="n">
        <v>4</v>
      </c>
      <c r="C139" t="inlineStr"/>
      <c r="D139" t="inlineStr">
        <is>
          <t>HNB065</t>
        </is>
      </c>
      <c r="E139" t="inlineStr">
        <is>
          <t>8</t>
        </is>
      </c>
      <c r="F139" t="inlineStr">
        <is>
          <t>0070</t>
        </is>
      </c>
      <c r="G139" t="inlineStr">
        <is>
          <t>To HNB065 / POSTEF 8FO 6/2019  / (cs 0070) / cáp treo</t>
        </is>
      </c>
    </row>
    <row r="140">
      <c r="A140" t="inlineStr">
        <is>
          <t>HNB055</t>
        </is>
      </c>
      <c r="B140" t="n">
        <v>5</v>
      </c>
      <c r="C140" t="inlineStr"/>
      <c r="D140" t="inlineStr">
        <is>
          <t>HNB065</t>
        </is>
      </c>
      <c r="E140" t="inlineStr">
        <is>
          <t>8</t>
        </is>
      </c>
      <c r="F140" t="inlineStr">
        <is>
          <t>0070</t>
        </is>
      </c>
      <c r="G140" t="inlineStr">
        <is>
          <t>To HNB065 / POSTEF 8FO 6/2019  / (cs 0070) / cáp treo</t>
        </is>
      </c>
    </row>
    <row r="141">
      <c r="A141" t="inlineStr">
        <is>
          <t>HNB055</t>
        </is>
      </c>
      <c r="B141" t="n">
        <v>6</v>
      </c>
      <c r="C141" t="inlineStr"/>
      <c r="D141" t="inlineStr">
        <is>
          <t>HNB065</t>
        </is>
      </c>
      <c r="E141" t="inlineStr">
        <is>
          <t>8</t>
        </is>
      </c>
      <c r="F141" t="inlineStr">
        <is>
          <t>0070</t>
        </is>
      </c>
      <c r="G141" t="inlineStr">
        <is>
          <t>To HNB065 / POSTEF 8FO 6/2019  / (cs 0070) / cáp treo</t>
        </is>
      </c>
    </row>
    <row r="142">
      <c r="A142" t="inlineStr">
        <is>
          <t>HNB055</t>
        </is>
      </c>
      <c r="B142" t="n">
        <v>7</v>
      </c>
      <c r="C142" t="inlineStr"/>
      <c r="D142" t="inlineStr">
        <is>
          <t>NBE12</t>
        </is>
      </c>
      <c r="E142" t="inlineStr">
        <is>
          <t>8</t>
        </is>
      </c>
      <c r="F142" t="inlineStr">
        <is>
          <t>1666</t>
        </is>
      </c>
      <c r="G142" t="inlineStr">
        <is>
          <t>To AGG-NBE12 / (MX_LVL-02) / POSTEF 8FO 6/2019 / (cs 1666) / cáp treo</t>
        </is>
      </c>
    </row>
    <row r="143">
      <c r="A143" t="inlineStr">
        <is>
          <t>HNB055</t>
        </is>
      </c>
      <c r="B143" t="n">
        <v>8</v>
      </c>
      <c r="C143" t="inlineStr"/>
      <c r="D143" t="inlineStr">
        <is>
          <t>NBE12</t>
        </is>
      </c>
      <c r="E143" t="inlineStr">
        <is>
          <t>8</t>
        </is>
      </c>
      <c r="F143" t="inlineStr">
        <is>
          <t>1666</t>
        </is>
      </c>
      <c r="G143" t="inlineStr">
        <is>
          <t>To AGG-NBE12 / (MX_LVL-02) / POSTEF 8FO 6/2019 / (cs 1666) / cáp treo</t>
        </is>
      </c>
    </row>
    <row r="144">
      <c r="A144" t="inlineStr">
        <is>
          <t>HNB055</t>
        </is>
      </c>
      <c r="B144" t="n">
        <v>9</v>
      </c>
      <c r="C144" t="inlineStr"/>
      <c r="D144" t="inlineStr">
        <is>
          <t>NBE12</t>
        </is>
      </c>
      <c r="E144" t="inlineStr">
        <is>
          <t>8</t>
        </is>
      </c>
      <c r="F144" t="inlineStr">
        <is>
          <t>1666</t>
        </is>
      </c>
      <c r="G144" t="inlineStr">
        <is>
          <t>To AGG-NBE12 / (MX_LVL-02) / POSTEF 8FO 6/2019 / (cs 1666) / cáp treo</t>
        </is>
      </c>
    </row>
    <row r="145">
      <c r="A145" t="inlineStr">
        <is>
          <t>HNB055</t>
        </is>
      </c>
      <c r="B145" t="n">
        <v>10</v>
      </c>
      <c r="C145" t="inlineStr"/>
      <c r="D145" t="inlineStr">
        <is>
          <t>NBE12</t>
        </is>
      </c>
      <c r="E145" t="inlineStr">
        <is>
          <t>8</t>
        </is>
      </c>
      <c r="F145" t="inlineStr">
        <is>
          <t>1666</t>
        </is>
      </c>
      <c r="G145" t="inlineStr">
        <is>
          <t>To AGG-NBE12 / (MX_LVL-02) / POSTEF 8FO 6/2019 / (cs 1666) / cáp treo</t>
        </is>
      </c>
    </row>
    <row r="146">
      <c r="A146" t="inlineStr">
        <is>
          <t>HNB055</t>
        </is>
      </c>
      <c r="B146" t="n">
        <v>11</v>
      </c>
      <c r="C146" t="inlineStr"/>
      <c r="D146" t="inlineStr">
        <is>
          <t>NBE12</t>
        </is>
      </c>
      <c r="E146" t="inlineStr">
        <is>
          <t>8</t>
        </is>
      </c>
      <c r="F146" t="inlineStr">
        <is>
          <t>1666</t>
        </is>
      </c>
      <c r="G146" t="inlineStr">
        <is>
          <t>To AGG-NBE12 / (MX_LVL-02) / POSTEF 8FO 6/2019 / (cs 1666) / cáp treo</t>
        </is>
      </c>
    </row>
    <row r="147">
      <c r="A147" t="inlineStr">
        <is>
          <t>HNB055</t>
        </is>
      </c>
      <c r="B147" t="n">
        <v>12</v>
      </c>
      <c r="C147" t="inlineStr"/>
      <c r="D147" t="inlineStr">
        <is>
          <t>NBE12</t>
        </is>
      </c>
      <c r="E147" t="inlineStr">
        <is>
          <t>8</t>
        </is>
      </c>
      <c r="F147" t="inlineStr">
        <is>
          <t>1666</t>
        </is>
      </c>
      <c r="G147" t="inlineStr">
        <is>
          <t>To AGG-NBE12 / (MX_LVL-02) / POSTEF 8FO 6/2019 / (cs 1666) / cáp treo</t>
        </is>
      </c>
    </row>
    <row r="148">
      <c r="A148" t="inlineStr">
        <is>
          <t>HNB065</t>
        </is>
      </c>
      <c r="B148" t="n">
        <v>1</v>
      </c>
      <c r="C148" t="inlineStr"/>
      <c r="D148" t="inlineStr">
        <is>
          <t>HNB055</t>
        </is>
      </c>
      <c r="E148" t="inlineStr">
        <is>
          <t>8</t>
        </is>
      </c>
      <c r="F148" t="inlineStr">
        <is>
          <t>1058</t>
        </is>
      </c>
      <c r="G148" t="inlineStr">
        <is>
          <t>To HNB055 / POSTEF 8FO 6/2019  / (cs 1058) / cáp treo</t>
        </is>
      </c>
    </row>
    <row r="149">
      <c r="A149" t="inlineStr">
        <is>
          <t>HNB065</t>
        </is>
      </c>
      <c r="B149" t="n">
        <v>2</v>
      </c>
      <c r="C149" t="inlineStr"/>
      <c r="D149" t="inlineStr">
        <is>
          <t>HNB055</t>
        </is>
      </c>
      <c r="E149" t="inlineStr">
        <is>
          <t>8</t>
        </is>
      </c>
      <c r="F149" t="inlineStr">
        <is>
          <t>1058</t>
        </is>
      </c>
      <c r="G149" t="inlineStr">
        <is>
          <t>To HNB055 / POSTEF 8FO 6/2019  / (cs 1058) / cáp treo</t>
        </is>
      </c>
    </row>
    <row r="150">
      <c r="A150" t="inlineStr">
        <is>
          <t>HNB065</t>
        </is>
      </c>
      <c r="B150" t="n">
        <v>3</v>
      </c>
      <c r="C150" t="inlineStr"/>
      <c r="D150" t="inlineStr">
        <is>
          <t>HNB055</t>
        </is>
      </c>
      <c r="E150" t="inlineStr">
        <is>
          <t>8</t>
        </is>
      </c>
      <c r="F150" t="inlineStr">
        <is>
          <t>1058</t>
        </is>
      </c>
      <c r="G150" t="inlineStr">
        <is>
          <t>To HNB055 / POSTEF 8FO 6/2019  / (cs 1058) / cáp treo</t>
        </is>
      </c>
    </row>
    <row r="151">
      <c r="A151" t="inlineStr">
        <is>
          <t>HNB065</t>
        </is>
      </c>
      <c r="B151" t="n">
        <v>4</v>
      </c>
      <c r="C151" t="inlineStr"/>
      <c r="D151" t="inlineStr">
        <is>
          <t>HNB055</t>
        </is>
      </c>
      <c r="E151" t="inlineStr">
        <is>
          <t>8</t>
        </is>
      </c>
      <c r="F151" t="inlineStr">
        <is>
          <t>1058</t>
        </is>
      </c>
      <c r="G151" t="inlineStr">
        <is>
          <t>To HNB055 / POSTEF 8FO 6/2019  / (cs 1058) / cáp treo</t>
        </is>
      </c>
    </row>
    <row r="152">
      <c r="A152" t="inlineStr">
        <is>
          <t>HNB065</t>
        </is>
      </c>
      <c r="B152" t="n">
        <v>5</v>
      </c>
      <c r="C152" t="inlineStr"/>
      <c r="D152" t="inlineStr">
        <is>
          <t>HNB055</t>
        </is>
      </c>
      <c r="E152" t="inlineStr">
        <is>
          <t>8</t>
        </is>
      </c>
      <c r="F152" t="inlineStr">
        <is>
          <t>1058</t>
        </is>
      </c>
      <c r="G152" t="inlineStr">
        <is>
          <t>To HNB055 / POSTEF 8FO 6/2019  / (cs 1058) / cáp treo</t>
        </is>
      </c>
    </row>
    <row r="153">
      <c r="A153" t="inlineStr">
        <is>
          <t>HNB065</t>
        </is>
      </c>
      <c r="B153" t="n">
        <v>6</v>
      </c>
      <c r="C153" t="inlineStr"/>
      <c r="D153" t="inlineStr">
        <is>
          <t>HNB055</t>
        </is>
      </c>
      <c r="E153" t="inlineStr">
        <is>
          <t>8</t>
        </is>
      </c>
      <c r="F153" t="inlineStr">
        <is>
          <t>1058</t>
        </is>
      </c>
      <c r="G153" t="inlineStr">
        <is>
          <t>To HNB055 / POSTEF 8FO 6/2019  / (cs 1058) / cáp treo</t>
        </is>
      </c>
    </row>
    <row r="154">
      <c r="A154" t="inlineStr">
        <is>
          <t>HNB065</t>
        </is>
      </c>
      <c r="B154" t="n">
        <v>7</v>
      </c>
      <c r="C154" t="inlineStr"/>
      <c r="D154" t="inlineStr">
        <is>
          <t>HNB094</t>
        </is>
      </c>
      <c r="E154" t="inlineStr">
        <is>
          <t>12</t>
        </is>
      </c>
      <c r="F154" t="inlineStr">
        <is>
          <t>0126</t>
        </is>
      </c>
      <c r="G154" t="inlineStr">
        <is>
          <t>To HNB094 / (MX_LVL-02) / SACOM 12F0 3/2016 / (cs 0126) / cáp treo</t>
        </is>
      </c>
    </row>
    <row r="155">
      <c r="A155" t="inlineStr">
        <is>
          <t>HNB065</t>
        </is>
      </c>
      <c r="B155" t="n">
        <v>8</v>
      </c>
      <c r="C155" t="inlineStr"/>
      <c r="D155" t="inlineStr">
        <is>
          <t>HNB094</t>
        </is>
      </c>
      <c r="E155" t="inlineStr">
        <is>
          <t>12</t>
        </is>
      </c>
      <c r="F155" t="inlineStr">
        <is>
          <t>0126</t>
        </is>
      </c>
      <c r="G155" t="inlineStr">
        <is>
          <t>To HNB094 / (MX_LVL-02) / SACOM 12F0 3/2016 / (cs 0126) / cáp treo</t>
        </is>
      </c>
    </row>
    <row r="156">
      <c r="A156" t="inlineStr">
        <is>
          <t>HNB065</t>
        </is>
      </c>
      <c r="B156" t="n">
        <v>9</v>
      </c>
      <c r="C156" t="inlineStr"/>
      <c r="D156" t="inlineStr">
        <is>
          <t>HNB094</t>
        </is>
      </c>
      <c r="E156" t="inlineStr">
        <is>
          <t>12</t>
        </is>
      </c>
      <c r="F156" t="inlineStr">
        <is>
          <t>0126</t>
        </is>
      </c>
      <c r="G156" t="inlineStr">
        <is>
          <t>To HNB094 / (MX_LVL-02) / SACOM 12F0 3/2016 / (cs 0126) / cáp treo</t>
        </is>
      </c>
    </row>
    <row r="157">
      <c r="A157" t="inlineStr">
        <is>
          <t>HNB065</t>
        </is>
      </c>
      <c r="B157" t="n">
        <v>10</v>
      </c>
      <c r="C157" t="inlineStr"/>
      <c r="D157" t="inlineStr">
        <is>
          <t>HNB094</t>
        </is>
      </c>
      <c r="E157" t="inlineStr">
        <is>
          <t>12</t>
        </is>
      </c>
      <c r="F157" t="inlineStr">
        <is>
          <t>0126</t>
        </is>
      </c>
      <c r="G157" t="inlineStr">
        <is>
          <t>To HNB094 / (MX_LVL-02) / SACOM 12F0 3/2016 / (cs 0126) / cáp treo</t>
        </is>
      </c>
    </row>
    <row r="158">
      <c r="A158" t="inlineStr">
        <is>
          <t>HNB065</t>
        </is>
      </c>
      <c r="B158" t="n">
        <v>11</v>
      </c>
      <c r="C158" t="inlineStr"/>
      <c r="D158" t="inlineStr">
        <is>
          <t>HNB094</t>
        </is>
      </c>
      <c r="E158" t="inlineStr">
        <is>
          <t>12</t>
        </is>
      </c>
      <c r="F158" t="inlineStr">
        <is>
          <t>0126</t>
        </is>
      </c>
      <c r="G158" t="inlineStr">
        <is>
          <t>To HNB094 / (MX_LVL-02) / SACOM 12F0 3/2016 / (cs 0126) / cáp treo</t>
        </is>
      </c>
    </row>
    <row r="159">
      <c r="A159" t="inlineStr">
        <is>
          <t>HNB065</t>
        </is>
      </c>
      <c r="B159" t="n">
        <v>12</v>
      </c>
      <c r="C159" t="inlineStr"/>
      <c r="D159" t="inlineStr">
        <is>
          <t>HNB094</t>
        </is>
      </c>
      <c r="E159" t="inlineStr">
        <is>
          <t>12</t>
        </is>
      </c>
      <c r="F159" t="inlineStr">
        <is>
          <t>0126</t>
        </is>
      </c>
      <c r="G159" t="inlineStr">
        <is>
          <t>To HNB094 / (MX_LVL-02) / SACOM 12F0 3/2016 / (cs 0126) / cáp treo</t>
        </is>
      </c>
    </row>
    <row r="160">
      <c r="A160" t="inlineStr">
        <is>
          <t>HNB094</t>
        </is>
      </c>
      <c r="B160" t="n">
        <v>1</v>
      </c>
      <c r="C160" t="inlineStr"/>
      <c r="D160" t="inlineStr">
        <is>
          <t>HNB018</t>
        </is>
      </c>
      <c r="E160" t="inlineStr"/>
      <c r="F160" t="inlineStr"/>
      <c r="G160" t="inlineStr">
        <is>
          <t>HNB018</t>
        </is>
      </c>
    </row>
    <row r="161">
      <c r="A161" t="inlineStr">
        <is>
          <t>HNB094</t>
        </is>
      </c>
      <c r="B161" t="n">
        <v>2</v>
      </c>
      <c r="C161" t="inlineStr"/>
      <c r="D161" t="inlineStr">
        <is>
          <t>HNB018</t>
        </is>
      </c>
      <c r="E161" t="inlineStr"/>
      <c r="F161" t="inlineStr"/>
      <c r="G161" t="inlineStr">
        <is>
          <t>HNB018</t>
        </is>
      </c>
    </row>
    <row r="162">
      <c r="A162" t="inlineStr">
        <is>
          <t>HNB094</t>
        </is>
      </c>
      <c r="B162" t="n">
        <v>3</v>
      </c>
      <c r="C162" t="inlineStr"/>
      <c r="D162" t="inlineStr">
        <is>
          <t>HNB065</t>
        </is>
      </c>
      <c r="E162" t="inlineStr"/>
      <c r="F162" t="inlineStr"/>
      <c r="G162" t="inlineStr">
        <is>
          <t>HNB065</t>
        </is>
      </c>
    </row>
    <row r="163">
      <c r="A163" t="inlineStr">
        <is>
          <t>HNB094</t>
        </is>
      </c>
      <c r="B163" t="n">
        <v>4</v>
      </c>
      <c r="C163" t="inlineStr"/>
      <c r="D163" t="inlineStr">
        <is>
          <t>HNB065</t>
        </is>
      </c>
      <c r="E163" t="inlineStr"/>
      <c r="F163" t="inlineStr"/>
      <c r="G163" t="inlineStr">
        <is>
          <t>HNB065</t>
        </is>
      </c>
    </row>
    <row r="164">
      <c r="A164" t="inlineStr">
        <is>
          <t>HNB094</t>
        </is>
      </c>
      <c r="B164" t="n">
        <v>5</v>
      </c>
      <c r="C164" t="inlineStr"/>
      <c r="D164" t="inlineStr">
        <is>
          <t>NBE22</t>
        </is>
      </c>
      <c r="E164" t="inlineStr"/>
      <c r="F164" t="inlineStr"/>
      <c r="G164" t="inlineStr">
        <is>
          <t>AGG-NBE22</t>
        </is>
      </c>
    </row>
    <row r="165">
      <c r="A165" t="inlineStr">
        <is>
          <t>HNB094</t>
        </is>
      </c>
      <c r="B165" t="n">
        <v>6</v>
      </c>
      <c r="C165" t="inlineStr"/>
      <c r="D165" t="inlineStr">
        <is>
          <t>NBE22</t>
        </is>
      </c>
      <c r="E165" t="inlineStr"/>
      <c r="F165" t="inlineStr"/>
      <c r="G165" t="inlineStr">
        <is>
          <t>AGG-NBE22</t>
        </is>
      </c>
    </row>
    <row r="166">
      <c r="A166" t="inlineStr">
        <is>
          <t>HNB094</t>
        </is>
      </c>
      <c r="B166" t="n">
        <v>7</v>
      </c>
      <c r="C166" t="inlineStr"/>
      <c r="D166" t="inlineStr">
        <is>
          <t>MX_LVL-03</t>
        </is>
      </c>
      <c r="E166" t="inlineStr">
        <is>
          <t>12</t>
        </is>
      </c>
      <c r="F166" t="inlineStr"/>
      <c r="G166" t="inlineStr">
        <is>
          <t>To MX_LVL-03 / SACOM 2014 12FO / (cs ) / cáp treo</t>
        </is>
      </c>
    </row>
    <row r="167">
      <c r="A167" t="inlineStr">
        <is>
          <t>HNB094</t>
        </is>
      </c>
      <c r="B167" t="n">
        <v>8</v>
      </c>
      <c r="C167" t="inlineStr"/>
      <c r="D167" t="inlineStr">
        <is>
          <t>MX_LVL-03</t>
        </is>
      </c>
      <c r="E167" t="inlineStr">
        <is>
          <t>12</t>
        </is>
      </c>
      <c r="F167" t="inlineStr"/>
      <c r="G167" t="inlineStr">
        <is>
          <t>To MX_LVL-03 / SACOM 2014 12FO / (cs ) / cáp treo</t>
        </is>
      </c>
    </row>
    <row r="168">
      <c r="A168" t="inlineStr">
        <is>
          <t>HNB094</t>
        </is>
      </c>
      <c r="B168" t="n">
        <v>9</v>
      </c>
      <c r="C168" t="inlineStr"/>
      <c r="D168" t="inlineStr">
        <is>
          <t>MX_LVL-03</t>
        </is>
      </c>
      <c r="E168" t="inlineStr">
        <is>
          <t>12</t>
        </is>
      </c>
      <c r="F168" t="inlineStr"/>
      <c r="G168" t="inlineStr">
        <is>
          <t>To MX_LVL-03 / SACOM 2014 12FO / (cs ) / cáp treo</t>
        </is>
      </c>
    </row>
    <row r="169">
      <c r="A169" t="inlineStr">
        <is>
          <t>HNB094</t>
        </is>
      </c>
      <c r="B169" t="n">
        <v>10</v>
      </c>
      <c r="C169" t="inlineStr"/>
      <c r="D169" t="inlineStr">
        <is>
          <t>MX_LVL-03</t>
        </is>
      </c>
      <c r="E169" t="inlineStr">
        <is>
          <t>12</t>
        </is>
      </c>
      <c r="F169" t="inlineStr"/>
      <c r="G169" t="inlineStr">
        <is>
          <t>To MX_LVL-03 / SACOM 2014 12FO / (cs ) / cáp treo</t>
        </is>
      </c>
    </row>
    <row r="170">
      <c r="A170" t="inlineStr">
        <is>
          <t>HNB094</t>
        </is>
      </c>
      <c r="B170" t="n">
        <v>11</v>
      </c>
      <c r="C170" t="inlineStr"/>
      <c r="D170" t="inlineStr">
        <is>
          <t>MX_LVL-03</t>
        </is>
      </c>
      <c r="E170" t="inlineStr">
        <is>
          <t>12</t>
        </is>
      </c>
      <c r="F170" t="inlineStr"/>
      <c r="G170" t="inlineStr">
        <is>
          <t>To MX_LVL-03 / SACOM 2014 12FO / (cs ) / cáp treo</t>
        </is>
      </c>
    </row>
    <row r="171">
      <c r="A171" t="inlineStr">
        <is>
          <t>HNB094</t>
        </is>
      </c>
      <c r="B171" t="n">
        <v>12</v>
      </c>
      <c r="C171" t="inlineStr"/>
      <c r="D171" t="inlineStr">
        <is>
          <t>MX_LVL-03</t>
        </is>
      </c>
      <c r="E171" t="inlineStr">
        <is>
          <t>12</t>
        </is>
      </c>
      <c r="F171" t="inlineStr"/>
      <c r="G171" t="inlineStr">
        <is>
          <t>To MX_LVL-03 / SACOM 2014 12FO / (cs ) / cáp treo</t>
        </is>
      </c>
    </row>
    <row r="172">
      <c r="A172" t="inlineStr">
        <is>
          <t>HNB018</t>
        </is>
      </c>
      <c r="B172" t="n">
        <v>1</v>
      </c>
      <c r="C172" t="inlineStr"/>
      <c r="D172" t="inlineStr">
        <is>
          <t>HNB094</t>
        </is>
      </c>
      <c r="E172" t="inlineStr">
        <is>
          <t>6</t>
        </is>
      </c>
      <c r="F172" t="inlineStr"/>
      <c r="G172" t="inlineStr">
        <is>
          <t>To HNB094 / POSTEF 8/2019 / 6FO -2143</t>
        </is>
      </c>
    </row>
    <row r="173">
      <c r="A173" t="inlineStr">
        <is>
          <t>HNB018</t>
        </is>
      </c>
      <c r="B173" t="n">
        <v>2</v>
      </c>
      <c r="C173" t="inlineStr"/>
      <c r="D173" t="inlineStr">
        <is>
          <t>HNB094</t>
        </is>
      </c>
      <c r="E173" t="inlineStr">
        <is>
          <t>6</t>
        </is>
      </c>
      <c r="F173" t="inlineStr"/>
      <c r="G173" t="inlineStr">
        <is>
          <t>To HNB094 / POSTEF 8/2019 / 6FO -2143</t>
        </is>
      </c>
    </row>
    <row r="174">
      <c r="A174" t="inlineStr">
        <is>
          <t>HNB018</t>
        </is>
      </c>
      <c r="B174" t="n">
        <v>3</v>
      </c>
      <c r="C174" t="inlineStr"/>
      <c r="D174" t="inlineStr">
        <is>
          <t>HNB094</t>
        </is>
      </c>
      <c r="E174" t="inlineStr">
        <is>
          <t>6</t>
        </is>
      </c>
      <c r="F174" t="inlineStr"/>
      <c r="G174" t="inlineStr">
        <is>
          <t>To HNB094 / POSTEF 8/2019 / 6FO -2143</t>
        </is>
      </c>
    </row>
    <row r="175">
      <c r="A175" t="inlineStr">
        <is>
          <t>HNB018</t>
        </is>
      </c>
      <c r="B175" t="n">
        <v>4</v>
      </c>
      <c r="C175" t="inlineStr"/>
      <c r="D175" t="inlineStr">
        <is>
          <t>HNB094</t>
        </is>
      </c>
      <c r="E175" t="inlineStr">
        <is>
          <t>6</t>
        </is>
      </c>
      <c r="F175" t="inlineStr"/>
      <c r="G175" t="inlineStr">
        <is>
          <t>To HNB094 / POSTEF 8/2019 / 6FO -2143</t>
        </is>
      </c>
    </row>
    <row r="176">
      <c r="A176" t="inlineStr">
        <is>
          <t>HNB018</t>
        </is>
      </c>
      <c r="B176" t="n">
        <v>5</v>
      </c>
      <c r="C176" t="inlineStr"/>
      <c r="D176" t="inlineStr">
        <is>
          <t>HNB094</t>
        </is>
      </c>
      <c r="E176" t="inlineStr">
        <is>
          <t>6</t>
        </is>
      </c>
      <c r="F176" t="inlineStr"/>
      <c r="G176" t="inlineStr">
        <is>
          <t>To HNB094 / POSTEF 8/2019 / 6FO -2143</t>
        </is>
      </c>
    </row>
    <row r="177">
      <c r="A177" t="inlineStr">
        <is>
          <t>HNB018</t>
        </is>
      </c>
      <c r="B177" t="n">
        <v>6</v>
      </c>
      <c r="C177" t="inlineStr"/>
      <c r="D177" t="inlineStr">
        <is>
          <t>HNB094</t>
        </is>
      </c>
      <c r="E177" t="inlineStr">
        <is>
          <t>6</t>
        </is>
      </c>
      <c r="F177" t="inlineStr"/>
      <c r="G177" t="inlineStr">
        <is>
          <t>To HNB094 / POSTEF 8/2019 / 6FO -2143</t>
        </is>
      </c>
    </row>
    <row r="178">
      <c r="A178" t="inlineStr">
        <is>
          <t>HNB086</t>
        </is>
      </c>
      <c r="B178" t="n">
        <v>1</v>
      </c>
      <c r="C178" t="inlineStr"/>
      <c r="D178" t="inlineStr">
        <is>
          <t>NBE12</t>
        </is>
      </c>
      <c r="E178" t="inlineStr">
        <is>
          <t>8</t>
        </is>
      </c>
      <c r="F178" t="inlineStr"/>
      <c r="G178" t="inlineStr">
        <is>
          <t>To AGG-NBE12 / (MX_NB-02) /  9 8F0  / cáp treo</t>
        </is>
      </c>
    </row>
    <row r="179">
      <c r="A179" t="inlineStr">
        <is>
          <t>HNB086</t>
        </is>
      </c>
      <c r="B179" t="n">
        <v>2</v>
      </c>
      <c r="C179" t="inlineStr"/>
      <c r="D179" t="inlineStr">
        <is>
          <t>NBE12</t>
        </is>
      </c>
      <c r="E179" t="inlineStr">
        <is>
          <t>8</t>
        </is>
      </c>
      <c r="F179" t="inlineStr"/>
      <c r="G179" t="inlineStr">
        <is>
          <t>To AGG-NBE12 / (MX_NB-02) /  9 8F0  / cáp treo</t>
        </is>
      </c>
    </row>
    <row r="180">
      <c r="A180" t="inlineStr">
        <is>
          <t>HNB086</t>
        </is>
      </c>
      <c r="B180" t="n">
        <v>3</v>
      </c>
      <c r="C180" t="inlineStr"/>
      <c r="D180" t="inlineStr">
        <is>
          <t>NBE12</t>
        </is>
      </c>
      <c r="E180" t="inlineStr">
        <is>
          <t>8</t>
        </is>
      </c>
      <c r="F180" t="inlineStr"/>
      <c r="G180" t="inlineStr">
        <is>
          <t>To AGG-NBE12 / (MX_NB-02) /  9 8F0  / cáp treo</t>
        </is>
      </c>
    </row>
    <row r="181">
      <c r="A181" t="inlineStr">
        <is>
          <t>HNB086</t>
        </is>
      </c>
      <c r="B181" t="n">
        <v>4</v>
      </c>
      <c r="C181" t="inlineStr"/>
      <c r="D181" t="inlineStr">
        <is>
          <t>NBE12</t>
        </is>
      </c>
      <c r="E181" t="inlineStr">
        <is>
          <t>8</t>
        </is>
      </c>
      <c r="F181" t="inlineStr"/>
      <c r="G181" t="inlineStr">
        <is>
          <t>To AGG-NBE12 / (MX_NB-02) /  9 8F0  / cáp treo</t>
        </is>
      </c>
    </row>
    <row r="182">
      <c r="A182" t="inlineStr">
        <is>
          <t>HNB086</t>
        </is>
      </c>
      <c r="B182" t="n">
        <v>5</v>
      </c>
      <c r="C182" t="inlineStr"/>
      <c r="D182" t="inlineStr">
        <is>
          <t>NBE12</t>
        </is>
      </c>
      <c r="E182" t="inlineStr">
        <is>
          <t>8</t>
        </is>
      </c>
      <c r="F182" t="inlineStr"/>
      <c r="G182" t="inlineStr">
        <is>
          <t>To AGG-NBE12 / (MX_NB-02) /  9 8F0  / cáp treo</t>
        </is>
      </c>
    </row>
    <row r="183">
      <c r="A183" t="inlineStr">
        <is>
          <t>HNB086</t>
        </is>
      </c>
      <c r="B183" t="n">
        <v>6</v>
      </c>
      <c r="C183" t="inlineStr"/>
      <c r="D183" t="inlineStr">
        <is>
          <t>NBE12</t>
        </is>
      </c>
      <c r="E183" t="inlineStr">
        <is>
          <t>8</t>
        </is>
      </c>
      <c r="F183" t="inlineStr"/>
      <c r="G183" t="inlineStr">
        <is>
          <t>To AGG-NBE12 / (MX_NB-02) /  9 8F0  / cáp treo</t>
        </is>
      </c>
    </row>
    <row r="184">
      <c r="A184" t="inlineStr">
        <is>
          <t>HNB086</t>
        </is>
      </c>
      <c r="B184" t="n">
        <v>7</v>
      </c>
      <c r="C184" t="inlineStr"/>
      <c r="D184" t="inlineStr">
        <is>
          <t>HNB024</t>
        </is>
      </c>
      <c r="E184" t="inlineStr">
        <is>
          <t>8</t>
        </is>
      </c>
      <c r="F184" t="inlineStr"/>
      <c r="G184" t="inlineStr">
        <is>
          <t>To HNB024 /  8F0  / cáp treo</t>
        </is>
      </c>
    </row>
    <row r="185">
      <c r="A185" t="inlineStr">
        <is>
          <t>HNB086</t>
        </is>
      </c>
      <c r="B185" t="n">
        <v>8</v>
      </c>
      <c r="C185" t="inlineStr"/>
      <c r="D185" t="inlineStr">
        <is>
          <t>HNB024</t>
        </is>
      </c>
      <c r="E185" t="inlineStr">
        <is>
          <t>8</t>
        </is>
      </c>
      <c r="F185" t="inlineStr"/>
      <c r="G185" t="inlineStr">
        <is>
          <t>To HNB024 /  8F0  / cáp treo</t>
        </is>
      </c>
    </row>
    <row r="186">
      <c r="A186" t="inlineStr">
        <is>
          <t>HNB086</t>
        </is>
      </c>
      <c r="B186" t="n">
        <v>9</v>
      </c>
      <c r="C186" t="inlineStr"/>
      <c r="D186" t="inlineStr">
        <is>
          <t>HNB024</t>
        </is>
      </c>
      <c r="E186" t="inlineStr">
        <is>
          <t>8</t>
        </is>
      </c>
      <c r="F186" t="inlineStr"/>
      <c r="G186" t="inlineStr">
        <is>
          <t>To HNB024 /  8F0  / cáp treo</t>
        </is>
      </c>
    </row>
    <row r="187">
      <c r="A187" t="inlineStr">
        <is>
          <t>HNB086</t>
        </is>
      </c>
      <c r="B187" t="n">
        <v>10</v>
      </c>
      <c r="C187" t="inlineStr"/>
      <c r="D187" t="inlineStr">
        <is>
          <t>HNB024</t>
        </is>
      </c>
      <c r="E187" t="inlineStr">
        <is>
          <t>8</t>
        </is>
      </c>
      <c r="F187" t="inlineStr"/>
      <c r="G187" t="inlineStr">
        <is>
          <t>To HNB024 /  8F0  / cáp treo</t>
        </is>
      </c>
    </row>
    <row r="188">
      <c r="A188" t="inlineStr">
        <is>
          <t>HNB086</t>
        </is>
      </c>
      <c r="B188" t="n">
        <v>11</v>
      </c>
      <c r="C188" t="inlineStr"/>
      <c r="D188" t="inlineStr">
        <is>
          <t>HNB024</t>
        </is>
      </c>
      <c r="E188" t="inlineStr">
        <is>
          <t>8</t>
        </is>
      </c>
      <c r="F188" t="inlineStr"/>
      <c r="G188" t="inlineStr">
        <is>
          <t>To HNB024 /  8F0  / cáp treo</t>
        </is>
      </c>
    </row>
    <row r="189">
      <c r="A189" t="inlineStr">
        <is>
          <t>HNB086</t>
        </is>
      </c>
      <c r="B189" t="n">
        <v>12</v>
      </c>
      <c r="C189" t="inlineStr"/>
      <c r="D189" t="inlineStr">
        <is>
          <t>HNB024</t>
        </is>
      </c>
      <c r="E189" t="inlineStr">
        <is>
          <t>8</t>
        </is>
      </c>
      <c r="F189" t="inlineStr"/>
      <c r="G189" t="inlineStr">
        <is>
          <t>To HNB024 /  8F0  / cáp treo</t>
        </is>
      </c>
    </row>
    <row r="190">
      <c r="A190" t="inlineStr">
        <is>
          <t>HNB024</t>
        </is>
      </c>
      <c r="B190" t="n">
        <v>1</v>
      </c>
      <c r="C190" t="inlineStr"/>
      <c r="D190" t="inlineStr">
        <is>
          <t>HNB086</t>
        </is>
      </c>
      <c r="E190" t="inlineStr">
        <is>
          <t>8</t>
        </is>
      </c>
      <c r="F190" t="inlineStr"/>
      <c r="G190" t="inlineStr">
        <is>
          <t>To HNB086 /  8F0  / cáp treo</t>
        </is>
      </c>
    </row>
    <row r="191">
      <c r="A191" t="inlineStr">
        <is>
          <t>HNB024</t>
        </is>
      </c>
      <c r="B191" t="n">
        <v>2</v>
      </c>
      <c r="C191" t="inlineStr"/>
      <c r="D191" t="inlineStr">
        <is>
          <t>HNB086</t>
        </is>
      </c>
      <c r="E191" t="inlineStr">
        <is>
          <t>8</t>
        </is>
      </c>
      <c r="F191" t="inlineStr"/>
      <c r="G191" t="inlineStr">
        <is>
          <t>To HNB086 /  8F0  / cáp treo</t>
        </is>
      </c>
    </row>
    <row r="192">
      <c r="A192" t="inlineStr">
        <is>
          <t>HNB024</t>
        </is>
      </c>
      <c r="B192" t="n">
        <v>3</v>
      </c>
      <c r="C192" t="inlineStr"/>
      <c r="D192" t="inlineStr">
        <is>
          <t>HNB086</t>
        </is>
      </c>
      <c r="E192" t="inlineStr">
        <is>
          <t>8</t>
        </is>
      </c>
      <c r="F192" t="inlineStr"/>
      <c r="G192" t="inlineStr">
        <is>
          <t>To HNB086 /  8F0  / cáp treo</t>
        </is>
      </c>
    </row>
    <row r="193">
      <c r="A193" t="inlineStr">
        <is>
          <t>HNB024</t>
        </is>
      </c>
      <c r="B193" t="n">
        <v>4</v>
      </c>
      <c r="C193" t="inlineStr"/>
      <c r="D193" t="inlineStr">
        <is>
          <t>HNB086</t>
        </is>
      </c>
      <c r="E193" t="inlineStr">
        <is>
          <t>8</t>
        </is>
      </c>
      <c r="F193" t="inlineStr"/>
      <c r="G193" t="inlineStr">
        <is>
          <t>To HNB086 /  8F0  / cáp treo</t>
        </is>
      </c>
    </row>
    <row r="194">
      <c r="A194" t="inlineStr">
        <is>
          <t>HNB024</t>
        </is>
      </c>
      <c r="B194" t="n">
        <v>5</v>
      </c>
      <c r="C194" t="inlineStr"/>
      <c r="D194" t="inlineStr">
        <is>
          <t>HNB086</t>
        </is>
      </c>
      <c r="E194" t="inlineStr">
        <is>
          <t>8</t>
        </is>
      </c>
      <c r="F194" t="inlineStr"/>
      <c r="G194" t="inlineStr">
        <is>
          <t>To HNB086 /  8F0  / cáp treo</t>
        </is>
      </c>
    </row>
    <row r="195">
      <c r="A195" t="inlineStr">
        <is>
          <t>HNB024</t>
        </is>
      </c>
      <c r="B195" t="n">
        <v>6</v>
      </c>
      <c r="C195" t="inlineStr"/>
      <c r="D195" t="inlineStr">
        <is>
          <t>HNB086</t>
        </is>
      </c>
      <c r="E195" t="inlineStr">
        <is>
          <t>8</t>
        </is>
      </c>
      <c r="F195" t="inlineStr"/>
      <c r="G195" t="inlineStr">
        <is>
          <t>To HNB086 /  8F0  / cáp treo</t>
        </is>
      </c>
    </row>
    <row r="196">
      <c r="A196" t="inlineStr">
        <is>
          <t>HNB024</t>
        </is>
      </c>
      <c r="B196" t="n">
        <v>7</v>
      </c>
      <c r="C196" t="inlineStr"/>
      <c r="D196" t="inlineStr">
        <is>
          <t>HNB027</t>
        </is>
      </c>
      <c r="E196" t="inlineStr">
        <is>
          <t>8</t>
        </is>
      </c>
      <c r="F196" t="inlineStr"/>
      <c r="G196" t="inlineStr">
        <is>
          <t>To HNB027 /  8F0  / cáp treo</t>
        </is>
      </c>
    </row>
    <row r="197">
      <c r="A197" t="inlineStr">
        <is>
          <t>HNB024</t>
        </is>
      </c>
      <c r="B197" t="n">
        <v>8</v>
      </c>
      <c r="C197" t="inlineStr"/>
      <c r="D197" t="inlineStr">
        <is>
          <t>HNB027</t>
        </is>
      </c>
      <c r="E197" t="inlineStr">
        <is>
          <t>8</t>
        </is>
      </c>
      <c r="F197" t="inlineStr"/>
      <c r="G197" t="inlineStr">
        <is>
          <t>To HNB027 /  8F0  / cáp treo</t>
        </is>
      </c>
    </row>
    <row r="198">
      <c r="A198" t="inlineStr">
        <is>
          <t>HNB024</t>
        </is>
      </c>
      <c r="B198" t="n">
        <v>9</v>
      </c>
      <c r="C198" t="inlineStr"/>
      <c r="D198" t="inlineStr">
        <is>
          <t>HNB027</t>
        </is>
      </c>
      <c r="E198" t="inlineStr">
        <is>
          <t>8</t>
        </is>
      </c>
      <c r="F198" t="inlineStr"/>
      <c r="G198" t="inlineStr">
        <is>
          <t>To HNB027 /  8F0  / cáp treo</t>
        </is>
      </c>
    </row>
    <row r="199">
      <c r="A199" t="inlineStr">
        <is>
          <t>HNB024</t>
        </is>
      </c>
      <c r="B199" t="n">
        <v>10</v>
      </c>
      <c r="C199" t="inlineStr"/>
      <c r="D199" t="inlineStr">
        <is>
          <t>HNB027</t>
        </is>
      </c>
      <c r="E199" t="inlineStr">
        <is>
          <t>8</t>
        </is>
      </c>
      <c r="F199" t="inlineStr"/>
      <c r="G199" t="inlineStr">
        <is>
          <t>To HNB027 /  8F0  / cáp treo</t>
        </is>
      </c>
    </row>
    <row r="200">
      <c r="A200" t="inlineStr">
        <is>
          <t>HNB024</t>
        </is>
      </c>
      <c r="B200" t="n">
        <v>11</v>
      </c>
      <c r="C200" t="inlineStr"/>
      <c r="D200" t="inlineStr">
        <is>
          <t>HNB027</t>
        </is>
      </c>
      <c r="E200" t="inlineStr">
        <is>
          <t>8</t>
        </is>
      </c>
      <c r="F200" t="inlineStr"/>
      <c r="G200" t="inlineStr">
        <is>
          <t>To HNB027 /  8F0  / cáp treo</t>
        </is>
      </c>
    </row>
    <row r="201">
      <c r="A201" t="inlineStr">
        <is>
          <t>HNB024</t>
        </is>
      </c>
      <c r="B201" t="n">
        <v>12</v>
      </c>
      <c r="C201" t="inlineStr"/>
      <c r="D201" t="inlineStr">
        <is>
          <t>HNB027</t>
        </is>
      </c>
      <c r="E201" t="inlineStr">
        <is>
          <t>8</t>
        </is>
      </c>
      <c r="F201" t="inlineStr"/>
      <c r="G201" t="inlineStr">
        <is>
          <t>To HNB027 /  8F0  / cáp treo</t>
        </is>
      </c>
    </row>
    <row r="202">
      <c r="A202" t="inlineStr">
        <is>
          <t>HNB027</t>
        </is>
      </c>
      <c r="B202" t="n">
        <v>1</v>
      </c>
      <c r="C202" t="inlineStr"/>
      <c r="D202" t="inlineStr">
        <is>
          <t>HNB024</t>
        </is>
      </c>
      <c r="E202" t="inlineStr">
        <is>
          <t>8</t>
        </is>
      </c>
      <c r="F202" t="inlineStr"/>
      <c r="G202" t="inlineStr">
        <is>
          <t>To HNB024 /  8F0  / cáp treo</t>
        </is>
      </c>
    </row>
    <row r="203">
      <c r="A203" t="inlineStr">
        <is>
          <t>HNB027</t>
        </is>
      </c>
      <c r="B203" t="n">
        <v>2</v>
      </c>
      <c r="C203" t="inlineStr"/>
      <c r="D203" t="inlineStr">
        <is>
          <t>HNB024</t>
        </is>
      </c>
      <c r="E203" t="inlineStr">
        <is>
          <t>8</t>
        </is>
      </c>
      <c r="F203" t="inlineStr"/>
      <c r="G203" t="inlineStr">
        <is>
          <t>To HNB024 /  8F0  / cáp treo</t>
        </is>
      </c>
    </row>
    <row r="204">
      <c r="A204" t="inlineStr">
        <is>
          <t>HNB027</t>
        </is>
      </c>
      <c r="B204" t="n">
        <v>3</v>
      </c>
      <c r="C204" t="inlineStr"/>
      <c r="D204" t="inlineStr">
        <is>
          <t>HNB024</t>
        </is>
      </c>
      <c r="E204" t="inlineStr">
        <is>
          <t>8</t>
        </is>
      </c>
      <c r="F204" t="inlineStr"/>
      <c r="G204" t="inlineStr">
        <is>
          <t>To HNB024 /  8F0  / cáp treo</t>
        </is>
      </c>
    </row>
    <row r="205">
      <c r="A205" t="inlineStr">
        <is>
          <t>HNB027</t>
        </is>
      </c>
      <c r="B205" t="n">
        <v>4</v>
      </c>
      <c r="C205" t="inlineStr"/>
      <c r="D205" t="inlineStr">
        <is>
          <t>HNB024</t>
        </is>
      </c>
      <c r="E205" t="inlineStr">
        <is>
          <t>8</t>
        </is>
      </c>
      <c r="F205" t="inlineStr"/>
      <c r="G205" t="inlineStr">
        <is>
          <t>To HNB024 /  8F0  / cáp treo</t>
        </is>
      </c>
    </row>
    <row r="206">
      <c r="A206" t="inlineStr">
        <is>
          <t>HNB027</t>
        </is>
      </c>
      <c r="B206" t="n">
        <v>5</v>
      </c>
      <c r="C206" t="inlineStr"/>
      <c r="D206" t="inlineStr">
        <is>
          <t>HNB024</t>
        </is>
      </c>
      <c r="E206" t="inlineStr">
        <is>
          <t>8</t>
        </is>
      </c>
      <c r="F206" t="inlineStr"/>
      <c r="G206" t="inlineStr">
        <is>
          <t>To HNB024 /  8F0  / cáp treo</t>
        </is>
      </c>
    </row>
    <row r="207">
      <c r="A207" t="inlineStr">
        <is>
          <t>HNB027</t>
        </is>
      </c>
      <c r="B207" t="n">
        <v>6</v>
      </c>
      <c r="C207" t="inlineStr"/>
      <c r="D207" t="inlineStr">
        <is>
          <t>HNB024</t>
        </is>
      </c>
      <c r="E207" t="inlineStr">
        <is>
          <t>8</t>
        </is>
      </c>
      <c r="F207" t="inlineStr"/>
      <c r="G207" t="inlineStr">
        <is>
          <t>To HNB024 /  8F0  / cáp treo</t>
        </is>
      </c>
    </row>
    <row r="208">
      <c r="A208" t="inlineStr">
        <is>
          <t>HNB027</t>
        </is>
      </c>
      <c r="B208" t="n">
        <v>7</v>
      </c>
      <c r="C208" t="inlineStr"/>
      <c r="D208" t="inlineStr">
        <is>
          <t>HNB031</t>
        </is>
      </c>
      <c r="E208" t="inlineStr">
        <is>
          <t>8</t>
        </is>
      </c>
      <c r="F208" t="inlineStr"/>
      <c r="G208" t="inlineStr">
        <is>
          <t>To HNB031 / (MX_NB-03) /  8F0  / cáp treo</t>
        </is>
      </c>
    </row>
    <row r="209">
      <c r="A209" t="inlineStr">
        <is>
          <t>HNB027</t>
        </is>
      </c>
      <c r="B209" t="n">
        <v>8</v>
      </c>
      <c r="C209" t="inlineStr"/>
      <c r="D209" t="inlineStr">
        <is>
          <t>HNB031</t>
        </is>
      </c>
      <c r="E209" t="inlineStr">
        <is>
          <t>8</t>
        </is>
      </c>
      <c r="F209" t="inlineStr"/>
      <c r="G209" t="inlineStr">
        <is>
          <t>To HNB031 / (MX_NB-03) /  8F0  / cáp treo</t>
        </is>
      </c>
    </row>
    <row r="210">
      <c r="A210" t="inlineStr">
        <is>
          <t>HNB027</t>
        </is>
      </c>
      <c r="B210" t="n">
        <v>9</v>
      </c>
      <c r="C210" t="inlineStr"/>
      <c r="D210" t="inlineStr">
        <is>
          <t>HNB031</t>
        </is>
      </c>
      <c r="E210" t="inlineStr">
        <is>
          <t>8</t>
        </is>
      </c>
      <c r="F210" t="inlineStr"/>
      <c r="G210" t="inlineStr">
        <is>
          <t>To HNB031 / (MX_NB-03) /  8F0  / cáp treo</t>
        </is>
      </c>
    </row>
    <row r="211">
      <c r="A211" t="inlineStr">
        <is>
          <t>HNB027</t>
        </is>
      </c>
      <c r="B211" t="n">
        <v>10</v>
      </c>
      <c r="C211" t="inlineStr"/>
      <c r="D211" t="inlineStr">
        <is>
          <t>HNB031</t>
        </is>
      </c>
      <c r="E211" t="inlineStr">
        <is>
          <t>8</t>
        </is>
      </c>
      <c r="F211" t="inlineStr"/>
      <c r="G211" t="inlineStr">
        <is>
          <t>To HNB031 / (MX_NB-03) /  8F0  / cáp treo</t>
        </is>
      </c>
    </row>
    <row r="212">
      <c r="A212" t="inlineStr">
        <is>
          <t>HNB027</t>
        </is>
      </c>
      <c r="B212" t="n">
        <v>11</v>
      </c>
      <c r="C212" t="inlineStr"/>
      <c r="D212" t="inlineStr">
        <is>
          <t>HNB031</t>
        </is>
      </c>
      <c r="E212" t="inlineStr">
        <is>
          <t>8</t>
        </is>
      </c>
      <c r="F212" t="inlineStr"/>
      <c r="G212" t="inlineStr">
        <is>
          <t>To HNB031 / (MX_NB-03) /  8F0  / cáp treo</t>
        </is>
      </c>
    </row>
    <row r="213">
      <c r="A213" t="inlineStr">
        <is>
          <t>HNB027</t>
        </is>
      </c>
      <c r="B213" t="n">
        <v>12</v>
      </c>
      <c r="C213" t="inlineStr"/>
      <c r="D213" t="inlineStr">
        <is>
          <t>HNB031</t>
        </is>
      </c>
      <c r="E213" t="inlineStr">
        <is>
          <t>8</t>
        </is>
      </c>
      <c r="F213" t="inlineStr"/>
      <c r="G213" t="inlineStr">
        <is>
          <t>To HNB031 / (MX_NB-03) /  8F0  / cáp treo</t>
        </is>
      </c>
    </row>
    <row r="214">
      <c r="A214" t="inlineStr">
        <is>
          <t>HNB031</t>
        </is>
      </c>
      <c r="B214" t="n">
        <v>1</v>
      </c>
      <c r="C214" t="inlineStr"/>
      <c r="D214" t="inlineStr">
        <is>
          <t>HNB027</t>
        </is>
      </c>
      <c r="E214" t="inlineStr">
        <is>
          <t>8</t>
        </is>
      </c>
      <c r="F214" t="inlineStr"/>
      <c r="G214" t="inlineStr">
        <is>
          <t>To HNB027 / (MX_NB-04) /  8F0  / cáp treo</t>
        </is>
      </c>
    </row>
    <row r="215">
      <c r="A215" t="inlineStr">
        <is>
          <t>HNB031</t>
        </is>
      </c>
      <c r="B215" t="n">
        <v>2</v>
      </c>
      <c r="C215" t="inlineStr"/>
      <c r="D215" t="inlineStr">
        <is>
          <t>HNB027</t>
        </is>
      </c>
      <c r="E215" t="inlineStr">
        <is>
          <t>8</t>
        </is>
      </c>
      <c r="F215" t="inlineStr"/>
      <c r="G215" t="inlineStr">
        <is>
          <t>To HNB027 / (MX_NB-04) /  8F0  / cáp treo</t>
        </is>
      </c>
    </row>
    <row r="216">
      <c r="A216" t="inlineStr">
        <is>
          <t>HNB031</t>
        </is>
      </c>
      <c r="B216" t="n">
        <v>3</v>
      </c>
      <c r="C216" t="inlineStr"/>
      <c r="D216" t="inlineStr">
        <is>
          <t>HNB027</t>
        </is>
      </c>
      <c r="E216" t="inlineStr">
        <is>
          <t>8</t>
        </is>
      </c>
      <c r="F216" t="inlineStr"/>
      <c r="G216" t="inlineStr">
        <is>
          <t>To HNB027 / (MX_NB-04) /  8F0  / cáp treo</t>
        </is>
      </c>
    </row>
    <row r="217">
      <c r="A217" t="inlineStr">
        <is>
          <t>HNB031</t>
        </is>
      </c>
      <c r="B217" t="n">
        <v>4</v>
      </c>
      <c r="C217" t="inlineStr"/>
      <c r="D217" t="inlineStr">
        <is>
          <t>HNB027</t>
        </is>
      </c>
      <c r="E217" t="inlineStr">
        <is>
          <t>8</t>
        </is>
      </c>
      <c r="F217" t="inlineStr"/>
      <c r="G217" t="inlineStr">
        <is>
          <t>To HNB027 / (MX_NB-04) /  8F0  / cáp treo</t>
        </is>
      </c>
    </row>
    <row r="218">
      <c r="A218" t="inlineStr">
        <is>
          <t>HNB031</t>
        </is>
      </c>
      <c r="B218" t="n">
        <v>5</v>
      </c>
      <c r="C218" t="inlineStr"/>
      <c r="D218" t="inlineStr">
        <is>
          <t>HNB027</t>
        </is>
      </c>
      <c r="E218" t="inlineStr">
        <is>
          <t>8</t>
        </is>
      </c>
      <c r="F218" t="inlineStr"/>
      <c r="G218" t="inlineStr">
        <is>
          <t>To HNB027 / (MX_NB-04) /  8F0  / cáp treo</t>
        </is>
      </c>
    </row>
    <row r="219">
      <c r="A219" t="inlineStr">
        <is>
          <t>HNB031</t>
        </is>
      </c>
      <c r="B219" t="n">
        <v>6</v>
      </c>
      <c r="C219" t="inlineStr"/>
      <c r="D219" t="inlineStr">
        <is>
          <t>HNB027</t>
        </is>
      </c>
      <c r="E219" t="inlineStr">
        <is>
          <t>8</t>
        </is>
      </c>
      <c r="F219" t="inlineStr"/>
      <c r="G219" t="inlineStr">
        <is>
          <t>To HNB027 / (MX_NB-04) /  8F0  / cáp treo</t>
        </is>
      </c>
    </row>
    <row r="220">
      <c r="A220" t="inlineStr">
        <is>
          <t>HNB031</t>
        </is>
      </c>
      <c r="B220" t="n">
        <v>7</v>
      </c>
      <c r="C220" t="inlineStr"/>
      <c r="D220" t="inlineStr">
        <is>
          <t>HNB020</t>
        </is>
      </c>
      <c r="E220" t="inlineStr">
        <is>
          <t>8</t>
        </is>
      </c>
      <c r="F220" t="inlineStr"/>
      <c r="G220" t="inlineStr">
        <is>
          <t>To HNB020 /  8F0  / cáp treo</t>
        </is>
      </c>
    </row>
    <row r="221">
      <c r="A221" t="inlineStr">
        <is>
          <t>HNB031</t>
        </is>
      </c>
      <c r="B221" t="n">
        <v>8</v>
      </c>
      <c r="C221" t="inlineStr"/>
      <c r="D221" t="inlineStr">
        <is>
          <t>HNB020</t>
        </is>
      </c>
      <c r="E221" t="inlineStr">
        <is>
          <t>8</t>
        </is>
      </c>
      <c r="F221" t="inlineStr"/>
      <c r="G221" t="inlineStr">
        <is>
          <t>To HNB020 /  8F0  / cáp treo</t>
        </is>
      </c>
    </row>
    <row r="222">
      <c r="A222" t="inlineStr">
        <is>
          <t>HNB031</t>
        </is>
      </c>
      <c r="B222" t="n">
        <v>9</v>
      </c>
      <c r="C222" t="inlineStr"/>
      <c r="D222" t="inlineStr">
        <is>
          <t>HNB020</t>
        </is>
      </c>
      <c r="E222" t="inlineStr">
        <is>
          <t>8</t>
        </is>
      </c>
      <c r="F222" t="inlineStr"/>
      <c r="G222" t="inlineStr">
        <is>
          <t>To HNB020 /  8F0  / cáp treo</t>
        </is>
      </c>
    </row>
    <row r="223">
      <c r="A223" t="inlineStr">
        <is>
          <t>HNB031</t>
        </is>
      </c>
      <c r="B223" t="n">
        <v>10</v>
      </c>
      <c r="C223" t="inlineStr"/>
      <c r="D223" t="inlineStr">
        <is>
          <t>HNB020</t>
        </is>
      </c>
      <c r="E223" t="inlineStr">
        <is>
          <t>8</t>
        </is>
      </c>
      <c r="F223" t="inlineStr"/>
      <c r="G223" t="inlineStr">
        <is>
          <t>To HNB020 /  8F0  / cáp treo</t>
        </is>
      </c>
    </row>
    <row r="224">
      <c r="A224" t="inlineStr">
        <is>
          <t>HNB031</t>
        </is>
      </c>
      <c r="B224" t="n">
        <v>11</v>
      </c>
      <c r="C224" t="inlineStr"/>
      <c r="D224" t="inlineStr">
        <is>
          <t>HNB020</t>
        </is>
      </c>
      <c r="E224" t="inlineStr">
        <is>
          <t>8</t>
        </is>
      </c>
      <c r="F224" t="inlineStr"/>
      <c r="G224" t="inlineStr">
        <is>
          <t>To HNB020 /  8F0  / cáp treo</t>
        </is>
      </c>
    </row>
    <row r="225">
      <c r="A225" t="inlineStr">
        <is>
          <t>HNB031</t>
        </is>
      </c>
      <c r="B225" t="n">
        <v>12</v>
      </c>
      <c r="C225" t="inlineStr"/>
      <c r="D225" t="inlineStr">
        <is>
          <t>HNB020</t>
        </is>
      </c>
      <c r="E225" t="inlineStr">
        <is>
          <t>8</t>
        </is>
      </c>
      <c r="F225" t="inlineStr"/>
      <c r="G225" t="inlineStr">
        <is>
          <t>To HNB020 /  8F0  / cáp treo</t>
        </is>
      </c>
    </row>
    <row r="226">
      <c r="A226" t="inlineStr">
        <is>
          <t>HNB020</t>
        </is>
      </c>
      <c r="B226" t="n">
        <v>1</v>
      </c>
      <c r="C226" t="inlineStr"/>
      <c r="D226" t="inlineStr">
        <is>
          <t>HNB027</t>
        </is>
      </c>
      <c r="E226" t="inlineStr">
        <is>
          <t>8</t>
        </is>
      </c>
      <c r="F226" t="inlineStr"/>
      <c r="G226" t="inlineStr">
        <is>
          <t>To HNB027 / (MX_NB-04) /  8F0  / cáp treo</t>
        </is>
      </c>
    </row>
    <row r="227">
      <c r="A227" t="inlineStr">
        <is>
          <t>HNB020</t>
        </is>
      </c>
      <c r="B227" t="n">
        <v>2</v>
      </c>
      <c r="C227" t="inlineStr"/>
      <c r="D227" t="inlineStr">
        <is>
          <t>HNB027</t>
        </is>
      </c>
      <c r="E227" t="inlineStr">
        <is>
          <t>8</t>
        </is>
      </c>
      <c r="F227" t="inlineStr"/>
      <c r="G227" t="inlineStr">
        <is>
          <t>To HNB027 / (MX_NB-04) /  8F0  / cáp treo</t>
        </is>
      </c>
    </row>
    <row r="228">
      <c r="A228" t="inlineStr">
        <is>
          <t>HNB020</t>
        </is>
      </c>
      <c r="B228" t="n">
        <v>3</v>
      </c>
      <c r="C228" t="inlineStr"/>
      <c r="D228" t="inlineStr">
        <is>
          <t>HNB027</t>
        </is>
      </c>
      <c r="E228" t="inlineStr">
        <is>
          <t>8</t>
        </is>
      </c>
      <c r="F228" t="inlineStr"/>
      <c r="G228" t="inlineStr">
        <is>
          <t>To HNB027 / (MX_NB-04) /  8F0  / cáp treo</t>
        </is>
      </c>
    </row>
    <row r="229">
      <c r="A229" t="inlineStr">
        <is>
          <t>HNB020</t>
        </is>
      </c>
      <c r="B229" t="n">
        <v>4</v>
      </c>
      <c r="C229" t="inlineStr"/>
      <c r="D229" t="inlineStr">
        <is>
          <t>HNB027</t>
        </is>
      </c>
      <c r="E229" t="inlineStr">
        <is>
          <t>8</t>
        </is>
      </c>
      <c r="F229" t="inlineStr"/>
      <c r="G229" t="inlineStr">
        <is>
          <t>To HNB027 / (MX_NB-04) /  8F0  / cáp treo</t>
        </is>
      </c>
    </row>
    <row r="230">
      <c r="A230" t="inlineStr">
        <is>
          <t>HNB020</t>
        </is>
      </c>
      <c r="B230" t="n">
        <v>5</v>
      </c>
      <c r="C230" t="inlineStr"/>
      <c r="D230" t="inlineStr">
        <is>
          <t>HNB027</t>
        </is>
      </c>
      <c r="E230" t="inlineStr">
        <is>
          <t>8</t>
        </is>
      </c>
      <c r="F230" t="inlineStr"/>
      <c r="G230" t="inlineStr">
        <is>
          <t>To HNB027 / (MX_NB-04) /  8F0  / cáp treo</t>
        </is>
      </c>
    </row>
    <row r="231">
      <c r="A231" t="inlineStr">
        <is>
          <t>HNB020</t>
        </is>
      </c>
      <c r="B231" t="n">
        <v>6</v>
      </c>
      <c r="C231" t="inlineStr"/>
      <c r="D231" t="inlineStr">
        <is>
          <t>HNB027</t>
        </is>
      </c>
      <c r="E231" t="inlineStr">
        <is>
          <t>8</t>
        </is>
      </c>
      <c r="F231" t="inlineStr"/>
      <c r="G231" t="inlineStr">
        <is>
          <t>To HNB027 / (MX_NB-04) /  8F0  / cáp treo</t>
        </is>
      </c>
    </row>
    <row r="232">
      <c r="A232" t="inlineStr">
        <is>
          <t>HNB020</t>
        </is>
      </c>
      <c r="B232" t="n">
        <v>7</v>
      </c>
      <c r="C232" t="inlineStr"/>
      <c r="D232" t="inlineStr">
        <is>
          <t>HNB020</t>
        </is>
      </c>
      <c r="E232" t="inlineStr">
        <is>
          <t>8</t>
        </is>
      </c>
      <c r="F232" t="inlineStr"/>
      <c r="G232" t="inlineStr">
        <is>
          <t>To HNB020 /  8F0  / cáp treo</t>
        </is>
      </c>
    </row>
    <row r="233">
      <c r="A233" t="inlineStr">
        <is>
          <t>HNB020</t>
        </is>
      </c>
      <c r="B233" t="n">
        <v>8</v>
      </c>
      <c r="C233" t="inlineStr"/>
      <c r="D233" t="inlineStr">
        <is>
          <t>HNB020</t>
        </is>
      </c>
      <c r="E233" t="inlineStr">
        <is>
          <t>8</t>
        </is>
      </c>
      <c r="F233" t="inlineStr"/>
      <c r="G233" t="inlineStr">
        <is>
          <t>To HNB020 /  8F0  / cáp treo</t>
        </is>
      </c>
    </row>
    <row r="234">
      <c r="A234" t="inlineStr">
        <is>
          <t>HNB020</t>
        </is>
      </c>
      <c r="B234" t="n">
        <v>9</v>
      </c>
      <c r="C234" t="inlineStr"/>
      <c r="D234" t="inlineStr">
        <is>
          <t>HNB020</t>
        </is>
      </c>
      <c r="E234" t="inlineStr">
        <is>
          <t>8</t>
        </is>
      </c>
      <c r="F234" t="inlineStr"/>
      <c r="G234" t="inlineStr">
        <is>
          <t>To HNB020 /  8F0  / cáp treo</t>
        </is>
      </c>
    </row>
    <row r="235">
      <c r="A235" t="inlineStr">
        <is>
          <t>HNB020</t>
        </is>
      </c>
      <c r="B235" t="n">
        <v>10</v>
      </c>
      <c r="C235" t="inlineStr"/>
      <c r="D235" t="inlineStr">
        <is>
          <t>HNB020</t>
        </is>
      </c>
      <c r="E235" t="inlineStr">
        <is>
          <t>8</t>
        </is>
      </c>
      <c r="F235" t="inlineStr"/>
      <c r="G235" t="inlineStr">
        <is>
          <t>To HNB020 /  8F0  / cáp treo</t>
        </is>
      </c>
    </row>
    <row r="236">
      <c r="A236" t="inlineStr">
        <is>
          <t>HNB020</t>
        </is>
      </c>
      <c r="B236" t="n">
        <v>11</v>
      </c>
      <c r="C236" t="inlineStr"/>
      <c r="D236" t="inlineStr">
        <is>
          <t>HNB020</t>
        </is>
      </c>
      <c r="E236" t="inlineStr">
        <is>
          <t>8</t>
        </is>
      </c>
      <c r="F236" t="inlineStr"/>
      <c r="G236" t="inlineStr">
        <is>
          <t>To HNB020 /  8F0  / cáp treo</t>
        </is>
      </c>
    </row>
    <row r="237">
      <c r="A237" t="inlineStr">
        <is>
          <t>HNB020</t>
        </is>
      </c>
      <c r="B237" t="n">
        <v>12</v>
      </c>
      <c r="C237" t="inlineStr"/>
      <c r="D237" t="inlineStr">
        <is>
          <t>HNB020</t>
        </is>
      </c>
      <c r="E237" t="inlineStr">
        <is>
          <t>8</t>
        </is>
      </c>
      <c r="F237" t="inlineStr"/>
      <c r="G237" t="inlineStr">
        <is>
          <t>To HNB020 /  8F0  / cáp treo</t>
        </is>
      </c>
    </row>
    <row r="238">
      <c r="A238" t="inlineStr">
        <is>
          <t>HNB075</t>
        </is>
      </c>
      <c r="B238" t="n">
        <v>1</v>
      </c>
      <c r="C238" t="inlineStr"/>
      <c r="D238" t="inlineStr">
        <is>
          <t>HNB014</t>
        </is>
      </c>
      <c r="E238" t="inlineStr">
        <is>
          <t>6</t>
        </is>
      </c>
      <c r="F238" t="inlineStr"/>
      <c r="G238" t="inlineStr">
        <is>
          <t>To HNB014 /  Focal 9/2020 6FO / cáp treo</t>
        </is>
      </c>
    </row>
    <row r="239">
      <c r="A239" t="inlineStr">
        <is>
          <t>HNB075</t>
        </is>
      </c>
      <c r="B239" t="n">
        <v>2</v>
      </c>
      <c r="C239" t="inlineStr"/>
      <c r="D239" t="inlineStr">
        <is>
          <t>HNB014</t>
        </is>
      </c>
      <c r="E239" t="inlineStr">
        <is>
          <t>6</t>
        </is>
      </c>
      <c r="F239" t="inlineStr"/>
      <c r="G239" t="inlineStr">
        <is>
          <t>To HNB014 /  Focal 9/2020 6FO / cáp treo</t>
        </is>
      </c>
    </row>
    <row r="240">
      <c r="A240" t="inlineStr">
        <is>
          <t>HNB075</t>
        </is>
      </c>
      <c r="B240" t="n">
        <v>3</v>
      </c>
      <c r="C240" t="inlineStr"/>
      <c r="D240" t="inlineStr">
        <is>
          <t>HNB014</t>
        </is>
      </c>
      <c r="E240" t="inlineStr">
        <is>
          <t>6</t>
        </is>
      </c>
      <c r="F240" t="inlineStr"/>
      <c r="G240" t="inlineStr">
        <is>
          <t>To HNB014 /  Focal 9/2020 6FO / cáp treo</t>
        </is>
      </c>
    </row>
    <row r="241">
      <c r="A241" t="inlineStr">
        <is>
          <t>HNB075</t>
        </is>
      </c>
      <c r="B241" t="n">
        <v>4</v>
      </c>
      <c r="C241" t="inlineStr"/>
      <c r="D241" t="inlineStr">
        <is>
          <t>HNB014</t>
        </is>
      </c>
      <c r="E241" t="inlineStr">
        <is>
          <t>6</t>
        </is>
      </c>
      <c r="F241" t="inlineStr"/>
      <c r="G241" t="inlineStr">
        <is>
          <t>To HNB014 /  Focal 9/2020 6FO / cáp treo</t>
        </is>
      </c>
    </row>
    <row r="242">
      <c r="A242" t="inlineStr">
        <is>
          <t>HNB075</t>
        </is>
      </c>
      <c r="B242" t="n">
        <v>5</v>
      </c>
      <c r="C242" t="inlineStr"/>
      <c r="D242" t="inlineStr">
        <is>
          <t>HNB014</t>
        </is>
      </c>
      <c r="E242" t="inlineStr">
        <is>
          <t>6</t>
        </is>
      </c>
      <c r="F242" t="inlineStr"/>
      <c r="G242" t="inlineStr">
        <is>
          <t>To HNB014 /  Focal 9/2020 6FO / cáp treo</t>
        </is>
      </c>
    </row>
    <row r="243">
      <c r="A243" t="inlineStr">
        <is>
          <t>HNB075</t>
        </is>
      </c>
      <c r="B243" t="n">
        <v>6</v>
      </c>
      <c r="C243" t="inlineStr"/>
      <c r="D243" t="inlineStr">
        <is>
          <t>HNB014</t>
        </is>
      </c>
      <c r="E243" t="inlineStr">
        <is>
          <t>6</t>
        </is>
      </c>
      <c r="F243" t="inlineStr"/>
      <c r="G243" t="inlineStr">
        <is>
          <t>To HNB014 /  Focal 9/2020 6FO / cáp treo</t>
        </is>
      </c>
    </row>
    <row r="244">
      <c r="A244" t="inlineStr">
        <is>
          <t>HNB075</t>
        </is>
      </c>
      <c r="B244" t="n">
        <v>7</v>
      </c>
      <c r="C244" t="inlineStr"/>
      <c r="D244" t="inlineStr">
        <is>
          <t>NBE22</t>
        </is>
      </c>
      <c r="E244" t="inlineStr">
        <is>
          <t>8</t>
        </is>
      </c>
      <c r="F244" t="inlineStr"/>
      <c r="G244" t="inlineStr">
        <is>
          <t>To AGG-NBE22 / (MX_LVL01) /  Focal 2007 8F0  / cáp treo</t>
        </is>
      </c>
    </row>
    <row r="245">
      <c r="A245" t="inlineStr">
        <is>
          <t>HNB075</t>
        </is>
      </c>
      <c r="B245" t="n">
        <v>8</v>
      </c>
      <c r="C245" t="inlineStr"/>
      <c r="D245" t="inlineStr">
        <is>
          <t>NBE22</t>
        </is>
      </c>
      <c r="E245" t="inlineStr">
        <is>
          <t>8</t>
        </is>
      </c>
      <c r="F245" t="inlineStr"/>
      <c r="G245" t="inlineStr">
        <is>
          <t>To AGG-NBE22 / (MX_LVL01) /  Focal 2007 8F0  / cáp treo</t>
        </is>
      </c>
    </row>
    <row r="246">
      <c r="A246" t="inlineStr">
        <is>
          <t>HNB075</t>
        </is>
      </c>
      <c r="B246" t="n">
        <v>9</v>
      </c>
      <c r="C246" t="inlineStr"/>
      <c r="D246" t="inlineStr">
        <is>
          <t>NBE22</t>
        </is>
      </c>
      <c r="E246" t="inlineStr">
        <is>
          <t>8</t>
        </is>
      </c>
      <c r="F246" t="inlineStr"/>
      <c r="G246" t="inlineStr">
        <is>
          <t>To AGG-NBE22 / (MX_LVL01) /  Focal 2007 8F0  / cáp treo</t>
        </is>
      </c>
    </row>
    <row r="247">
      <c r="A247" t="inlineStr">
        <is>
          <t>HNB075</t>
        </is>
      </c>
      <c r="B247" t="n">
        <v>10</v>
      </c>
      <c r="C247" t="inlineStr"/>
      <c r="D247" t="inlineStr">
        <is>
          <t>NBE22</t>
        </is>
      </c>
      <c r="E247" t="inlineStr">
        <is>
          <t>8</t>
        </is>
      </c>
      <c r="F247" t="inlineStr"/>
      <c r="G247" t="inlineStr">
        <is>
          <t>To AGG-NBE22 / (MX_LVL01) /  Focal 2007 8F0  / cáp treo</t>
        </is>
      </c>
    </row>
    <row r="248">
      <c r="A248" t="inlineStr">
        <is>
          <t>HNB075</t>
        </is>
      </c>
      <c r="B248" t="n">
        <v>11</v>
      </c>
      <c r="C248" t="inlineStr"/>
      <c r="D248" t="inlineStr">
        <is>
          <t>NBE22</t>
        </is>
      </c>
      <c r="E248" t="inlineStr">
        <is>
          <t>8</t>
        </is>
      </c>
      <c r="F248" t="inlineStr"/>
      <c r="G248" t="inlineStr">
        <is>
          <t>To AGG-NBE22 / (MX_LVL01) /  Focal 2007 8F0  / cáp treo</t>
        </is>
      </c>
    </row>
    <row r="249">
      <c r="A249" t="inlineStr">
        <is>
          <t>HNB075</t>
        </is>
      </c>
      <c r="B249" t="n">
        <v>12</v>
      </c>
      <c r="C249" t="inlineStr"/>
      <c r="D249" t="inlineStr">
        <is>
          <t>NBE22</t>
        </is>
      </c>
      <c r="E249" t="inlineStr">
        <is>
          <t>8</t>
        </is>
      </c>
      <c r="F249" t="inlineStr"/>
      <c r="G249" t="inlineStr">
        <is>
          <t>To AGG-NBE22 / (MX_LVL01) /  Focal 2007 8F0  / cáp treo</t>
        </is>
      </c>
    </row>
    <row r="250">
      <c r="A250" t="inlineStr">
        <is>
          <t>HNB014</t>
        </is>
      </c>
      <c r="B250" t="n">
        <v>1</v>
      </c>
      <c r="C250" t="inlineStr"/>
      <c r="D250" t="inlineStr"/>
      <c r="E250" t="inlineStr"/>
      <c r="F250" t="inlineStr"/>
      <c r="G250" t="inlineStr"/>
    </row>
    <row r="251">
      <c r="A251" t="inlineStr">
        <is>
          <t>HNB014</t>
        </is>
      </c>
      <c r="B251" t="n">
        <v>2</v>
      </c>
      <c r="C251" t="inlineStr"/>
      <c r="D251" t="inlineStr"/>
      <c r="E251" t="inlineStr"/>
      <c r="F251" t="inlineStr"/>
      <c r="G251" t="inlineStr"/>
    </row>
    <row r="252">
      <c r="A252" t="inlineStr">
        <is>
          <t>HNB014</t>
        </is>
      </c>
      <c r="B252" t="n">
        <v>3</v>
      </c>
      <c r="C252" t="inlineStr"/>
      <c r="D252" t="inlineStr"/>
      <c r="E252" t="inlineStr"/>
      <c r="F252" t="inlineStr"/>
      <c r="G252" t="inlineStr"/>
    </row>
    <row r="253">
      <c r="A253" t="inlineStr">
        <is>
          <t>HNB014</t>
        </is>
      </c>
      <c r="B253" t="n">
        <v>4</v>
      </c>
      <c r="C253" t="inlineStr"/>
      <c r="D253" t="inlineStr"/>
      <c r="E253" t="inlineStr"/>
      <c r="F253" t="inlineStr"/>
      <c r="G253" t="inlineStr"/>
    </row>
    <row r="254">
      <c r="A254" t="inlineStr">
        <is>
          <t>HNB014</t>
        </is>
      </c>
      <c r="B254" t="n">
        <v>5</v>
      </c>
      <c r="C254" t="inlineStr"/>
      <c r="D254" t="inlineStr"/>
      <c r="E254" t="inlineStr"/>
      <c r="F254" t="inlineStr"/>
      <c r="G254" t="inlineStr"/>
    </row>
    <row r="255">
      <c r="A255" t="inlineStr">
        <is>
          <t>HNB014</t>
        </is>
      </c>
      <c r="B255" t="n">
        <v>6</v>
      </c>
      <c r="C255" t="inlineStr"/>
      <c r="D255" t="inlineStr"/>
      <c r="E255" t="inlineStr"/>
      <c r="F255" t="inlineStr"/>
      <c r="G255" t="inlineStr"/>
    </row>
    <row r="256">
      <c r="A256" t="inlineStr">
        <is>
          <t>HNB014</t>
        </is>
      </c>
      <c r="B256" t="n">
        <v>7</v>
      </c>
      <c r="C256" t="inlineStr"/>
      <c r="D256" t="inlineStr"/>
      <c r="E256" t="inlineStr"/>
      <c r="F256" t="inlineStr"/>
      <c r="G256" t="inlineStr"/>
    </row>
    <row r="257">
      <c r="A257" t="inlineStr">
        <is>
          <t>HNB014</t>
        </is>
      </c>
      <c r="B257" t="n">
        <v>8</v>
      </c>
      <c r="C257" t="inlineStr"/>
      <c r="D257" t="inlineStr"/>
      <c r="E257" t="inlineStr"/>
      <c r="F257" t="inlineStr"/>
      <c r="G257" t="inlineStr"/>
    </row>
    <row r="258">
      <c r="A258" t="inlineStr">
        <is>
          <t>HNB014</t>
        </is>
      </c>
      <c r="B258" t="n">
        <v>9</v>
      </c>
      <c r="C258" t="inlineStr"/>
      <c r="D258" t="inlineStr"/>
      <c r="E258" t="inlineStr"/>
      <c r="F258" t="inlineStr"/>
      <c r="G258" t="inlineStr"/>
    </row>
    <row r="259">
      <c r="A259" t="inlineStr">
        <is>
          <t>HNB014</t>
        </is>
      </c>
      <c r="B259" t="n">
        <v>10</v>
      </c>
      <c r="C259" t="inlineStr"/>
      <c r="D259" t="inlineStr"/>
      <c r="E259" t="inlineStr"/>
      <c r="F259" t="inlineStr"/>
      <c r="G259" t="inlineStr"/>
    </row>
    <row r="260">
      <c r="A260" t="inlineStr">
        <is>
          <t>HNB014</t>
        </is>
      </c>
      <c r="B260" t="n">
        <v>11</v>
      </c>
      <c r="C260" t="inlineStr"/>
      <c r="D260" t="inlineStr"/>
      <c r="E260" t="inlineStr"/>
      <c r="F260" t="inlineStr"/>
      <c r="G260" t="inlineStr"/>
    </row>
    <row r="261">
      <c r="A261" t="inlineStr">
        <is>
          <t>HNB014</t>
        </is>
      </c>
      <c r="B261" t="n">
        <v>12</v>
      </c>
      <c r="C261" t="inlineStr"/>
      <c r="D261" t="inlineStr"/>
      <c r="E261" t="inlineStr"/>
      <c r="F261" t="inlineStr"/>
      <c r="G261" t="inlineStr"/>
    </row>
    <row r="262">
      <c r="A262" t="inlineStr">
        <is>
          <t>HNB012</t>
        </is>
      </c>
      <c r="B262" t="n">
        <v>1</v>
      </c>
      <c r="C262" t="inlineStr"/>
      <c r="D262" t="inlineStr">
        <is>
          <t>NBE22</t>
        </is>
      </c>
      <c r="E262" t="inlineStr">
        <is>
          <t>6</t>
        </is>
      </c>
      <c r="F262" t="inlineStr"/>
      <c r="G262" t="inlineStr">
        <is>
          <t>To AGG-NBE22 / Focal 9/2020 / 6FO-2692</t>
        </is>
      </c>
    </row>
    <row r="263">
      <c r="A263" t="inlineStr">
        <is>
          <t>HNB012</t>
        </is>
      </c>
      <c r="B263" t="n">
        <v>2</v>
      </c>
      <c r="C263" t="inlineStr"/>
      <c r="D263" t="inlineStr">
        <is>
          <t>NBE22</t>
        </is>
      </c>
      <c r="E263" t="inlineStr">
        <is>
          <t>6</t>
        </is>
      </c>
      <c r="F263" t="inlineStr"/>
      <c r="G263" t="inlineStr">
        <is>
          <t>To AGG-NBE22 / Focal 9/2020 / 6FO-2692</t>
        </is>
      </c>
    </row>
    <row r="264">
      <c r="A264" t="inlineStr">
        <is>
          <t>HNB012</t>
        </is>
      </c>
      <c r="B264" t="n">
        <v>3</v>
      </c>
      <c r="C264" t="inlineStr"/>
      <c r="D264" t="inlineStr">
        <is>
          <t>NBE22</t>
        </is>
      </c>
      <c r="E264" t="inlineStr">
        <is>
          <t>6</t>
        </is>
      </c>
      <c r="F264" t="inlineStr"/>
      <c r="G264" t="inlineStr">
        <is>
          <t>To AGG-NBE22 / Focal 9/2020 / 6FO-2692</t>
        </is>
      </c>
    </row>
    <row r="265">
      <c r="A265" t="inlineStr">
        <is>
          <t>HNB012</t>
        </is>
      </c>
      <c r="B265" t="n">
        <v>4</v>
      </c>
      <c r="C265" t="inlineStr"/>
      <c r="D265" t="inlineStr">
        <is>
          <t>NBE22</t>
        </is>
      </c>
      <c r="E265" t="inlineStr">
        <is>
          <t>6</t>
        </is>
      </c>
      <c r="F265" t="inlineStr"/>
      <c r="G265" t="inlineStr">
        <is>
          <t>To AGG-NBE22 / Focal 9/2020 / 6FO-2692</t>
        </is>
      </c>
    </row>
    <row r="266">
      <c r="A266" t="inlineStr">
        <is>
          <t>HNB012</t>
        </is>
      </c>
      <c r="B266" t="n">
        <v>5</v>
      </c>
      <c r="C266" t="inlineStr"/>
      <c r="D266" t="inlineStr">
        <is>
          <t>MX_Phạm Hùng</t>
        </is>
      </c>
      <c r="E266" t="inlineStr">
        <is>
          <t>8</t>
        </is>
      </c>
      <c r="F266" t="inlineStr">
        <is>
          <t>1893</t>
        </is>
      </c>
      <c r="G266" t="inlineStr">
        <is>
          <t>To : MX_Phạm Hùng / CÁP Focal 6/2007  8FO / (cs 1893)</t>
        </is>
      </c>
    </row>
    <row r="267">
      <c r="A267" t="inlineStr">
        <is>
          <t>HNB012</t>
        </is>
      </c>
      <c r="B267" t="n">
        <v>6</v>
      </c>
      <c r="C267" t="inlineStr"/>
      <c r="D267" t="inlineStr">
        <is>
          <t>MX_Phạm Hùng</t>
        </is>
      </c>
      <c r="E267" t="inlineStr">
        <is>
          <t>8</t>
        </is>
      </c>
      <c r="F267" t="inlineStr">
        <is>
          <t>1893</t>
        </is>
      </c>
      <c r="G267" t="inlineStr">
        <is>
          <t>To : MX_Phạm Hùng / CÁP Focal 6/2007  8FO / (cs 1893)</t>
        </is>
      </c>
    </row>
    <row r="268">
      <c r="A268" t="inlineStr">
        <is>
          <t>HNB012</t>
        </is>
      </c>
      <c r="B268" t="n">
        <v>7</v>
      </c>
      <c r="C268" t="inlineStr"/>
      <c r="D268" t="inlineStr">
        <is>
          <t>MX_Phạm Hùng</t>
        </is>
      </c>
      <c r="E268" t="inlineStr">
        <is>
          <t>8</t>
        </is>
      </c>
      <c r="F268" t="inlineStr">
        <is>
          <t>1893</t>
        </is>
      </c>
      <c r="G268" t="inlineStr">
        <is>
          <t>To : MX_Phạm Hùng / CÁP Focal 6/2007  8FO / (cs 1893)</t>
        </is>
      </c>
    </row>
    <row r="269">
      <c r="A269" t="inlineStr">
        <is>
          <t>HNB012</t>
        </is>
      </c>
      <c r="B269" t="n">
        <v>8</v>
      </c>
      <c r="C269" t="inlineStr"/>
      <c r="D269" t="inlineStr">
        <is>
          <t>MX_Phạm Hùng</t>
        </is>
      </c>
      <c r="E269" t="inlineStr">
        <is>
          <t>8</t>
        </is>
      </c>
      <c r="F269" t="inlineStr">
        <is>
          <t>1893</t>
        </is>
      </c>
      <c r="G269" t="inlineStr">
        <is>
          <t>To : MX_Phạm Hùng / CÁP Focal 6/2007  8FO / (cs 1893)</t>
        </is>
      </c>
    </row>
    <row r="270">
      <c r="A270" t="inlineStr">
        <is>
          <t>HNB012</t>
        </is>
      </c>
      <c r="B270" t="n">
        <v>9</v>
      </c>
      <c r="C270" t="inlineStr"/>
      <c r="D270" t="inlineStr">
        <is>
          <t>MX_Phạm Hùng</t>
        </is>
      </c>
      <c r="E270" t="inlineStr">
        <is>
          <t>8</t>
        </is>
      </c>
      <c r="F270" t="inlineStr">
        <is>
          <t>1893</t>
        </is>
      </c>
      <c r="G270" t="inlineStr">
        <is>
          <t>To : MX_Phạm Hùng / CÁP Focal 6/2007  8FO / (cs 1893)</t>
        </is>
      </c>
    </row>
    <row r="271">
      <c r="A271" t="inlineStr">
        <is>
          <t>HNB012</t>
        </is>
      </c>
      <c r="B271" t="n">
        <v>10</v>
      </c>
      <c r="C271" t="inlineStr"/>
      <c r="D271" t="inlineStr">
        <is>
          <t>MX_Phạm Hùng</t>
        </is>
      </c>
      <c r="E271" t="inlineStr">
        <is>
          <t>8</t>
        </is>
      </c>
      <c r="F271" t="inlineStr">
        <is>
          <t>1893</t>
        </is>
      </c>
      <c r="G271" t="inlineStr">
        <is>
          <t>To : MX_Phạm Hùng / CÁP Focal 6/2007  8FO / (cs 1893)</t>
        </is>
      </c>
    </row>
    <row r="272">
      <c r="A272" t="inlineStr">
        <is>
          <t>HNB012</t>
        </is>
      </c>
      <c r="B272" t="n">
        <v>11</v>
      </c>
      <c r="C272" t="inlineStr"/>
      <c r="D272" t="inlineStr">
        <is>
          <t>MX_Phạm Hùng</t>
        </is>
      </c>
      <c r="E272" t="inlineStr">
        <is>
          <t>8</t>
        </is>
      </c>
      <c r="F272" t="inlineStr">
        <is>
          <t>1893</t>
        </is>
      </c>
      <c r="G272" t="inlineStr">
        <is>
          <t>To : MX_Phạm Hùng / CÁP Focal 6/2007  8FO / (cs 1893)</t>
        </is>
      </c>
    </row>
    <row r="273">
      <c r="A273" t="inlineStr">
        <is>
          <t>HNB012</t>
        </is>
      </c>
      <c r="B273" t="n">
        <v>12</v>
      </c>
      <c r="C273" t="inlineStr"/>
      <c r="D273" t="inlineStr">
        <is>
          <t>MX_Phạm Hùng</t>
        </is>
      </c>
      <c r="E273" t="inlineStr">
        <is>
          <t>8</t>
        </is>
      </c>
      <c r="F273" t="inlineStr">
        <is>
          <t>1893</t>
        </is>
      </c>
      <c r="G273" t="inlineStr">
        <is>
          <t>To : MX_Phạm Hùng / CÁP Focal 6/2007  8FO / (cs 1893)</t>
        </is>
      </c>
    </row>
    <row r="274">
      <c r="A274" t="inlineStr">
        <is>
          <t>HNB113</t>
        </is>
      </c>
      <c r="B274" t="n">
        <v>1</v>
      </c>
      <c r="C274" t="inlineStr"/>
      <c r="D274" t="inlineStr">
        <is>
          <t>HNB012</t>
        </is>
      </c>
      <c r="E274" t="inlineStr">
        <is>
          <t>6</t>
        </is>
      </c>
      <c r="F274" t="inlineStr"/>
      <c r="G274" t="inlineStr">
        <is>
          <t>To HNB012 / FOCAL 9/2020 / 6FO - 3476</t>
        </is>
      </c>
    </row>
    <row r="275">
      <c r="A275" t="inlineStr">
        <is>
          <t>HNB113</t>
        </is>
      </c>
      <c r="B275" t="n">
        <v>2</v>
      </c>
      <c r="C275" t="inlineStr"/>
      <c r="D275" t="inlineStr">
        <is>
          <t>HNB012</t>
        </is>
      </c>
      <c r="E275" t="inlineStr">
        <is>
          <t>6</t>
        </is>
      </c>
      <c r="F275" t="inlineStr"/>
      <c r="G275" t="inlineStr">
        <is>
          <t>To HNB012 / FOCAL 9/2020 / 6FO - 3476</t>
        </is>
      </c>
    </row>
    <row r="276">
      <c r="A276" t="inlineStr">
        <is>
          <t>HNB113</t>
        </is>
      </c>
      <c r="B276" t="n">
        <v>3</v>
      </c>
      <c r="C276" t="inlineStr"/>
      <c r="D276" t="inlineStr">
        <is>
          <t>HNB012</t>
        </is>
      </c>
      <c r="E276" t="inlineStr">
        <is>
          <t>6</t>
        </is>
      </c>
      <c r="F276" t="inlineStr"/>
      <c r="G276" t="inlineStr">
        <is>
          <t>To HNB012 / FOCAL 9/2020 / 6FO - 3476</t>
        </is>
      </c>
    </row>
    <row r="277">
      <c r="A277" t="inlineStr">
        <is>
          <t>HNB113</t>
        </is>
      </c>
      <c r="B277" t="n">
        <v>4</v>
      </c>
      <c r="C277" t="inlineStr"/>
      <c r="D277" t="inlineStr">
        <is>
          <t>HNB012</t>
        </is>
      </c>
      <c r="E277" t="inlineStr">
        <is>
          <t>6</t>
        </is>
      </c>
      <c r="F277" t="inlineStr"/>
      <c r="G277" t="inlineStr">
        <is>
          <t>To HNB012 / FOCAL 9/2020 / 6FO - 3476</t>
        </is>
      </c>
    </row>
    <row r="278">
      <c r="A278" t="inlineStr">
        <is>
          <t>HNB113</t>
        </is>
      </c>
      <c r="B278" t="n">
        <v>5</v>
      </c>
      <c r="C278" t="inlineStr"/>
      <c r="D278" t="inlineStr">
        <is>
          <t>HNB012</t>
        </is>
      </c>
      <c r="E278" t="inlineStr">
        <is>
          <t>6</t>
        </is>
      </c>
      <c r="F278" t="inlineStr"/>
      <c r="G278" t="inlineStr">
        <is>
          <t>To HNB012 / FOCAL 9/2020 / 6FO - 3476</t>
        </is>
      </c>
    </row>
    <row r="279">
      <c r="A279" t="inlineStr">
        <is>
          <t>HNB113</t>
        </is>
      </c>
      <c r="B279" t="n">
        <v>6</v>
      </c>
      <c r="C279" t="inlineStr"/>
      <c r="D279" t="inlineStr">
        <is>
          <t>HNB012</t>
        </is>
      </c>
      <c r="E279" t="inlineStr">
        <is>
          <t>6</t>
        </is>
      </c>
      <c r="F279" t="inlineStr"/>
      <c r="G279" t="inlineStr">
        <is>
          <t>To HNB012 / FOCAL 9/2020 / 6FO - 3476</t>
        </is>
      </c>
    </row>
    <row r="280">
      <c r="A280" t="inlineStr">
        <is>
          <t>HNB054</t>
        </is>
      </c>
      <c r="B280" t="n">
        <v>1</v>
      </c>
      <c r="C280" t="inlineStr"/>
      <c r="D280" t="inlineStr"/>
      <c r="E280" t="inlineStr"/>
      <c r="F280" t="inlineStr"/>
      <c r="G280" t="inlineStr"/>
    </row>
    <row r="281">
      <c r="A281" t="inlineStr">
        <is>
          <t>HNB054</t>
        </is>
      </c>
      <c r="B281" t="n">
        <v>2</v>
      </c>
      <c r="C281" t="inlineStr"/>
      <c r="D281" t="inlineStr"/>
      <c r="E281" t="inlineStr"/>
      <c r="F281" t="inlineStr"/>
      <c r="G281" t="inlineStr"/>
    </row>
    <row r="282">
      <c r="A282" t="inlineStr">
        <is>
          <t>HNB054</t>
        </is>
      </c>
      <c r="B282" t="n">
        <v>3</v>
      </c>
      <c r="C282" t="inlineStr"/>
      <c r="D282" t="inlineStr"/>
      <c r="E282" t="inlineStr"/>
      <c r="F282" t="inlineStr"/>
      <c r="G282" t="inlineStr"/>
    </row>
    <row r="283">
      <c r="A283" t="inlineStr">
        <is>
          <t>HNB054</t>
        </is>
      </c>
      <c r="B283" t="n">
        <v>4</v>
      </c>
      <c r="C283" t="inlineStr"/>
      <c r="D283" t="inlineStr"/>
      <c r="E283" t="inlineStr"/>
      <c r="F283" t="inlineStr"/>
      <c r="G283" t="inlineStr"/>
    </row>
    <row r="284">
      <c r="A284" t="inlineStr">
        <is>
          <t>HNB054</t>
        </is>
      </c>
      <c r="B284" t="n">
        <v>5</v>
      </c>
      <c r="C284" t="inlineStr"/>
      <c r="D284" t="inlineStr"/>
      <c r="E284" t="inlineStr"/>
      <c r="F284" t="inlineStr"/>
      <c r="G284" t="inlineStr"/>
    </row>
    <row r="285">
      <c r="A285" t="inlineStr">
        <is>
          <t>HNB054</t>
        </is>
      </c>
      <c r="B285" t="n">
        <v>6</v>
      </c>
      <c r="C285" t="inlineStr"/>
      <c r="D285" t="inlineStr"/>
      <c r="E285" t="inlineStr"/>
      <c r="F285" t="inlineStr"/>
      <c r="G285" t="inlineStr"/>
    </row>
    <row r="286">
      <c r="A286" t="inlineStr">
        <is>
          <t>HNB054</t>
        </is>
      </c>
      <c r="B286" t="n">
        <v>7</v>
      </c>
      <c r="C286" t="inlineStr"/>
      <c r="D286" t="inlineStr"/>
      <c r="E286" t="inlineStr"/>
      <c r="F286" t="inlineStr"/>
      <c r="G286" t="inlineStr"/>
    </row>
    <row r="287">
      <c r="A287" t="inlineStr">
        <is>
          <t>HNB054</t>
        </is>
      </c>
      <c r="B287" t="n">
        <v>8</v>
      </c>
      <c r="C287" t="inlineStr"/>
      <c r="D287" t="inlineStr"/>
      <c r="E287" t="inlineStr"/>
      <c r="F287" t="inlineStr"/>
      <c r="G287" t="inlineStr"/>
    </row>
    <row r="288">
      <c r="A288" t="inlineStr">
        <is>
          <t>HNB054</t>
        </is>
      </c>
      <c r="B288" t="n">
        <v>9</v>
      </c>
      <c r="C288" t="inlineStr"/>
      <c r="D288" t="inlineStr"/>
      <c r="E288" t="inlineStr"/>
      <c r="F288" t="inlineStr"/>
      <c r="G288" t="inlineStr"/>
    </row>
    <row r="289">
      <c r="A289" t="inlineStr">
        <is>
          <t>HNB054</t>
        </is>
      </c>
      <c r="B289" t="n">
        <v>10</v>
      </c>
      <c r="C289" t="inlineStr"/>
      <c r="D289" t="inlineStr"/>
      <c r="E289" t="inlineStr"/>
      <c r="F289" t="inlineStr"/>
      <c r="G289" t="inlineStr"/>
    </row>
    <row r="290">
      <c r="A290" t="inlineStr">
        <is>
          <t>HNB054</t>
        </is>
      </c>
      <c r="B290" t="n">
        <v>11</v>
      </c>
      <c r="C290" t="inlineStr"/>
      <c r="D290" t="inlineStr"/>
      <c r="E290" t="inlineStr"/>
      <c r="F290" t="inlineStr"/>
      <c r="G290" t="inlineStr"/>
    </row>
    <row r="291">
      <c r="A291" t="inlineStr">
        <is>
          <t>HNB054</t>
        </is>
      </c>
      <c r="B291" t="n">
        <v>12</v>
      </c>
      <c r="C291" t="inlineStr"/>
      <c r="D291" t="inlineStr"/>
      <c r="E291" t="inlineStr"/>
      <c r="F291" t="inlineStr"/>
      <c r="G291" t="inlineStr"/>
    </row>
    <row r="292">
      <c r="A292" t="inlineStr">
        <is>
          <t>HNB006</t>
        </is>
      </c>
      <c r="B292" t="n">
        <v>1</v>
      </c>
      <c r="C292" t="inlineStr"/>
      <c r="D292" t="inlineStr"/>
      <c r="E292" t="inlineStr"/>
      <c r="F292" t="inlineStr"/>
      <c r="G292" t="inlineStr"/>
    </row>
    <row r="293">
      <c r="A293" t="inlineStr">
        <is>
          <t>HNB006</t>
        </is>
      </c>
      <c r="B293" t="n">
        <v>2</v>
      </c>
      <c r="C293" t="inlineStr"/>
      <c r="D293" t="inlineStr"/>
      <c r="E293" t="inlineStr"/>
      <c r="F293" t="inlineStr"/>
      <c r="G293" t="inlineStr"/>
    </row>
    <row r="294">
      <c r="A294" t="inlineStr">
        <is>
          <t>HNB006</t>
        </is>
      </c>
      <c r="B294" t="n">
        <v>3</v>
      </c>
      <c r="C294" t="inlineStr"/>
      <c r="D294" t="inlineStr"/>
      <c r="E294" t="inlineStr"/>
      <c r="F294" t="inlineStr"/>
      <c r="G294" t="inlineStr"/>
    </row>
    <row r="295">
      <c r="A295" t="inlineStr">
        <is>
          <t>HNB006</t>
        </is>
      </c>
      <c r="B295" t="n">
        <v>4</v>
      </c>
      <c r="C295" t="inlineStr"/>
      <c r="D295" t="inlineStr"/>
      <c r="E295" t="inlineStr"/>
      <c r="F295" t="inlineStr"/>
      <c r="G295" t="inlineStr"/>
    </row>
    <row r="296">
      <c r="A296" t="inlineStr">
        <is>
          <t>HNB006</t>
        </is>
      </c>
      <c r="B296" t="n">
        <v>5</v>
      </c>
      <c r="C296" t="inlineStr"/>
      <c r="D296" t="inlineStr"/>
      <c r="E296" t="inlineStr"/>
      <c r="F296" t="inlineStr"/>
      <c r="G296" t="inlineStr"/>
    </row>
    <row r="297">
      <c r="A297" t="inlineStr">
        <is>
          <t>HNB006</t>
        </is>
      </c>
      <c r="B297" t="n">
        <v>6</v>
      </c>
      <c r="C297" t="inlineStr"/>
      <c r="D297" t="inlineStr"/>
      <c r="E297" t="inlineStr"/>
      <c r="F297" t="inlineStr"/>
      <c r="G297" t="inlineStr"/>
    </row>
    <row r="298">
      <c r="A298" t="inlineStr">
        <is>
          <t>HNB006</t>
        </is>
      </c>
      <c r="B298" t="n">
        <v>7</v>
      </c>
      <c r="C298" t="inlineStr"/>
      <c r="D298" t="inlineStr"/>
      <c r="E298" t="inlineStr"/>
      <c r="F298" t="inlineStr"/>
      <c r="G298" t="inlineStr"/>
    </row>
    <row r="299">
      <c r="A299" t="inlineStr">
        <is>
          <t>HNB006</t>
        </is>
      </c>
      <c r="B299" t="n">
        <v>8</v>
      </c>
      <c r="C299" t="inlineStr"/>
      <c r="D299" t="inlineStr"/>
      <c r="E299" t="inlineStr"/>
      <c r="F299" t="inlineStr"/>
      <c r="G299" t="inlineStr"/>
    </row>
    <row r="300">
      <c r="A300" t="inlineStr">
        <is>
          <t>HNB006</t>
        </is>
      </c>
      <c r="B300" t="n">
        <v>9</v>
      </c>
      <c r="C300" t="inlineStr"/>
      <c r="D300" t="inlineStr"/>
      <c r="E300" t="inlineStr"/>
      <c r="F300" t="inlineStr"/>
      <c r="G300" t="inlineStr"/>
    </row>
    <row r="301">
      <c r="A301" t="inlineStr">
        <is>
          <t>HNB006</t>
        </is>
      </c>
      <c r="B301" t="n">
        <v>10</v>
      </c>
      <c r="C301" t="inlineStr"/>
      <c r="D301" t="inlineStr"/>
      <c r="E301" t="inlineStr"/>
      <c r="F301" t="inlineStr"/>
      <c r="G301" t="inlineStr"/>
    </row>
    <row r="302">
      <c r="A302" t="inlineStr">
        <is>
          <t>HNB006</t>
        </is>
      </c>
      <c r="B302" t="n">
        <v>11</v>
      </c>
      <c r="C302" t="inlineStr"/>
      <c r="D302" t="inlineStr"/>
      <c r="E302" t="inlineStr"/>
      <c r="F302" t="inlineStr"/>
      <c r="G302" t="inlineStr"/>
    </row>
    <row r="303">
      <c r="A303" t="inlineStr">
        <is>
          <t>HNB006</t>
        </is>
      </c>
      <c r="B303" t="n">
        <v>12</v>
      </c>
      <c r="C303" t="inlineStr"/>
      <c r="D303" t="inlineStr"/>
      <c r="E303" t="inlineStr"/>
      <c r="F303" t="inlineStr"/>
      <c r="G303" t="inlineStr"/>
    </row>
    <row r="304">
      <c r="A304" t="inlineStr">
        <is>
          <t>HNB091</t>
        </is>
      </c>
      <c r="B304" t="n">
        <v>1</v>
      </c>
      <c r="C304" t="inlineStr"/>
      <c r="D304" t="inlineStr"/>
      <c r="E304" t="inlineStr"/>
      <c r="F304" t="inlineStr"/>
      <c r="G304" t="inlineStr"/>
    </row>
    <row r="305">
      <c r="A305" t="inlineStr">
        <is>
          <t>HNB091</t>
        </is>
      </c>
      <c r="B305" t="n">
        <v>2</v>
      </c>
      <c r="C305" t="inlineStr"/>
      <c r="D305" t="inlineStr"/>
      <c r="E305" t="inlineStr"/>
      <c r="F305" t="inlineStr"/>
      <c r="G305" t="inlineStr"/>
    </row>
    <row r="306">
      <c r="A306" t="inlineStr">
        <is>
          <t>HNB091</t>
        </is>
      </c>
      <c r="B306" t="n">
        <v>3</v>
      </c>
      <c r="C306" t="inlineStr"/>
      <c r="D306" t="inlineStr"/>
      <c r="E306" t="inlineStr"/>
      <c r="F306" t="inlineStr"/>
      <c r="G306" t="inlineStr"/>
    </row>
    <row r="307">
      <c r="A307" t="inlineStr">
        <is>
          <t>HNB091</t>
        </is>
      </c>
      <c r="B307" t="n">
        <v>4</v>
      </c>
      <c r="C307" t="inlineStr"/>
      <c r="D307" t="inlineStr"/>
      <c r="E307" t="inlineStr"/>
      <c r="F307" t="inlineStr"/>
      <c r="G307" t="inlineStr"/>
    </row>
    <row r="308">
      <c r="A308" t="inlineStr">
        <is>
          <t>HNB091</t>
        </is>
      </c>
      <c r="B308" t="n">
        <v>5</v>
      </c>
      <c r="C308" t="inlineStr"/>
      <c r="D308" t="inlineStr"/>
      <c r="E308" t="inlineStr"/>
      <c r="F308" t="inlineStr"/>
      <c r="G308" t="inlineStr"/>
    </row>
    <row r="309">
      <c r="A309" t="inlineStr">
        <is>
          <t>HNB091</t>
        </is>
      </c>
      <c r="B309" t="n">
        <v>6</v>
      </c>
      <c r="C309" t="inlineStr"/>
      <c r="D309" t="inlineStr"/>
      <c r="E309" t="inlineStr"/>
      <c r="F309" t="inlineStr"/>
      <c r="G309" t="inlineStr"/>
    </row>
    <row r="310">
      <c r="A310" t="inlineStr">
        <is>
          <t>HNB091</t>
        </is>
      </c>
      <c r="B310" t="n">
        <v>7</v>
      </c>
      <c r="C310" t="inlineStr"/>
      <c r="D310" t="inlineStr"/>
      <c r="E310" t="inlineStr"/>
      <c r="F310" t="inlineStr"/>
      <c r="G310" t="inlineStr"/>
    </row>
    <row r="311">
      <c r="A311" t="inlineStr">
        <is>
          <t>HNB091</t>
        </is>
      </c>
      <c r="B311" t="n">
        <v>8</v>
      </c>
      <c r="C311" t="inlineStr"/>
      <c r="D311" t="inlineStr"/>
      <c r="E311" t="inlineStr"/>
      <c r="F311" t="inlineStr"/>
      <c r="G311" t="inlineStr"/>
    </row>
    <row r="312">
      <c r="A312" t="inlineStr">
        <is>
          <t>HNB091</t>
        </is>
      </c>
      <c r="B312" t="n">
        <v>9</v>
      </c>
      <c r="C312" t="inlineStr"/>
      <c r="D312" t="inlineStr"/>
      <c r="E312" t="inlineStr"/>
      <c r="F312" t="inlineStr"/>
      <c r="G312" t="inlineStr"/>
    </row>
    <row r="313">
      <c r="A313" t="inlineStr">
        <is>
          <t>HNB091</t>
        </is>
      </c>
      <c r="B313" t="n">
        <v>10</v>
      </c>
      <c r="C313" t="inlineStr"/>
      <c r="D313" t="inlineStr"/>
      <c r="E313" t="inlineStr"/>
      <c r="F313" t="inlineStr"/>
      <c r="G313" t="inlineStr"/>
    </row>
    <row r="314">
      <c r="A314" t="inlineStr">
        <is>
          <t>HNB091</t>
        </is>
      </c>
      <c r="B314" t="n">
        <v>11</v>
      </c>
      <c r="C314" t="inlineStr"/>
      <c r="D314" t="inlineStr"/>
      <c r="E314" t="inlineStr"/>
      <c r="F314" t="inlineStr"/>
      <c r="G314" t="inlineStr"/>
    </row>
    <row r="315">
      <c r="A315" t="inlineStr">
        <is>
          <t>HNB091</t>
        </is>
      </c>
      <c r="B315" t="n">
        <v>12</v>
      </c>
      <c r="C315" t="inlineStr"/>
      <c r="D315" t="inlineStr"/>
      <c r="E315" t="inlineStr"/>
      <c r="F315" t="inlineStr"/>
      <c r="G315" t="inlineStr"/>
    </row>
    <row r="316">
      <c r="A316" t="inlineStr">
        <is>
          <t>HNB048</t>
        </is>
      </c>
      <c r="B316" t="n">
        <v>1</v>
      </c>
      <c r="C316" t="inlineStr"/>
      <c r="D316" t="inlineStr"/>
      <c r="E316" t="inlineStr"/>
      <c r="F316" t="inlineStr"/>
      <c r="G316" t="inlineStr"/>
    </row>
    <row r="317">
      <c r="A317" t="inlineStr">
        <is>
          <t>HNB048</t>
        </is>
      </c>
      <c r="B317" t="n">
        <v>2</v>
      </c>
      <c r="C317" t="inlineStr"/>
      <c r="D317" t="inlineStr"/>
      <c r="E317" t="inlineStr"/>
      <c r="F317" t="inlineStr"/>
      <c r="G317" t="inlineStr"/>
    </row>
    <row r="318">
      <c r="A318" t="inlineStr">
        <is>
          <t>HNB048</t>
        </is>
      </c>
      <c r="B318" t="n">
        <v>3</v>
      </c>
      <c r="C318" t="inlineStr"/>
      <c r="D318" t="inlineStr"/>
      <c r="E318" t="inlineStr"/>
      <c r="F318" t="inlineStr"/>
      <c r="G318" t="inlineStr"/>
    </row>
    <row r="319">
      <c r="A319" t="inlineStr">
        <is>
          <t>HNB048</t>
        </is>
      </c>
      <c r="B319" t="n">
        <v>4</v>
      </c>
      <c r="C319" t="inlineStr"/>
      <c r="D319" t="inlineStr"/>
      <c r="E319" t="inlineStr"/>
      <c r="F319" t="inlineStr"/>
      <c r="G319" t="inlineStr"/>
    </row>
    <row r="320">
      <c r="A320" t="inlineStr">
        <is>
          <t>HNB048</t>
        </is>
      </c>
      <c r="B320" t="n">
        <v>5</v>
      </c>
      <c r="C320" t="inlineStr"/>
      <c r="D320" t="inlineStr"/>
      <c r="E320" t="inlineStr"/>
      <c r="F320" t="inlineStr"/>
      <c r="G320" t="inlineStr"/>
    </row>
    <row r="321">
      <c r="A321" t="inlineStr">
        <is>
          <t>HNB048</t>
        </is>
      </c>
      <c r="B321" t="n">
        <v>6</v>
      </c>
      <c r="C321" t="inlineStr"/>
      <c r="D321" t="inlineStr"/>
      <c r="E321" t="inlineStr"/>
      <c r="F321" t="inlineStr"/>
      <c r="G321" t="inlineStr"/>
    </row>
    <row r="322">
      <c r="A322" t="inlineStr">
        <is>
          <t>HNB048</t>
        </is>
      </c>
      <c r="B322" t="n">
        <v>7</v>
      </c>
      <c r="C322" t="inlineStr"/>
      <c r="D322" t="inlineStr"/>
      <c r="E322" t="inlineStr"/>
      <c r="F322" t="inlineStr"/>
      <c r="G322" t="inlineStr"/>
    </row>
    <row r="323">
      <c r="A323" t="inlineStr">
        <is>
          <t>HNB048</t>
        </is>
      </c>
      <c r="B323" t="n">
        <v>8</v>
      </c>
      <c r="C323" t="inlineStr"/>
      <c r="D323" t="inlineStr"/>
      <c r="E323" t="inlineStr"/>
      <c r="F323" t="inlineStr"/>
      <c r="G323" t="inlineStr"/>
    </row>
    <row r="324">
      <c r="A324" t="inlineStr">
        <is>
          <t>HNB048</t>
        </is>
      </c>
      <c r="B324" t="n">
        <v>9</v>
      </c>
      <c r="C324" t="inlineStr"/>
      <c r="D324" t="inlineStr"/>
      <c r="E324" t="inlineStr"/>
      <c r="F324" t="inlineStr"/>
      <c r="G324" t="inlineStr"/>
    </row>
    <row r="325">
      <c r="A325" t="inlineStr">
        <is>
          <t>HNB048</t>
        </is>
      </c>
      <c r="B325" t="n">
        <v>10</v>
      </c>
      <c r="C325" t="inlineStr"/>
      <c r="D325" t="inlineStr"/>
      <c r="E325" t="inlineStr"/>
      <c r="F325" t="inlineStr"/>
      <c r="G325" t="inlineStr"/>
    </row>
    <row r="326">
      <c r="A326" t="inlineStr">
        <is>
          <t>HNB048</t>
        </is>
      </c>
      <c r="B326" t="n">
        <v>11</v>
      </c>
      <c r="C326" t="inlineStr"/>
      <c r="D326" t="inlineStr"/>
      <c r="E326" t="inlineStr"/>
      <c r="F326" t="inlineStr"/>
      <c r="G326" t="inlineStr"/>
    </row>
    <row r="327">
      <c r="A327" t="inlineStr">
        <is>
          <t>HNB048</t>
        </is>
      </c>
      <c r="B327" t="n">
        <v>12</v>
      </c>
      <c r="C327" t="inlineStr"/>
      <c r="D327" t="inlineStr"/>
      <c r="E327" t="inlineStr"/>
      <c r="F327" t="inlineStr"/>
      <c r="G327" t="inlineStr"/>
    </row>
    <row r="328">
      <c r="A328" t="inlineStr">
        <is>
          <t>HNB060</t>
        </is>
      </c>
      <c r="B328" t="n">
        <v>1</v>
      </c>
      <c r="C328" t="inlineStr"/>
      <c r="D328" t="inlineStr"/>
      <c r="E328" t="inlineStr"/>
      <c r="F328" t="inlineStr"/>
      <c r="G328" t="inlineStr"/>
    </row>
    <row r="329">
      <c r="A329" t="inlineStr">
        <is>
          <t>HNB060</t>
        </is>
      </c>
      <c r="B329" t="n">
        <v>2</v>
      </c>
      <c r="C329" t="inlineStr"/>
      <c r="D329" t="inlineStr"/>
      <c r="E329" t="inlineStr"/>
      <c r="F329" t="inlineStr"/>
      <c r="G329" t="inlineStr"/>
    </row>
    <row r="330">
      <c r="A330" t="inlineStr">
        <is>
          <t>HNB060</t>
        </is>
      </c>
      <c r="B330" t="n">
        <v>3</v>
      </c>
      <c r="C330" t="inlineStr"/>
      <c r="D330" t="inlineStr"/>
      <c r="E330" t="inlineStr"/>
      <c r="F330" t="inlineStr"/>
      <c r="G330" t="inlineStr"/>
    </row>
    <row r="331">
      <c r="A331" t="inlineStr">
        <is>
          <t>HNB060</t>
        </is>
      </c>
      <c r="B331" t="n">
        <v>4</v>
      </c>
      <c r="C331" t="inlineStr"/>
      <c r="D331" t="inlineStr"/>
      <c r="E331" t="inlineStr"/>
      <c r="F331" t="inlineStr"/>
      <c r="G331" t="inlineStr"/>
    </row>
    <row r="332">
      <c r="A332" t="inlineStr">
        <is>
          <t>HNB060</t>
        </is>
      </c>
      <c r="B332" t="n">
        <v>5</v>
      </c>
      <c r="C332" t="inlineStr"/>
      <c r="D332" t="inlineStr"/>
      <c r="E332" t="inlineStr"/>
      <c r="F332" t="inlineStr"/>
      <c r="G332" t="inlineStr"/>
    </row>
    <row r="333">
      <c r="A333" t="inlineStr">
        <is>
          <t>HNB060</t>
        </is>
      </c>
      <c r="B333" t="n">
        <v>6</v>
      </c>
      <c r="C333" t="inlineStr"/>
      <c r="D333" t="inlineStr"/>
      <c r="E333" t="inlineStr"/>
      <c r="F333" t="inlineStr"/>
      <c r="G333" t="inlineStr"/>
    </row>
    <row r="334">
      <c r="A334" t="inlineStr">
        <is>
          <t>HNB060</t>
        </is>
      </c>
      <c r="B334" t="n">
        <v>7</v>
      </c>
      <c r="C334" t="inlineStr"/>
      <c r="D334" t="inlineStr"/>
      <c r="E334" t="inlineStr"/>
      <c r="F334" t="inlineStr"/>
      <c r="G334" t="inlineStr"/>
    </row>
    <row r="335">
      <c r="A335" t="inlineStr">
        <is>
          <t>HNB060</t>
        </is>
      </c>
      <c r="B335" t="n">
        <v>8</v>
      </c>
      <c r="C335" t="inlineStr"/>
      <c r="D335" t="inlineStr"/>
      <c r="E335" t="inlineStr"/>
      <c r="F335" t="inlineStr"/>
      <c r="G335" t="inlineStr"/>
    </row>
    <row r="336">
      <c r="A336" t="inlineStr">
        <is>
          <t>HNB060</t>
        </is>
      </c>
      <c r="B336" t="n">
        <v>9</v>
      </c>
      <c r="C336" t="inlineStr"/>
      <c r="D336" t="inlineStr"/>
      <c r="E336" t="inlineStr"/>
      <c r="F336" t="inlineStr"/>
      <c r="G336" t="inlineStr"/>
    </row>
    <row r="337">
      <c r="A337" t="inlineStr">
        <is>
          <t>HNB060</t>
        </is>
      </c>
      <c r="B337" t="n">
        <v>10</v>
      </c>
      <c r="C337" t="inlineStr"/>
      <c r="D337" t="inlineStr"/>
      <c r="E337" t="inlineStr"/>
      <c r="F337" t="inlineStr"/>
      <c r="G337" t="inlineStr"/>
    </row>
    <row r="338">
      <c r="A338" t="inlineStr">
        <is>
          <t>HNB060</t>
        </is>
      </c>
      <c r="B338" t="n">
        <v>11</v>
      </c>
      <c r="C338" t="inlineStr"/>
      <c r="D338" t="inlineStr"/>
      <c r="E338" t="inlineStr"/>
      <c r="F338" t="inlineStr"/>
      <c r="G338" t="inlineStr"/>
    </row>
    <row r="339">
      <c r="A339" t="inlineStr">
        <is>
          <t>HNB060</t>
        </is>
      </c>
      <c r="B339" t="n">
        <v>12</v>
      </c>
      <c r="C339" t="inlineStr"/>
      <c r="D339" t="inlineStr"/>
      <c r="E339" t="inlineStr"/>
      <c r="F339" t="inlineStr"/>
      <c r="G339" t="inlineStr"/>
    </row>
    <row r="340">
      <c r="A340" t="inlineStr">
        <is>
          <t>HNB059</t>
        </is>
      </c>
      <c r="B340" t="n">
        <v>1</v>
      </c>
      <c r="C340" t="inlineStr"/>
      <c r="D340" t="inlineStr"/>
      <c r="E340" t="inlineStr"/>
      <c r="F340" t="inlineStr"/>
      <c r="G340" t="inlineStr"/>
    </row>
    <row r="341">
      <c r="A341" t="inlineStr">
        <is>
          <t>HNB059</t>
        </is>
      </c>
      <c r="B341" t="n">
        <v>2</v>
      </c>
      <c r="C341" t="inlineStr"/>
      <c r="D341" t="inlineStr"/>
      <c r="E341" t="inlineStr"/>
      <c r="F341" t="inlineStr"/>
      <c r="G341" t="inlineStr"/>
    </row>
    <row r="342">
      <c r="A342" t="inlineStr">
        <is>
          <t>HNB059</t>
        </is>
      </c>
      <c r="B342" t="n">
        <v>3</v>
      </c>
      <c r="C342" t="inlineStr"/>
      <c r="D342" t="inlineStr"/>
      <c r="E342" t="inlineStr"/>
      <c r="F342" t="inlineStr"/>
      <c r="G342" t="inlineStr"/>
    </row>
    <row r="343">
      <c r="A343" t="inlineStr">
        <is>
          <t>HNB059</t>
        </is>
      </c>
      <c r="B343" t="n">
        <v>4</v>
      </c>
      <c r="C343" t="inlineStr"/>
      <c r="D343" t="inlineStr"/>
      <c r="E343" t="inlineStr"/>
      <c r="F343" t="inlineStr"/>
      <c r="G343" t="inlineStr"/>
    </row>
    <row r="344">
      <c r="A344" t="inlineStr">
        <is>
          <t>HNB059</t>
        </is>
      </c>
      <c r="B344" t="n">
        <v>5</v>
      </c>
      <c r="C344" t="inlineStr"/>
      <c r="D344" t="inlineStr"/>
      <c r="E344" t="inlineStr"/>
      <c r="F344" t="inlineStr"/>
      <c r="G344" t="inlineStr"/>
    </row>
    <row r="345">
      <c r="A345" t="inlineStr">
        <is>
          <t>HNB059</t>
        </is>
      </c>
      <c r="B345" t="n">
        <v>6</v>
      </c>
      <c r="C345" t="inlineStr"/>
      <c r="D345" t="inlineStr"/>
      <c r="E345" t="inlineStr"/>
      <c r="F345" t="inlineStr"/>
      <c r="G345" t="inlineStr"/>
    </row>
    <row r="346">
      <c r="A346" t="inlineStr">
        <is>
          <t>HNB059</t>
        </is>
      </c>
      <c r="B346" t="n">
        <v>7</v>
      </c>
      <c r="C346" t="inlineStr"/>
      <c r="D346" t="inlineStr"/>
      <c r="E346" t="inlineStr"/>
      <c r="F346" t="inlineStr"/>
      <c r="G346" t="inlineStr"/>
    </row>
    <row r="347">
      <c r="A347" t="inlineStr">
        <is>
          <t>HNB059</t>
        </is>
      </c>
      <c r="B347" t="n">
        <v>8</v>
      </c>
      <c r="C347" t="inlineStr"/>
      <c r="D347" t="inlineStr"/>
      <c r="E347" t="inlineStr"/>
      <c r="F347" t="inlineStr"/>
      <c r="G347" t="inlineStr"/>
    </row>
    <row r="348">
      <c r="A348" t="inlineStr">
        <is>
          <t>HNB059</t>
        </is>
      </c>
      <c r="B348" t="n">
        <v>9</v>
      </c>
      <c r="C348" t="inlineStr"/>
      <c r="D348" t="inlineStr"/>
      <c r="E348" t="inlineStr"/>
      <c r="F348" t="inlineStr"/>
      <c r="G348" t="inlineStr"/>
    </row>
    <row r="349">
      <c r="A349" t="inlineStr">
        <is>
          <t>HNB059</t>
        </is>
      </c>
      <c r="B349" t="n">
        <v>10</v>
      </c>
      <c r="C349" t="inlineStr"/>
      <c r="D349" t="inlineStr"/>
      <c r="E349" t="inlineStr"/>
      <c r="F349" t="inlineStr"/>
      <c r="G349" t="inlineStr"/>
    </row>
    <row r="350">
      <c r="A350" t="inlineStr">
        <is>
          <t>HNB059</t>
        </is>
      </c>
      <c r="B350" t="n">
        <v>11</v>
      </c>
      <c r="C350" t="inlineStr"/>
      <c r="D350" t="inlineStr"/>
      <c r="E350" t="inlineStr"/>
      <c r="F350" t="inlineStr"/>
      <c r="G350" t="inlineStr"/>
    </row>
    <row r="351">
      <c r="A351" t="inlineStr">
        <is>
          <t>HNB059</t>
        </is>
      </c>
      <c r="B351" t="n">
        <v>12</v>
      </c>
      <c r="C351" t="inlineStr"/>
      <c r="D351" t="inlineStr"/>
      <c r="E351" t="inlineStr"/>
      <c r="F351" t="inlineStr"/>
      <c r="G351" t="inlineStr"/>
    </row>
  </sheetData>
  <autoFilter ref="A3:G351"/>
  <pageMargins left="0.75" right="0.75" top="1" bottom="1" header="0.5" footer="0.5"/>
  <pageSetup orientation="landscape" fitToHeight="0" fitToWidth="1"/>
</worksheet>
</file>

<file path=xl/worksheets/sheet19.xml><?xml version="1.0" encoding="utf-8"?>
<worksheet xmlns="http://schemas.openxmlformats.org/spreadsheetml/2006/main">
  <sheetPr>
    <outlinePr summaryBelow="1" summaryRight="1"/>
    <pageSetUpPr fitToPage="1"/>
  </sheetPr>
  <dimension ref="A1:K100"/>
  <sheetViews>
    <sheetView showGridLines="0" workbookViewId="0">
      <pane ySplit="4" topLeftCell="A5" activePane="bottomLeft" state="frozen"/>
      <selection pane="bottomLeft" activeCell="A1" sqref="A1"/>
    </sheetView>
  </sheetViews>
  <sheetFormatPr baseColWidth="8" defaultRowHeight="15"/>
  <cols>
    <col width="7" customWidth="1" min="1" max="1"/>
    <col width="34" customWidth="1" min="2" max="2"/>
    <col width="6" customWidth="1" min="3" max="3"/>
    <col width="7" customWidth="1" min="4" max="4"/>
    <col width="22" customWidth="1" min="5" max="5"/>
    <col width="9" customWidth="1" min="6" max="6"/>
    <col width="9" customWidth="1" min="7" max="7"/>
    <col width="9" customWidth="1" min="8" max="8"/>
    <col width="40" customWidth="1" min="9" max="9"/>
    <col width="9" customWidth="1" min="10" max="10"/>
    <col width="9" customWidth="1" min="11" max="11"/>
  </cols>
  <sheetData>
    <row r="1">
      <c r="A1" s="1" t="inlineStr">
        <is>
          <t>ODF tại hai trạm AGG (NBE22 trái / Nguyễn Bình–Nguyễn Văn Tạo phải)</t>
        </is>
      </c>
    </row>
    <row r="2">
      <c r="A2" s="2" t="inlineStr">
        <is>
          <t>Các cột số là giá trị OTDR/chỉ số ghi tay (mét), ngày ghi trong file nguồn 10–11/2020; ý nghĩa từng cột chưa được xác nhận.</t>
        </is>
      </c>
    </row>
    <row r="4" ht="32" customHeight="1">
      <c r="A4" s="3" t="inlineStr">
        <is>
          <t>Phía</t>
        </is>
      </c>
      <c r="B4" s="3" t="inlineStr">
        <is>
          <t>ODF</t>
        </is>
      </c>
      <c r="C4" s="3" t="inlineStr">
        <is>
          <t>Cổng</t>
        </is>
      </c>
      <c r="D4" s="3" t="inlineStr">
        <is>
          <t>Cột O</t>
        </is>
      </c>
      <c r="E4" s="3" t="inlineStr">
        <is>
          <t>Đích ghi chú</t>
        </is>
      </c>
      <c r="F4" s="3" t="inlineStr">
        <is>
          <t>Số 1 (m)</t>
        </is>
      </c>
      <c r="G4" s="3" t="inlineStr">
        <is>
          <t>Số 2 (m)</t>
        </is>
      </c>
      <c r="H4" s="3" t="inlineStr">
        <is>
          <t>Số 3 (m)</t>
        </is>
      </c>
      <c r="I4" s="3" t="inlineStr">
        <is>
          <t>Ghi chú</t>
        </is>
      </c>
      <c r="J4" s="3" t="inlineStr">
        <is>
          <t>Cột T</t>
        </is>
      </c>
      <c r="K4" s="3" t="inlineStr">
        <is>
          <t>Cột U</t>
        </is>
      </c>
    </row>
    <row r="5">
      <c r="A5" t="inlineStr">
        <is>
          <t>trai</t>
        </is>
      </c>
      <c r="B5" t="inlineStr">
        <is>
          <t>ODF-01 (POSTEF  cs 1816 ) / NBE22</t>
        </is>
      </c>
      <c r="C5" t="n">
        <v>1</v>
      </c>
      <c r="D5" t="inlineStr"/>
      <c r="E5" t="inlineStr">
        <is>
          <t xml:space="preserve"> HNB075 ring 5</t>
        </is>
      </c>
      <c r="F5" t="n">
        <v>9800</v>
      </c>
      <c r="G5" t="n">
        <v>9817</v>
      </c>
      <c r="H5" t="n">
        <v>11730</v>
      </c>
      <c r="I5" t="inlineStr"/>
      <c r="J5" t="inlineStr"/>
      <c r="K5" t="inlineStr"/>
    </row>
    <row r="6">
      <c r="A6" t="inlineStr">
        <is>
          <t>trai</t>
        </is>
      </c>
      <c r="B6" t="inlineStr">
        <is>
          <t>ODF-01 (POSTEF  cs 1816 ) / NBE22</t>
        </is>
      </c>
      <c r="C6" t="n">
        <v>2</v>
      </c>
      <c r="D6" t="inlineStr"/>
      <c r="E6" t="inlineStr">
        <is>
          <t xml:space="preserve"> HNB075 ring 5</t>
        </is>
      </c>
      <c r="F6" t="n">
        <v>9800</v>
      </c>
      <c r="G6" t="n">
        <v>9817</v>
      </c>
      <c r="H6" t="n">
        <v>11730</v>
      </c>
      <c r="I6" t="inlineStr"/>
      <c r="J6" t="inlineStr"/>
      <c r="K6" t="inlineStr"/>
    </row>
    <row r="7">
      <c r="A7" t="inlineStr">
        <is>
          <t>trai</t>
        </is>
      </c>
      <c r="B7" t="inlineStr">
        <is>
          <t>ODF-01 (POSTEF  cs 1816 ) / NBE22</t>
        </is>
      </c>
      <c r="C7" t="n">
        <v>3</v>
      </c>
      <c r="D7" t="inlineStr"/>
      <c r="E7" t="inlineStr">
        <is>
          <t>HNB073 ring4</t>
        </is>
      </c>
      <c r="F7" t="n">
        <v>9559</v>
      </c>
      <c r="G7" t="n">
        <v>9562</v>
      </c>
      <c r="H7" t="n">
        <v>9633</v>
      </c>
      <c r="I7" t="inlineStr"/>
      <c r="J7" t="inlineStr"/>
      <c r="K7" t="inlineStr"/>
    </row>
    <row r="8">
      <c r="A8" t="inlineStr">
        <is>
          <t>trai</t>
        </is>
      </c>
      <c r="B8" t="inlineStr">
        <is>
          <t>ODF-01 (POSTEF  cs 1816 ) / NBE22</t>
        </is>
      </c>
      <c r="C8" t="n">
        <v>4</v>
      </c>
      <c r="D8" t="inlineStr"/>
      <c r="E8" t="inlineStr">
        <is>
          <t>HNB073 ring4</t>
        </is>
      </c>
      <c r="F8" t="n">
        <v>9559</v>
      </c>
      <c r="G8" t="n">
        <v>9562</v>
      </c>
      <c r="H8" t="n">
        <v>9633</v>
      </c>
      <c r="I8" t="inlineStr"/>
      <c r="J8" t="inlineStr"/>
      <c r="K8" t="inlineStr"/>
    </row>
    <row r="9">
      <c r="A9" t="inlineStr">
        <is>
          <t>trai</t>
        </is>
      </c>
      <c r="B9" t="inlineStr">
        <is>
          <t>ODF-01 (POSTEF  cs 1816 ) / NBE22</t>
        </is>
      </c>
      <c r="C9" t="n">
        <v>5</v>
      </c>
      <c r="D9" t="inlineStr"/>
      <c r="E9" t="inlineStr">
        <is>
          <t>HNB094 ring 3</t>
        </is>
      </c>
      <c r="F9" t="n">
        <v>7700</v>
      </c>
      <c r="G9" t="n">
        <v>7650</v>
      </c>
      <c r="H9" t="n">
        <v>7705</v>
      </c>
      <c r="I9" t="inlineStr"/>
      <c r="J9" t="inlineStr"/>
      <c r="K9" t="inlineStr"/>
    </row>
    <row r="10">
      <c r="A10" t="inlineStr">
        <is>
          <t>trai</t>
        </is>
      </c>
      <c r="B10" t="inlineStr">
        <is>
          <t>ODF-01 (POSTEF  cs 1816 ) / NBE22</t>
        </is>
      </c>
      <c r="C10" t="n">
        <v>6</v>
      </c>
      <c r="D10" t="inlineStr"/>
      <c r="E10" t="inlineStr">
        <is>
          <t>HNB094 ring 3</t>
        </is>
      </c>
      <c r="F10" t="n">
        <v>7700</v>
      </c>
      <c r="G10" t="n">
        <v>7650</v>
      </c>
      <c r="H10" t="n">
        <v>7705</v>
      </c>
      <c r="I10" t="inlineStr"/>
      <c r="J10" t="inlineStr"/>
      <c r="K10" t="inlineStr"/>
    </row>
    <row r="11">
      <c r="A11" t="inlineStr">
        <is>
          <t>trai</t>
        </is>
      </c>
      <c r="B11" t="inlineStr">
        <is>
          <t>ODF-01 (POSTEF  cs 1816 ) / NBE22</t>
        </is>
      </c>
      <c r="C11" t="n">
        <v>7</v>
      </c>
      <c r="D11" t="inlineStr"/>
      <c r="E11" t="inlineStr">
        <is>
          <t>NBE12-02(7,8) / Hướng PHL</t>
        </is>
      </c>
      <c r="F11" t="n">
        <v>12900</v>
      </c>
      <c r="G11" t="n">
        <v>12904</v>
      </c>
      <c r="H11" t="n">
        <v>12904</v>
      </c>
      <c r="I11" t="inlineStr"/>
      <c r="J11" t="inlineStr"/>
      <c r="K11" t="inlineStr"/>
    </row>
    <row r="12">
      <c r="A12" t="inlineStr">
        <is>
          <t>trai</t>
        </is>
      </c>
      <c r="B12" t="inlineStr">
        <is>
          <t>ODF-01 (POSTEF  cs 1816 ) / NBE22</t>
        </is>
      </c>
      <c r="C12" t="n">
        <v>8</v>
      </c>
      <c r="D12" t="inlineStr"/>
      <c r="E12" t="inlineStr">
        <is>
          <t>NBE12-02(7,8) / Hướng PHL</t>
        </is>
      </c>
      <c r="F12" t="n">
        <v>12900</v>
      </c>
      <c r="G12" t="n">
        <v>12904</v>
      </c>
      <c r="H12" t="n">
        <v>12904</v>
      </c>
      <c r="I12" t="inlineStr"/>
      <c r="J12" t="inlineStr"/>
      <c r="K12" t="inlineStr"/>
    </row>
    <row r="13">
      <c r="A13" t="inlineStr">
        <is>
          <t>trai</t>
        </is>
      </c>
      <c r="B13" t="inlineStr">
        <is>
          <t>ODF-01 (POSTEF  cs 1816 ) / NBE22</t>
        </is>
      </c>
      <c r="C13" t="n">
        <v>9</v>
      </c>
      <c r="D13" t="inlineStr"/>
      <c r="E13" t="inlineStr">
        <is>
          <t>HNB038 ring 8</t>
        </is>
      </c>
      <c r="F13" t="inlineStr">
        <is>
          <t>~2300</t>
        </is>
      </c>
      <c r="G13" t="n">
        <v>2647</v>
      </c>
      <c r="H13" t="n">
        <v>2647</v>
      </c>
      <c r="I13" t="inlineStr"/>
      <c r="J13" t="inlineStr"/>
      <c r="K13" t="inlineStr"/>
    </row>
    <row r="14">
      <c r="A14" t="inlineStr">
        <is>
          <t>trai</t>
        </is>
      </c>
      <c r="B14" t="inlineStr">
        <is>
          <t>ODF-01 (POSTEF  cs 1816 ) / NBE22</t>
        </is>
      </c>
      <c r="C14" t="n">
        <v>10</v>
      </c>
      <c r="D14" t="inlineStr"/>
      <c r="E14" t="inlineStr">
        <is>
          <t>HNB038 ring 8</t>
        </is>
      </c>
      <c r="F14" t="inlineStr">
        <is>
          <t>~2300</t>
        </is>
      </c>
      <c r="G14" t="n">
        <v>2647</v>
      </c>
      <c r="H14" t="n">
        <v>2647</v>
      </c>
      <c r="I14" t="inlineStr"/>
      <c r="J14" t="inlineStr"/>
      <c r="K14" t="inlineStr"/>
    </row>
    <row r="15">
      <c r="A15" t="inlineStr">
        <is>
          <t>trai</t>
        </is>
      </c>
      <c r="B15" t="inlineStr">
        <is>
          <t>ODF-01 (POSTEF  cs 1816 ) / NBE22</t>
        </is>
      </c>
      <c r="C15" t="n">
        <v>11</v>
      </c>
      <c r="D15" t="inlineStr"/>
      <c r="E15" t="inlineStr">
        <is>
          <t>MX đầu hẽm 1806</t>
        </is>
      </c>
      <c r="F15" t="inlineStr">
        <is>
          <t>~1800</t>
        </is>
      </c>
      <c r="G15" t="n">
        <v>1933</v>
      </c>
      <c r="H15" t="n">
        <v>1933</v>
      </c>
      <c r="I15" t="inlineStr"/>
      <c r="J15" t="inlineStr"/>
      <c r="K15" t="inlineStr"/>
    </row>
    <row r="16">
      <c r="A16" t="inlineStr">
        <is>
          <t>trai</t>
        </is>
      </c>
      <c r="B16" t="inlineStr">
        <is>
          <t>ODF-01 (POSTEF  cs 1816 ) / NBE22</t>
        </is>
      </c>
      <c r="C16" t="n">
        <v>12</v>
      </c>
      <c r="D16" t="inlineStr"/>
      <c r="E16" t="inlineStr">
        <is>
          <t>MX đầu hẽm 1806</t>
        </is>
      </c>
      <c r="F16" t="inlineStr">
        <is>
          <t>~1800</t>
        </is>
      </c>
      <c r="G16" t="n">
        <v>1933</v>
      </c>
      <c r="H16" t="n">
        <v>1933</v>
      </c>
      <c r="I16" t="inlineStr"/>
      <c r="J16" t="inlineStr"/>
      <c r="K16" t="inlineStr"/>
    </row>
    <row r="17">
      <c r="A17" t="inlineStr">
        <is>
          <t>trai</t>
        </is>
      </c>
      <c r="B17" t="inlineStr">
        <is>
          <t>ODF-01 (POSTEF  cs 1816 ) / NBE22</t>
        </is>
      </c>
      <c r="C17" t="n">
        <v>13</v>
      </c>
      <c r="D17" t="inlineStr"/>
      <c r="E17" t="inlineStr">
        <is>
          <t>MX_HTP-03A</t>
        </is>
      </c>
      <c r="F17" t="n">
        <v>250</v>
      </c>
      <c r="G17" t="n">
        <v>250</v>
      </c>
      <c r="H17" t="n">
        <v>250</v>
      </c>
      <c r="I17" t="inlineStr">
        <is>
          <t>Dùng cho DWDM Vinanet  / ngưng từ 16/05/2025</t>
        </is>
      </c>
      <c r="J17" t="inlineStr"/>
      <c r="K17" t="inlineStr"/>
    </row>
    <row r="18">
      <c r="A18" t="inlineStr">
        <is>
          <t>trai</t>
        </is>
      </c>
      <c r="B18" t="inlineStr">
        <is>
          <t>ODF-01 (POSTEF  cs 1816 ) / NBE22</t>
        </is>
      </c>
      <c r="C18" t="n">
        <v>14</v>
      </c>
      <c r="D18" t="inlineStr"/>
      <c r="E18" t="inlineStr">
        <is>
          <t>MX_HTP-03A</t>
        </is>
      </c>
      <c r="F18" t="n">
        <v>250</v>
      </c>
      <c r="G18" t="n">
        <v>250</v>
      </c>
      <c r="H18" t="n">
        <v>250</v>
      </c>
      <c r="I18" t="inlineStr">
        <is>
          <t>Dùng cho DWDM Vinanet  / ngưng từ 16/05/2025</t>
        </is>
      </c>
      <c r="J18" t="inlineStr"/>
      <c r="K18" t="inlineStr"/>
    </row>
    <row r="19">
      <c r="A19" t="inlineStr">
        <is>
          <t>trai</t>
        </is>
      </c>
      <c r="B19" t="inlineStr">
        <is>
          <t>ODF-01 (POSTEF  cs 1816 ) / NBE22</t>
        </is>
      </c>
      <c r="C19" t="n">
        <v>15</v>
      </c>
      <c r="D19" t="inlineStr"/>
      <c r="E19" t="inlineStr">
        <is>
          <t>MX_HTP-03A</t>
        </is>
      </c>
      <c r="F19" t="n">
        <v>250</v>
      </c>
      <c r="G19" t="n">
        <v>250</v>
      </c>
      <c r="H19" t="n">
        <v>250</v>
      </c>
      <c r="I19" t="inlineStr">
        <is>
          <t>Dùng cho DWDM Vinanet  / ngưng từ 16/05/2025</t>
        </is>
      </c>
      <c r="J19" t="inlineStr"/>
      <c r="K19" t="inlineStr"/>
    </row>
    <row r="20">
      <c r="A20" t="inlineStr">
        <is>
          <t>trai</t>
        </is>
      </c>
      <c r="B20" t="inlineStr">
        <is>
          <t>ODF-01 (POSTEF  cs 1816 ) / NBE22</t>
        </is>
      </c>
      <c r="C20" t="n">
        <v>16</v>
      </c>
      <c r="D20" t="inlineStr"/>
      <c r="E20" t="inlineStr">
        <is>
          <t>MX_HTP-03A</t>
        </is>
      </c>
      <c r="F20" t="n">
        <v>250</v>
      </c>
      <c r="G20" t="n">
        <v>250</v>
      </c>
      <c r="H20" t="n">
        <v>250</v>
      </c>
      <c r="I20" t="inlineStr">
        <is>
          <t>Dùng cho DWDM Vinanet  / ngưng từ 16/05/2025</t>
        </is>
      </c>
      <c r="J20" t="inlineStr"/>
      <c r="K20" t="inlineStr"/>
    </row>
    <row r="21">
      <c r="A21" t="inlineStr">
        <is>
          <t>trai</t>
        </is>
      </c>
      <c r="B21" t="inlineStr">
        <is>
          <t>ODF-01 (POSTEF  cs 1816 ) / NBE22</t>
        </is>
      </c>
      <c r="C21" t="n">
        <v>17</v>
      </c>
      <c r="D21" t="inlineStr"/>
      <c r="E21" t="inlineStr">
        <is>
          <t>MX_HTP-03A</t>
        </is>
      </c>
      <c r="F21" t="n">
        <v>250</v>
      </c>
      <c r="G21" t="n">
        <v>250</v>
      </c>
      <c r="H21" t="n">
        <v>250</v>
      </c>
      <c r="I21" t="inlineStr">
        <is>
          <t>Dùng cho DWDM Vinanet  / ngưng từ 16/05/2025</t>
        </is>
      </c>
      <c r="J21" t="inlineStr"/>
      <c r="K21" t="inlineStr"/>
    </row>
    <row r="22">
      <c r="A22" t="inlineStr">
        <is>
          <t>trai</t>
        </is>
      </c>
      <c r="B22" t="inlineStr">
        <is>
          <t>ODF-01 (POSTEF  cs 1816 ) / NBE22</t>
        </is>
      </c>
      <c r="C22" t="n">
        <v>18</v>
      </c>
      <c r="D22" t="inlineStr"/>
      <c r="E22" t="inlineStr">
        <is>
          <t>MX_HTP-03A</t>
        </is>
      </c>
      <c r="F22" t="n">
        <v>250</v>
      </c>
      <c r="G22" t="n">
        <v>250</v>
      </c>
      <c r="H22" t="n">
        <v>250</v>
      </c>
      <c r="I22" t="inlineStr">
        <is>
          <t>Dùng cho DWDM Vinanet  / ngưng từ 16/05/2025</t>
        </is>
      </c>
      <c r="J22" t="inlineStr"/>
      <c r="K22" t="inlineStr"/>
    </row>
    <row r="23">
      <c r="A23" t="inlineStr">
        <is>
          <t>trai</t>
        </is>
      </c>
      <c r="B23" t="inlineStr">
        <is>
          <t>ODF-01 (POSTEF  cs 1816 ) / NBE22</t>
        </is>
      </c>
      <c r="C23" t="n">
        <v>19</v>
      </c>
      <c r="D23" t="inlineStr"/>
      <c r="E23" t="inlineStr">
        <is>
          <t>HNB013 ring 7</t>
        </is>
      </c>
      <c r="F23" t="n">
        <v>688</v>
      </c>
      <c r="G23" t="n">
        <v>688</v>
      </c>
      <c r="H23" t="n">
        <v>688</v>
      </c>
      <c r="I23" t="inlineStr"/>
      <c r="J23" t="inlineStr"/>
      <c r="K23" t="inlineStr"/>
    </row>
    <row r="24">
      <c r="A24" t="inlineStr">
        <is>
          <t>trai</t>
        </is>
      </c>
      <c r="B24" t="inlineStr">
        <is>
          <t>ODF-01 (POSTEF  cs 1816 ) / NBE22</t>
        </is>
      </c>
      <c r="C24" t="n">
        <v>20</v>
      </c>
      <c r="D24" t="inlineStr"/>
      <c r="E24" t="inlineStr">
        <is>
          <t>HNB013 ring 7</t>
        </is>
      </c>
      <c r="F24" t="n">
        <v>688</v>
      </c>
      <c r="G24" t="n">
        <v>688</v>
      </c>
      <c r="H24" t="n">
        <v>688</v>
      </c>
      <c r="I24" t="inlineStr"/>
      <c r="J24" t="inlineStr"/>
      <c r="K24" t="inlineStr"/>
    </row>
    <row r="25">
      <c r="A25" t="inlineStr">
        <is>
          <t>trai</t>
        </is>
      </c>
      <c r="B25" t="inlineStr">
        <is>
          <t>ODF-01 (POSTEF  cs 1816 ) / NBE22</t>
        </is>
      </c>
      <c r="C25" t="n">
        <v>21</v>
      </c>
      <c r="D25" t="inlineStr"/>
      <c r="E25" t="inlineStr">
        <is>
          <t xml:space="preserve">HNB013 </t>
        </is>
      </c>
      <c r="F25" t="n">
        <v>688</v>
      </c>
      <c r="G25" t="n">
        <v>688</v>
      </c>
      <c r="H25" t="n">
        <v>688</v>
      </c>
      <c r="I25" t="inlineStr"/>
      <c r="J25" t="inlineStr"/>
      <c r="K25" t="inlineStr"/>
    </row>
    <row r="26">
      <c r="A26" t="inlineStr">
        <is>
          <t>trai</t>
        </is>
      </c>
      <c r="B26" t="inlineStr">
        <is>
          <t>ODF-01 (POSTEF  cs 1816 ) / NBE22</t>
        </is>
      </c>
      <c r="C26" t="n">
        <v>22</v>
      </c>
      <c r="D26" t="inlineStr"/>
      <c r="E26" t="inlineStr">
        <is>
          <t xml:space="preserve">HNB013 </t>
        </is>
      </c>
      <c r="F26" t="n">
        <v>688</v>
      </c>
      <c r="G26" t="n">
        <v>688</v>
      </c>
      <c r="H26" t="n">
        <v>688</v>
      </c>
      <c r="I26" t="inlineStr"/>
      <c r="J26" t="inlineStr"/>
      <c r="K26" t="inlineStr"/>
    </row>
    <row r="27">
      <c r="A27" t="inlineStr">
        <is>
          <t>trai</t>
        </is>
      </c>
      <c r="B27" t="inlineStr">
        <is>
          <t>ODF-01 (POSTEF  cs 1816 ) / NBE22</t>
        </is>
      </c>
      <c r="C27" t="n">
        <v>23</v>
      </c>
      <c r="D27" t="inlineStr"/>
      <c r="E27" t="inlineStr">
        <is>
          <t>HNB013</t>
        </is>
      </c>
      <c r="F27" t="n">
        <v>688</v>
      </c>
      <c r="G27" t="n">
        <v>688</v>
      </c>
      <c r="H27" t="n">
        <v>688</v>
      </c>
      <c r="I27" t="inlineStr"/>
      <c r="J27" t="inlineStr"/>
      <c r="K27" t="inlineStr"/>
    </row>
    <row r="28">
      <c r="A28" t="inlineStr">
        <is>
          <t>trai</t>
        </is>
      </c>
      <c r="B28" t="inlineStr">
        <is>
          <t>ODF-01 (POSTEF  cs 1816 ) / NBE22</t>
        </is>
      </c>
      <c r="C28" t="n">
        <v>24</v>
      </c>
      <c r="D28" t="inlineStr"/>
      <c r="E28" t="inlineStr">
        <is>
          <t>HNB013</t>
        </is>
      </c>
      <c r="F28" t="n">
        <v>688</v>
      </c>
      <c r="G28" t="n">
        <v>688</v>
      </c>
      <c r="H28" t="n">
        <v>688</v>
      </c>
      <c r="I28" t="inlineStr"/>
      <c r="J28" t="inlineStr"/>
      <c r="K28" t="inlineStr"/>
    </row>
    <row r="29">
      <c r="A29" t="inlineStr">
        <is>
          <t>trai</t>
        </is>
      </c>
      <c r="B29" t="inlineStr">
        <is>
          <t>ODF-02 (POSTEF  cs 1288) / NBE22</t>
        </is>
      </c>
      <c r="C29" t="n">
        <v>1</v>
      </c>
      <c r="D29" t="inlineStr"/>
      <c r="E29" t="inlineStr">
        <is>
          <t>HNB091 ring 2</t>
        </is>
      </c>
      <c r="F29" t="n">
        <v>14800</v>
      </c>
      <c r="G29" t="n">
        <v>1678</v>
      </c>
      <c r="H29" t="n">
        <v>16028</v>
      </c>
      <c r="I29" t="inlineStr"/>
      <c r="J29" t="inlineStr"/>
      <c r="K29" t="inlineStr"/>
    </row>
    <row r="30">
      <c r="A30" t="inlineStr">
        <is>
          <t>trai</t>
        </is>
      </c>
      <c r="B30" t="inlineStr">
        <is>
          <t>ODF-02 (POSTEF  cs 1288) / NBE22</t>
        </is>
      </c>
      <c r="C30" t="n">
        <v>2</v>
      </c>
      <c r="D30" t="inlineStr"/>
      <c r="E30" t="inlineStr">
        <is>
          <t>HNB091 ring 2</t>
        </is>
      </c>
      <c r="F30" t="n">
        <v>14800</v>
      </c>
      <c r="G30" t="n">
        <v>1678</v>
      </c>
      <c r="H30" t="n">
        <v>16028</v>
      </c>
      <c r="I30" t="inlineStr"/>
      <c r="J30" t="inlineStr"/>
      <c r="K30" t="inlineStr"/>
    </row>
    <row r="31">
      <c r="A31" t="inlineStr">
        <is>
          <t>trai</t>
        </is>
      </c>
      <c r="B31" t="inlineStr">
        <is>
          <t>ODF-02 (POSTEF  cs 1288) / NBE22</t>
        </is>
      </c>
      <c r="C31" t="n">
        <v>3</v>
      </c>
      <c r="D31" t="inlineStr"/>
      <c r="E31" t="inlineStr">
        <is>
          <t>HNB048 ring 1</t>
        </is>
      </c>
      <c r="F31" t="n">
        <v>15900</v>
      </c>
      <c r="G31" t="n">
        <v>1678</v>
      </c>
      <c r="H31" t="n">
        <v>17153</v>
      </c>
      <c r="I31" t="inlineStr"/>
      <c r="J31" t="inlineStr"/>
      <c r="K31" t="inlineStr"/>
    </row>
    <row r="32">
      <c r="A32" t="inlineStr">
        <is>
          <t>trai</t>
        </is>
      </c>
      <c r="B32" t="inlineStr">
        <is>
          <t>ODF-02 (POSTEF  cs 1288) / NBE22</t>
        </is>
      </c>
      <c r="C32" t="n">
        <v>4</v>
      </c>
      <c r="D32" t="inlineStr"/>
      <c r="E32" t="inlineStr">
        <is>
          <t>HNB048 ring 1</t>
        </is>
      </c>
      <c r="F32" t="n">
        <v>15900</v>
      </c>
      <c r="G32" t="n">
        <v>1678</v>
      </c>
      <c r="H32" t="n">
        <v>17153</v>
      </c>
      <c r="I32" t="inlineStr"/>
      <c r="J32" t="inlineStr"/>
      <c r="K32" t="inlineStr"/>
    </row>
    <row r="33">
      <c r="A33" t="inlineStr">
        <is>
          <t>trai</t>
        </is>
      </c>
      <c r="B33" t="inlineStr">
        <is>
          <t>ODF-02 (POSTEF  cs 1288) / NBE22</t>
        </is>
      </c>
      <c r="C33" t="n">
        <v>5</v>
      </c>
      <c r="D33" t="inlineStr"/>
      <c r="E33" t="inlineStr">
        <is>
          <t>MX_NVT-03B</t>
        </is>
      </c>
      <c r="F33" t="n">
        <v>14500</v>
      </c>
      <c r="G33" t="n">
        <v>1678</v>
      </c>
      <c r="H33" t="n">
        <v>15455</v>
      </c>
      <c r="I33" t="inlineStr"/>
      <c r="J33" t="inlineStr"/>
      <c r="K33" t="inlineStr"/>
    </row>
    <row r="34">
      <c r="A34" t="inlineStr">
        <is>
          <t>trai</t>
        </is>
      </c>
      <c r="B34" t="inlineStr">
        <is>
          <t>ODF-02 (POSTEF  cs 1288) / NBE22</t>
        </is>
      </c>
      <c r="C34" t="n">
        <v>6</v>
      </c>
      <c r="D34" t="inlineStr"/>
      <c r="E34" t="inlineStr">
        <is>
          <t>MX_NVT-03B</t>
        </is>
      </c>
      <c r="F34" t="n">
        <v>14500</v>
      </c>
      <c r="G34" t="n">
        <v>1678</v>
      </c>
      <c r="H34" t="n">
        <v>15455</v>
      </c>
      <c r="I34" t="inlineStr"/>
      <c r="J34" t="inlineStr"/>
      <c r="K34" t="inlineStr"/>
    </row>
    <row r="35">
      <c r="A35" t="inlineStr">
        <is>
          <t>trai</t>
        </is>
      </c>
      <c r="B35" t="inlineStr">
        <is>
          <t>ODF-02 (POSTEF  cs 1288) / NBE22</t>
        </is>
      </c>
      <c r="C35" t="n">
        <v>7</v>
      </c>
      <c r="D35" t="inlineStr"/>
      <c r="E35" t="inlineStr">
        <is>
          <t>HNB020 ring 6</t>
        </is>
      </c>
      <c r="F35" t="n">
        <v>2300</v>
      </c>
      <c r="G35" t="n">
        <v>1678</v>
      </c>
      <c r="H35" t="n">
        <v>2401</v>
      </c>
      <c r="I35" t="inlineStr"/>
      <c r="J35" t="inlineStr"/>
      <c r="K35" t="inlineStr"/>
    </row>
    <row r="36">
      <c r="A36" t="inlineStr">
        <is>
          <t>trai</t>
        </is>
      </c>
      <c r="B36" t="inlineStr">
        <is>
          <t>ODF-02 (POSTEF  cs 1288) / NBE22</t>
        </is>
      </c>
      <c r="C36" t="n">
        <v>8</v>
      </c>
      <c r="D36" t="inlineStr"/>
      <c r="E36" t="inlineStr">
        <is>
          <t>HNB020 ring 6</t>
        </is>
      </c>
      <c r="F36" t="n">
        <v>2300</v>
      </c>
      <c r="G36" t="n">
        <v>1678</v>
      </c>
      <c r="H36" t="n">
        <v>2401</v>
      </c>
      <c r="I36" t="inlineStr"/>
      <c r="J36" t="inlineStr"/>
      <c r="K36" t="inlineStr"/>
    </row>
    <row r="37">
      <c r="A37" t="inlineStr">
        <is>
          <t>trai</t>
        </is>
      </c>
      <c r="B37" t="inlineStr">
        <is>
          <t>ODF-02 (POSTEF  cs 1288) / NBE22</t>
        </is>
      </c>
      <c r="C37" t="n">
        <v>9</v>
      </c>
      <c r="D37" t="inlineStr"/>
      <c r="E37" t="inlineStr">
        <is>
          <t>NBE12-01 (21,22) / Hướng NB</t>
        </is>
      </c>
      <c r="F37" t="n">
        <v>5000</v>
      </c>
      <c r="G37" t="n">
        <v>1678</v>
      </c>
      <c r="H37" t="n">
        <v>5581</v>
      </c>
      <c r="I37" t="inlineStr">
        <is>
          <t>TTC gói Long An, CG23, dùng từ đây đến mx NB-NVT</t>
        </is>
      </c>
      <c r="J37" t="inlineStr"/>
      <c r="K37" t="inlineStr"/>
    </row>
    <row r="38">
      <c r="A38" t="inlineStr">
        <is>
          <t>trai</t>
        </is>
      </c>
      <c r="B38" t="inlineStr">
        <is>
          <t>ODF-02 (POSTEF  cs 1288) / NBE22</t>
        </is>
      </c>
      <c r="C38" t="n">
        <v>10</v>
      </c>
      <c r="D38" t="inlineStr"/>
      <c r="E38" t="inlineStr">
        <is>
          <t>NBE12-01 (21,22) / Hướng NB</t>
        </is>
      </c>
      <c r="F38" t="n">
        <v>5000</v>
      </c>
      <c r="G38" t="n">
        <v>1678</v>
      </c>
      <c r="H38" t="n">
        <v>5581</v>
      </c>
      <c r="I38" t="inlineStr">
        <is>
          <t>TTC gói Long An, CG23, dùng từ đây đến mx NB-NVT</t>
        </is>
      </c>
      <c r="J38" t="inlineStr"/>
      <c r="K38" t="inlineStr"/>
    </row>
    <row r="39">
      <c r="A39" t="inlineStr">
        <is>
          <t>trai</t>
        </is>
      </c>
      <c r="B39" t="inlineStr">
        <is>
          <t>ODF-02 (POSTEF  cs 1288) / NBE22</t>
        </is>
      </c>
      <c r="C39" t="n">
        <v>11</v>
      </c>
      <c r="D39" t="inlineStr"/>
      <c r="E39" t="inlineStr">
        <is>
          <t>NBE12-01 (23,24) / Hướng NB</t>
        </is>
      </c>
      <c r="F39" t="n">
        <v>5000</v>
      </c>
      <c r="G39" t="n">
        <v>1678</v>
      </c>
      <c r="H39" t="n">
        <v>5581</v>
      </c>
      <c r="I39" t="inlineStr"/>
      <c r="J39" t="inlineStr"/>
      <c r="K39" t="inlineStr"/>
    </row>
    <row r="40">
      <c r="A40" t="inlineStr">
        <is>
          <t>trai</t>
        </is>
      </c>
      <c r="B40" t="inlineStr">
        <is>
          <t>ODF-02 (POSTEF  cs 1288) / NBE22</t>
        </is>
      </c>
      <c r="C40" t="n">
        <v>12</v>
      </c>
      <c r="D40" t="inlineStr"/>
      <c r="E40" t="inlineStr">
        <is>
          <t>NBE12-01 (23,24) / Hướng NB</t>
        </is>
      </c>
      <c r="F40" t="n">
        <v>5000</v>
      </c>
      <c r="G40" t="n">
        <v>1678</v>
      </c>
      <c r="H40" t="n">
        <v>5581</v>
      </c>
      <c r="I40" t="inlineStr"/>
      <c r="J40" t="inlineStr"/>
      <c r="K40" t="inlineStr"/>
    </row>
    <row r="41">
      <c r="A41" t="inlineStr">
        <is>
          <t>trai</t>
        </is>
      </c>
      <c r="B41" t="inlineStr">
        <is>
          <t>ODF-02 (POSTEF  cs 1288) / NBE22</t>
        </is>
      </c>
      <c r="C41" t="n">
        <v>13</v>
      </c>
      <c r="D41" t="inlineStr"/>
      <c r="E41" t="inlineStr">
        <is>
          <t>MX_HTP-03B</t>
        </is>
      </c>
      <c r="F41" t="n">
        <v>260</v>
      </c>
      <c r="G41" t="inlineStr">
        <is>
          <t>~</t>
        </is>
      </c>
      <c r="H41" t="inlineStr">
        <is>
          <t>~</t>
        </is>
      </c>
      <c r="I41" t="inlineStr">
        <is>
          <t>Dùng cho DWDM Vinanet</t>
        </is>
      </c>
      <c r="J41" t="inlineStr"/>
      <c r="K41" t="inlineStr"/>
    </row>
    <row r="42">
      <c r="A42" t="inlineStr">
        <is>
          <t>trai</t>
        </is>
      </c>
      <c r="B42" t="inlineStr">
        <is>
          <t>ODF-02 (POSTEF  cs 1288) / NBE22</t>
        </is>
      </c>
      <c r="C42" t="n">
        <v>14</v>
      </c>
      <c r="D42" t="inlineStr"/>
      <c r="E42" t="inlineStr">
        <is>
          <t>MX_HTP-03B</t>
        </is>
      </c>
      <c r="F42" t="n">
        <v>260</v>
      </c>
      <c r="G42" t="inlineStr">
        <is>
          <t>~</t>
        </is>
      </c>
      <c r="H42" t="inlineStr">
        <is>
          <t>~</t>
        </is>
      </c>
      <c r="I42" t="inlineStr">
        <is>
          <t>Dùng cho DWDM Vinanet</t>
        </is>
      </c>
      <c r="J42" t="inlineStr"/>
      <c r="K42" t="inlineStr"/>
    </row>
    <row r="43">
      <c r="A43" t="inlineStr">
        <is>
          <t>trai</t>
        </is>
      </c>
      <c r="B43" t="inlineStr">
        <is>
          <t>ODF-02 (POSTEF  cs 1288) / NBE22</t>
        </is>
      </c>
      <c r="C43" t="n">
        <v>15</v>
      </c>
      <c r="D43" t="inlineStr"/>
      <c r="E43" t="inlineStr">
        <is>
          <t>MX_HTP-03B</t>
        </is>
      </c>
      <c r="F43" t="n">
        <v>260</v>
      </c>
      <c r="G43" t="inlineStr">
        <is>
          <t>~</t>
        </is>
      </c>
      <c r="H43" t="inlineStr">
        <is>
          <t>~</t>
        </is>
      </c>
      <c r="I43" t="inlineStr">
        <is>
          <t>Dùng cho DWDM Vinanet</t>
        </is>
      </c>
      <c r="J43" t="inlineStr"/>
      <c r="K43" t="inlineStr"/>
    </row>
    <row r="44">
      <c r="A44" t="inlineStr">
        <is>
          <t>trai</t>
        </is>
      </c>
      <c r="B44" t="inlineStr">
        <is>
          <t>ODF-02 (POSTEF  cs 1288) / NBE22</t>
        </is>
      </c>
      <c r="C44" t="n">
        <v>16</v>
      </c>
      <c r="D44" t="inlineStr"/>
      <c r="E44" t="inlineStr">
        <is>
          <t>MX_HTP-03B</t>
        </is>
      </c>
      <c r="F44" t="n">
        <v>260</v>
      </c>
      <c r="G44" t="inlineStr">
        <is>
          <t>~</t>
        </is>
      </c>
      <c r="H44" t="inlineStr">
        <is>
          <t>~</t>
        </is>
      </c>
      <c r="I44" t="inlineStr">
        <is>
          <t>Dùng cho DWDM Vinanet</t>
        </is>
      </c>
      <c r="J44" t="inlineStr"/>
      <c r="K44" t="inlineStr"/>
    </row>
    <row r="45">
      <c r="A45" t="inlineStr">
        <is>
          <t>trai</t>
        </is>
      </c>
      <c r="B45" t="inlineStr">
        <is>
          <t>ODF-02 (POSTEF  cs 1288) / NBE22</t>
        </is>
      </c>
      <c r="C45" t="n">
        <v>17</v>
      </c>
      <c r="D45" t="inlineStr"/>
      <c r="E45" t="inlineStr">
        <is>
          <t>MX_HTP-03B</t>
        </is>
      </c>
      <c r="F45" t="n">
        <v>260</v>
      </c>
      <c r="G45" t="inlineStr">
        <is>
          <t>~</t>
        </is>
      </c>
      <c r="H45" t="inlineStr">
        <is>
          <t>~</t>
        </is>
      </c>
      <c r="I45" t="inlineStr">
        <is>
          <t>Dùng cho DWDM Vinanet</t>
        </is>
      </c>
      <c r="J45" t="inlineStr"/>
      <c r="K45" t="inlineStr"/>
    </row>
    <row r="46">
      <c r="A46" t="inlineStr">
        <is>
          <t>trai</t>
        </is>
      </c>
      <c r="B46" t="inlineStr">
        <is>
          <t>ODF-02 (POSTEF  cs 1288) / NBE22</t>
        </is>
      </c>
      <c r="C46" t="n">
        <v>18</v>
      </c>
      <c r="D46" t="inlineStr"/>
      <c r="E46" t="inlineStr">
        <is>
          <t>MX_HTP-03B</t>
        </is>
      </c>
      <c r="F46" t="n">
        <v>260</v>
      </c>
      <c r="G46" t="inlineStr">
        <is>
          <t>~</t>
        </is>
      </c>
      <c r="H46" t="inlineStr">
        <is>
          <t>~</t>
        </is>
      </c>
      <c r="I46" t="inlineStr">
        <is>
          <t>Dùng cho DWDM Vinanet</t>
        </is>
      </c>
      <c r="J46" t="inlineStr"/>
      <c r="K46" t="inlineStr"/>
    </row>
    <row r="47">
      <c r="A47" t="inlineStr">
        <is>
          <t>trai</t>
        </is>
      </c>
      <c r="B47" t="inlineStr">
        <is>
          <t>ODF-02 (POSTEF  cs 1288) / NBE22</t>
        </is>
      </c>
      <c r="C47" t="n">
        <v>19</v>
      </c>
      <c r="D47" t="inlineStr"/>
      <c r="E47" t="inlineStr">
        <is>
          <t>MX_HTP-03B</t>
        </is>
      </c>
      <c r="F47" t="n">
        <v>260</v>
      </c>
      <c r="G47" t="inlineStr">
        <is>
          <t>~</t>
        </is>
      </c>
      <c r="H47" t="inlineStr">
        <is>
          <t>~</t>
        </is>
      </c>
      <c r="I47" t="inlineStr"/>
      <c r="J47" t="inlineStr"/>
      <c r="K47" t="inlineStr"/>
    </row>
    <row r="48">
      <c r="A48" t="inlineStr">
        <is>
          <t>trai</t>
        </is>
      </c>
      <c r="B48" t="inlineStr">
        <is>
          <t>ODF-02 (POSTEF  cs 1288) / NBE22</t>
        </is>
      </c>
      <c r="C48" t="n">
        <v>20</v>
      </c>
      <c r="D48" t="inlineStr"/>
      <c r="E48" t="inlineStr">
        <is>
          <t>MX_HTP-03B</t>
        </is>
      </c>
      <c r="F48" t="n">
        <v>260</v>
      </c>
      <c r="G48" t="inlineStr">
        <is>
          <t>~</t>
        </is>
      </c>
      <c r="H48" t="inlineStr">
        <is>
          <t>~</t>
        </is>
      </c>
      <c r="I48" t="inlineStr"/>
      <c r="J48" t="inlineStr"/>
      <c r="K48" t="inlineStr"/>
    </row>
    <row r="49">
      <c r="A49" t="inlineStr">
        <is>
          <t>trai</t>
        </is>
      </c>
      <c r="B49" t="inlineStr">
        <is>
          <t>ODF-02 (POSTEF  cs 1288) / NBE22</t>
        </is>
      </c>
      <c r="C49" t="n">
        <v>21</v>
      </c>
      <c r="D49" t="inlineStr"/>
      <c r="E49" t="inlineStr">
        <is>
          <t>MX_HTP-03B</t>
        </is>
      </c>
      <c r="F49" t="n">
        <v>260</v>
      </c>
      <c r="G49" t="inlineStr">
        <is>
          <t>~</t>
        </is>
      </c>
      <c r="H49" t="inlineStr">
        <is>
          <t>~</t>
        </is>
      </c>
      <c r="I49" t="inlineStr"/>
      <c r="J49" t="inlineStr"/>
      <c r="K49" t="inlineStr"/>
    </row>
    <row r="50">
      <c r="A50" t="inlineStr">
        <is>
          <t>trai</t>
        </is>
      </c>
      <c r="B50" t="inlineStr">
        <is>
          <t>ODF-02 (POSTEF  cs 1288) / NBE22</t>
        </is>
      </c>
      <c r="C50" t="n">
        <v>22</v>
      </c>
      <c r="D50" t="inlineStr"/>
      <c r="E50" t="inlineStr">
        <is>
          <t>MX_HTP-03B</t>
        </is>
      </c>
      <c r="F50" t="n">
        <v>260</v>
      </c>
      <c r="G50" t="inlineStr">
        <is>
          <t>~</t>
        </is>
      </c>
      <c r="H50" t="inlineStr">
        <is>
          <t>~</t>
        </is>
      </c>
      <c r="I50" t="inlineStr"/>
      <c r="J50" t="inlineStr"/>
      <c r="K50" t="inlineStr"/>
    </row>
    <row r="51">
      <c r="A51" t="inlineStr">
        <is>
          <t>trai</t>
        </is>
      </c>
      <c r="B51" t="inlineStr">
        <is>
          <t>ODF-02 (POSTEF  cs 1288) / NBE22</t>
        </is>
      </c>
      <c r="C51" t="n">
        <v>23</v>
      </c>
      <c r="D51" t="inlineStr"/>
      <c r="E51" t="inlineStr">
        <is>
          <t>MX_HTP-03B</t>
        </is>
      </c>
      <c r="F51" t="n">
        <v>260</v>
      </c>
      <c r="G51" t="inlineStr">
        <is>
          <t>~</t>
        </is>
      </c>
      <c r="H51" t="inlineStr">
        <is>
          <t>~</t>
        </is>
      </c>
      <c r="I51" t="inlineStr">
        <is>
          <t>TTC gói Long An, dùng nhập trạm</t>
        </is>
      </c>
      <c r="J51" t="inlineStr"/>
      <c r="K51" t="inlineStr"/>
    </row>
    <row r="52">
      <c r="A52" t="inlineStr">
        <is>
          <t>trai</t>
        </is>
      </c>
      <c r="B52" t="inlineStr">
        <is>
          <t>ODF-02 (POSTEF  cs 1288) / NBE22</t>
        </is>
      </c>
      <c r="C52" t="n">
        <v>24</v>
      </c>
      <c r="D52" t="inlineStr"/>
      <c r="E52" t="inlineStr">
        <is>
          <t>MX_HTP-03B</t>
        </is>
      </c>
      <c r="F52" t="n">
        <v>260</v>
      </c>
      <c r="G52" t="inlineStr">
        <is>
          <t>~</t>
        </is>
      </c>
      <c r="H52" t="inlineStr">
        <is>
          <t>~</t>
        </is>
      </c>
      <c r="I52" t="inlineStr">
        <is>
          <t>TTC gói Long An, dùng nhập trạm</t>
        </is>
      </c>
      <c r="J52" t="inlineStr"/>
      <c r="K52" t="inlineStr"/>
    </row>
    <row r="53">
      <c r="A53" t="inlineStr">
        <is>
          <t>phai</t>
        </is>
      </c>
      <c r="B53" t="inlineStr">
        <is>
          <t>ODF-01 POSTEF 11/2016 (cs 3027) / Nguyễn Bình</t>
        </is>
      </c>
      <c r="C53" t="n">
        <v>1</v>
      </c>
      <c r="D53" t="n">
        <v>7</v>
      </c>
      <c r="E53" t="inlineStr">
        <is>
          <t>LACG43 TTC</t>
        </is>
      </c>
      <c r="F53" t="n">
        <v>7000</v>
      </c>
      <c r="G53" t="n">
        <v>7652</v>
      </c>
      <c r="H53" t="n">
        <v>16341</v>
      </c>
      <c r="I53" t="inlineStr">
        <is>
          <t>phối cáp ttc tại mx hem 1534 lvl</t>
        </is>
      </c>
      <c r="J53" t="n">
        <v>16329</v>
      </c>
      <c r="K53" t="n">
        <v>3500</v>
      </c>
    </row>
    <row r="54">
      <c r="A54" t="inlineStr">
        <is>
          <t>phai</t>
        </is>
      </c>
      <c r="B54" t="inlineStr">
        <is>
          <t>ODF-01 POSTEF 11/2016 (cs 3027) / Nguyễn Bình</t>
        </is>
      </c>
      <c r="C54" t="n">
        <v>2</v>
      </c>
      <c r="D54" t="n">
        <v>8</v>
      </c>
      <c r="E54" t="inlineStr">
        <is>
          <t>LACG43 TTC</t>
        </is>
      </c>
      <c r="F54" t="n">
        <v>7000</v>
      </c>
      <c r="G54" t="n">
        <v>7652</v>
      </c>
      <c r="H54" t="n">
        <v>16341</v>
      </c>
      <c r="I54" t="inlineStr"/>
      <c r="J54" t="n">
        <v>16329</v>
      </c>
      <c r="K54" t="n">
        <v>5300</v>
      </c>
    </row>
    <row r="55">
      <c r="A55" t="inlineStr">
        <is>
          <t>phai</t>
        </is>
      </c>
      <c r="B55" t="inlineStr">
        <is>
          <t>ODF-01 POSTEF 11/2016 (cs 3027) / Nguyễn Bình</t>
        </is>
      </c>
      <c r="C55" t="n">
        <v>3</v>
      </c>
      <c r="D55" t="n">
        <v>9</v>
      </c>
      <c r="E55" t="inlineStr"/>
      <c r="F55" t="n">
        <v>7000</v>
      </c>
      <c r="G55" t="n">
        <v>7728</v>
      </c>
      <c r="H55" t="n">
        <v>16055</v>
      </c>
      <c r="I55" t="inlineStr"/>
      <c r="J55" t="n">
        <v>16040</v>
      </c>
      <c r="K55" t="n">
        <v>349</v>
      </c>
    </row>
    <row r="56">
      <c r="A56" t="inlineStr">
        <is>
          <t>phai</t>
        </is>
      </c>
      <c r="B56" t="inlineStr">
        <is>
          <t>ODF-01 POSTEF 11/2016 (cs 3027) / Nguyễn Bình</t>
        </is>
      </c>
      <c r="C56" t="n">
        <v>4</v>
      </c>
      <c r="D56" t="n">
        <v>10</v>
      </c>
      <c r="E56" t="inlineStr"/>
      <c r="F56" t="n">
        <v>7000</v>
      </c>
      <c r="G56" t="n">
        <v>7728</v>
      </c>
      <c r="H56" t="n">
        <v>16055</v>
      </c>
      <c r="I56" t="inlineStr"/>
      <c r="J56" t="n">
        <v>16040</v>
      </c>
      <c r="K56" t="n">
        <v>349</v>
      </c>
    </row>
    <row r="57">
      <c r="A57" t="inlineStr">
        <is>
          <t>phai</t>
        </is>
      </c>
      <c r="B57" t="inlineStr">
        <is>
          <t>ODF-01 POSTEF 11/2016 (cs 3027) / Nguyễn Bình</t>
        </is>
      </c>
      <c r="C57" t="n">
        <v>5</v>
      </c>
      <c r="D57" t="n">
        <v>11</v>
      </c>
      <c r="E57" t="inlineStr">
        <is>
          <t>HNB011 ring 4</t>
        </is>
      </c>
      <c r="F57" t="n">
        <v>3300</v>
      </c>
      <c r="G57" t="n">
        <v>9630</v>
      </c>
      <c r="H57" t="n">
        <v>3581</v>
      </c>
      <c r="I57" t="inlineStr"/>
      <c r="J57" t="n">
        <v>4233</v>
      </c>
      <c r="K57" t="inlineStr"/>
    </row>
    <row r="58">
      <c r="A58" t="inlineStr">
        <is>
          <t>phai</t>
        </is>
      </c>
      <c r="B58" t="inlineStr">
        <is>
          <t>ODF-01 POSTEF 11/2016 (cs 3027) / Nguyễn Bình</t>
        </is>
      </c>
      <c r="C58" t="n">
        <v>6</v>
      </c>
      <c r="D58" t="n">
        <v>12</v>
      </c>
      <c r="E58" t="inlineStr">
        <is>
          <t>HNB011 ring 4</t>
        </is>
      </c>
      <c r="F58" t="n">
        <v>3300</v>
      </c>
      <c r="G58" t="n">
        <v>9630</v>
      </c>
      <c r="H58" t="n">
        <v>3581</v>
      </c>
      <c r="I58" t="inlineStr"/>
      <c r="J58" t="n">
        <v>4233</v>
      </c>
      <c r="K58" t="inlineStr"/>
    </row>
    <row r="59">
      <c r="A59" t="inlineStr">
        <is>
          <t>phai</t>
        </is>
      </c>
      <c r="B59" t="inlineStr">
        <is>
          <t>ODF-01 POSTEF 11/2016 (cs 3027) / Nguyễn Bình</t>
        </is>
      </c>
      <c r="C59" t="n">
        <v>7</v>
      </c>
      <c r="D59" t="n">
        <v>1</v>
      </c>
      <c r="E59" t="inlineStr">
        <is>
          <t>HNB012 ring 5</t>
        </is>
      </c>
      <c r="F59" t="n">
        <v>8000</v>
      </c>
      <c r="G59" t="n">
        <v>9251</v>
      </c>
      <c r="H59" t="n">
        <v>7230</v>
      </c>
      <c r="I59" t="inlineStr"/>
      <c r="J59" t="n">
        <v>8456</v>
      </c>
      <c r="K59" t="inlineStr"/>
    </row>
    <row r="60">
      <c r="A60" t="inlineStr">
        <is>
          <t>phai</t>
        </is>
      </c>
      <c r="B60" t="inlineStr">
        <is>
          <t>ODF-01 POSTEF 11/2016 (cs 3027) / Nguyễn Bình</t>
        </is>
      </c>
      <c r="C60" t="n">
        <v>8</v>
      </c>
      <c r="D60" t="n">
        <v>2</v>
      </c>
      <c r="E60" t="inlineStr">
        <is>
          <t>HNB012 ring 5</t>
        </is>
      </c>
      <c r="F60" t="n">
        <v>8000</v>
      </c>
      <c r="G60" t="n">
        <v>9251</v>
      </c>
      <c r="H60" t="n">
        <v>7230</v>
      </c>
      <c r="I60" t="inlineStr"/>
      <c r="J60" t="n">
        <v>8456</v>
      </c>
      <c r="K60" t="inlineStr"/>
    </row>
    <row r="61">
      <c r="A61" t="inlineStr">
        <is>
          <t>phai</t>
        </is>
      </c>
      <c r="B61" t="inlineStr">
        <is>
          <t>ODF-01 POSTEF 11/2016 (cs 3027) / Nguyễn Bình</t>
        </is>
      </c>
      <c r="C61" t="n">
        <v>9</v>
      </c>
      <c r="D61" t="n">
        <v>3</v>
      </c>
      <c r="E61" t="inlineStr">
        <is>
          <t xml:space="preserve">Hư </t>
        </is>
      </c>
      <c r="F61" t="n">
        <v>8900</v>
      </c>
      <c r="G61" t="inlineStr"/>
      <c r="H61" t="n">
        <v>9629</v>
      </c>
      <c r="I61" t="inlineStr"/>
      <c r="J61" t="n">
        <v>9615</v>
      </c>
      <c r="K61" t="n">
        <v>350</v>
      </c>
    </row>
    <row r="62">
      <c r="A62" t="inlineStr">
        <is>
          <t>phai</t>
        </is>
      </c>
      <c r="B62" t="inlineStr">
        <is>
          <t>ODF-01 POSTEF 11/2016 (cs 3027) / Nguyễn Bình</t>
        </is>
      </c>
      <c r="C62" t="n">
        <v>10</v>
      </c>
      <c r="D62" t="n">
        <v>4</v>
      </c>
      <c r="E62" t="inlineStr">
        <is>
          <t xml:space="preserve">Hư </t>
        </is>
      </c>
      <c r="F62" t="n">
        <v>8900</v>
      </c>
      <c r="G62" t="inlineStr"/>
      <c r="H62" t="n">
        <v>9629</v>
      </c>
      <c r="I62" t="inlineStr"/>
      <c r="J62" t="n">
        <v>9615</v>
      </c>
      <c r="K62" t="n">
        <v>350</v>
      </c>
    </row>
    <row r="63">
      <c r="A63" t="inlineStr">
        <is>
          <t>phai</t>
        </is>
      </c>
      <c r="B63" t="inlineStr">
        <is>
          <t>ODF-01 POSTEF 11/2016 (cs 3027) / Nguyễn Bình</t>
        </is>
      </c>
      <c r="C63" t="n">
        <v>11</v>
      </c>
      <c r="D63" t="n">
        <v>5</v>
      </c>
      <c r="E63" t="inlineStr">
        <is>
          <t>HNB055 ring 3</t>
        </is>
      </c>
      <c r="F63" t="n">
        <v>9700</v>
      </c>
      <c r="G63" t="n">
        <v>1352</v>
      </c>
      <c r="H63" t="n">
        <v>1352</v>
      </c>
      <c r="I63" t="inlineStr"/>
      <c r="J63" t="n">
        <v>10390</v>
      </c>
      <c r="K63" t="inlineStr"/>
    </row>
    <row r="64">
      <c r="A64" t="inlineStr">
        <is>
          <t>phai</t>
        </is>
      </c>
      <c r="B64" t="inlineStr">
        <is>
          <t>ODF-01 POSTEF 11/2016 (cs 3027) / Nguyễn Bình</t>
        </is>
      </c>
      <c r="C64" t="n">
        <v>12</v>
      </c>
      <c r="D64" t="n">
        <v>6</v>
      </c>
      <c r="E64" t="inlineStr">
        <is>
          <t>HNB055 ring 3</t>
        </is>
      </c>
      <c r="F64" t="n">
        <v>9700</v>
      </c>
      <c r="G64" t="n">
        <v>1352</v>
      </c>
      <c r="H64" t="n">
        <v>1352</v>
      </c>
      <c r="I64" t="inlineStr"/>
      <c r="J64" t="n">
        <v>10390</v>
      </c>
      <c r="K64" t="inlineStr"/>
    </row>
    <row r="65">
      <c r="A65" t="inlineStr">
        <is>
          <t>phai</t>
        </is>
      </c>
      <c r="B65" t="inlineStr">
        <is>
          <t>ODF-01 POSTEF 11/2016 (cs 3027) / Nguyễn Bình</t>
        </is>
      </c>
      <c r="C65" t="n">
        <v>13</v>
      </c>
      <c r="D65" t="inlineStr"/>
      <c r="E65" t="inlineStr"/>
      <c r="F65" t="n">
        <v>7000</v>
      </c>
      <c r="G65" t="n">
        <v>12811</v>
      </c>
      <c r="H65" t="n">
        <v>6918</v>
      </c>
      <c r="I65" t="inlineStr"/>
      <c r="J65" t="n">
        <v>11101</v>
      </c>
      <c r="K65" t="n">
        <v>10220</v>
      </c>
    </row>
    <row r="66">
      <c r="A66" t="inlineStr">
        <is>
          <t>phai</t>
        </is>
      </c>
      <c r="B66" t="inlineStr">
        <is>
          <t>ODF-01 POSTEF 11/2016 (cs 3027) / Nguyễn Bình</t>
        </is>
      </c>
      <c r="C66" t="n">
        <v>14</v>
      </c>
      <c r="D66" t="inlineStr"/>
      <c r="E66" t="inlineStr"/>
      <c r="F66" t="n">
        <v>7000</v>
      </c>
      <c r="G66" t="n">
        <v>12906</v>
      </c>
      <c r="H66" t="n">
        <v>6918</v>
      </c>
      <c r="I66" t="inlineStr"/>
      <c r="J66" t="n">
        <v>6630</v>
      </c>
      <c r="K66" t="n">
        <v>6730</v>
      </c>
    </row>
    <row r="67">
      <c r="A67" t="inlineStr">
        <is>
          <t>phai</t>
        </is>
      </c>
      <c r="B67" t="inlineStr">
        <is>
          <t>ODF-01 POSTEF 11/2016 (cs 3027) / Nguyễn Bình</t>
        </is>
      </c>
      <c r="C67" t="n">
        <v>15</v>
      </c>
      <c r="D67" t="inlineStr"/>
      <c r="E67" t="inlineStr"/>
      <c r="F67" t="n">
        <v>7000</v>
      </c>
      <c r="G67" t="inlineStr">
        <is>
          <t>hư</t>
        </is>
      </c>
      <c r="H67" t="n">
        <v>6918</v>
      </c>
      <c r="I67" t="inlineStr"/>
      <c r="J67" t="n">
        <v>6630</v>
      </c>
      <c r="K67" t="n">
        <v>6730</v>
      </c>
    </row>
    <row r="68">
      <c r="A68" t="inlineStr">
        <is>
          <t>phai</t>
        </is>
      </c>
      <c r="B68" t="inlineStr">
        <is>
          <t>ODF-01 POSTEF 11/2016 (cs 3027) / Nguyễn Bình</t>
        </is>
      </c>
      <c r="C68" t="n">
        <v>16</v>
      </c>
      <c r="D68" t="inlineStr"/>
      <c r="E68" t="inlineStr"/>
      <c r="F68" t="n">
        <v>7000</v>
      </c>
      <c r="G68" t="n">
        <v>10634</v>
      </c>
      <c r="H68" t="n">
        <v>6918</v>
      </c>
      <c r="I68" t="inlineStr"/>
      <c r="J68" t="n">
        <v>9239</v>
      </c>
      <c r="K68" t="n">
        <v>9340</v>
      </c>
    </row>
    <row r="69">
      <c r="A69" t="inlineStr">
        <is>
          <t>phai</t>
        </is>
      </c>
      <c r="B69" t="inlineStr">
        <is>
          <t>ODF-01 POSTEF 11/2016 (cs 3027) / Nguyễn Bình</t>
        </is>
      </c>
      <c r="C69" t="n">
        <v>17</v>
      </c>
      <c r="D69" t="inlineStr"/>
      <c r="E69" t="inlineStr">
        <is>
          <t>MTC Vinanet</t>
        </is>
      </c>
      <c r="F69" t="n">
        <v>3300</v>
      </c>
      <c r="G69" t="n">
        <v>11428</v>
      </c>
      <c r="H69" t="n">
        <v>4246</v>
      </c>
      <c r="I69" t="inlineStr">
        <is>
          <t>phối cáp ngoài mx nb-nvt</t>
        </is>
      </c>
      <c r="J69" t="n">
        <v>6630</v>
      </c>
      <c r="K69" t="inlineStr">
        <is>
          <t>MTC VNN</t>
        </is>
      </c>
    </row>
    <row r="70">
      <c r="A70" t="inlineStr">
        <is>
          <t>phai</t>
        </is>
      </c>
      <c r="B70" t="inlineStr">
        <is>
          <t>ODF-01 POSTEF 11/2016 (cs 3027) / Nguyễn Bình</t>
        </is>
      </c>
      <c r="C70" t="n">
        <v>18</v>
      </c>
      <c r="D70" t="inlineStr"/>
      <c r="E70" t="inlineStr">
        <is>
          <t>MTC Vinanet</t>
        </is>
      </c>
      <c r="F70" t="n">
        <v>3300</v>
      </c>
      <c r="G70" t="n">
        <v>11478</v>
      </c>
      <c r="H70" t="n">
        <v>4246</v>
      </c>
      <c r="I70" t="inlineStr">
        <is>
          <t>phối cáp ngoài mx nb-nvt</t>
        </is>
      </c>
      <c r="J70" t="n">
        <v>9229</v>
      </c>
      <c r="K70" t="inlineStr">
        <is>
          <t>MTC VNN</t>
        </is>
      </c>
    </row>
    <row r="71">
      <c r="A71" t="inlineStr">
        <is>
          <t>phai</t>
        </is>
      </c>
      <c r="B71" t="inlineStr">
        <is>
          <t>ODF-01 POSTEF 11/2016 (cs 3027) / Nguyễn Bình</t>
        </is>
      </c>
      <c r="C71" t="n">
        <v>19</v>
      </c>
      <c r="D71" t="inlineStr"/>
      <c r="E71" t="inlineStr">
        <is>
          <t>HNB086 ring 6</t>
        </is>
      </c>
      <c r="F71" t="n">
        <v>2700</v>
      </c>
      <c r="G71" t="n">
        <v>3075</v>
      </c>
      <c r="H71" t="n">
        <v>3075</v>
      </c>
      <c r="I71" t="inlineStr"/>
      <c r="J71" t="n">
        <v>3084</v>
      </c>
      <c r="K71" t="inlineStr"/>
    </row>
    <row r="72">
      <c r="A72" t="inlineStr">
        <is>
          <t>phai</t>
        </is>
      </c>
      <c r="B72" t="inlineStr">
        <is>
          <t>ODF-01 POSTEF 11/2016 (cs 3027) / Nguyễn Bình</t>
        </is>
      </c>
      <c r="C72" t="n">
        <v>20</v>
      </c>
      <c r="D72" t="inlineStr"/>
      <c r="E72" t="inlineStr">
        <is>
          <t>HNB086 ring 6</t>
        </is>
      </c>
      <c r="F72" t="n">
        <v>2700</v>
      </c>
      <c r="G72" t="n">
        <v>3076</v>
      </c>
      <c r="H72" t="n">
        <v>3075</v>
      </c>
      <c r="I72" t="inlineStr"/>
      <c r="J72" t="n">
        <v>3084</v>
      </c>
      <c r="K72" t="inlineStr"/>
    </row>
    <row r="73">
      <c r="A73" t="inlineStr">
        <is>
          <t>phai</t>
        </is>
      </c>
      <c r="B73" t="inlineStr">
        <is>
          <t>ODF-01 POSTEF 11/2016 (cs 3027) / Nguyễn Bình</t>
        </is>
      </c>
      <c r="C73" t="n">
        <v>21</v>
      </c>
      <c r="D73" t="inlineStr"/>
      <c r="E73" t="inlineStr">
        <is>
          <t>NBE22-02(9,10)</t>
        </is>
      </c>
      <c r="F73" t="n">
        <v>5000</v>
      </c>
      <c r="G73" t="inlineStr">
        <is>
          <t>hu</t>
        </is>
      </c>
      <c r="H73" t="n">
        <v>5564</v>
      </c>
      <c r="I73" t="inlineStr"/>
      <c r="J73" t="n">
        <v>5571</v>
      </c>
      <c r="K73" t="inlineStr"/>
    </row>
    <row r="74">
      <c r="A74" t="inlineStr">
        <is>
          <t>phai</t>
        </is>
      </c>
      <c r="B74" t="inlineStr">
        <is>
          <t>ODF-01 POSTEF 11/2016 (cs 3027) / Nguyễn Bình</t>
        </is>
      </c>
      <c r="C74" t="n">
        <v>22</v>
      </c>
      <c r="D74" t="inlineStr"/>
      <c r="E74" t="inlineStr">
        <is>
          <t>NBE22-02(9,10)</t>
        </is>
      </c>
      <c r="F74" t="n">
        <v>5000</v>
      </c>
      <c r="G74" t="n">
        <v>3895</v>
      </c>
      <c r="H74" t="n">
        <v>5547</v>
      </c>
      <c r="I74" t="inlineStr"/>
      <c r="J74" t="n">
        <v>5571</v>
      </c>
      <c r="K74" t="inlineStr"/>
    </row>
    <row r="75">
      <c r="A75" t="inlineStr">
        <is>
          <t>phai</t>
        </is>
      </c>
      <c r="B75" t="inlineStr">
        <is>
          <t>ODF-01 POSTEF 11/2016 (cs 3027) / Nguyễn Bình</t>
        </is>
      </c>
      <c r="C75" t="n">
        <v>23</v>
      </c>
      <c r="D75" t="inlineStr"/>
      <c r="E75" t="inlineStr">
        <is>
          <t>NBE22-02(11,12)</t>
        </is>
      </c>
      <c r="F75" t="n">
        <v>5000</v>
      </c>
      <c r="G75" t="n">
        <v>3885</v>
      </c>
      <c r="H75" t="n">
        <v>5547</v>
      </c>
      <c r="I75" t="inlineStr"/>
      <c r="J75" t="n">
        <v>5571</v>
      </c>
      <c r="K75" t="inlineStr"/>
    </row>
    <row r="76">
      <c r="A76" t="inlineStr">
        <is>
          <t>phai</t>
        </is>
      </c>
      <c r="B76" t="inlineStr">
        <is>
          <t>ODF-01 POSTEF 11/2016 (cs 3027) / Nguyễn Bình</t>
        </is>
      </c>
      <c r="C76" t="n">
        <v>24</v>
      </c>
      <c r="D76" t="inlineStr"/>
      <c r="E76" t="inlineStr">
        <is>
          <t>NBE22-02(11,12)</t>
        </is>
      </c>
      <c r="F76" t="n">
        <v>5000</v>
      </c>
      <c r="G76" t="n">
        <v>3880</v>
      </c>
      <c r="H76" t="n">
        <v>5547</v>
      </c>
      <c r="I76" t="inlineStr"/>
      <c r="J76" t="n">
        <v>5571</v>
      </c>
      <c r="K76" t="inlineStr"/>
    </row>
    <row r="77">
      <c r="A77" t="inlineStr">
        <is>
          <t>phai</t>
        </is>
      </c>
      <c r="B77" t="inlineStr">
        <is>
          <t>ODF-02 (ADSS 09/2009  ) / Nguyễn Văn Tạo</t>
        </is>
      </c>
      <c r="C77" t="n">
        <v>1</v>
      </c>
      <c r="D77" t="inlineStr"/>
      <c r="E77" t="inlineStr">
        <is>
          <t>HNB054 ring 2</t>
        </is>
      </c>
      <c r="F77" t="n">
        <v>850</v>
      </c>
      <c r="G77" t="n">
        <v>982</v>
      </c>
      <c r="H77" t="n">
        <v>988</v>
      </c>
      <c r="I77" t="inlineStr"/>
      <c r="J77" t="n">
        <v>988</v>
      </c>
      <c r="K77" t="inlineStr"/>
    </row>
    <row r="78">
      <c r="A78" t="inlineStr">
        <is>
          <t>phai</t>
        </is>
      </c>
      <c r="B78" t="inlineStr">
        <is>
          <t>ODF-02 (ADSS 09/2009  ) / Nguyễn Văn Tạo</t>
        </is>
      </c>
      <c r="C78" t="n">
        <v>2</v>
      </c>
      <c r="D78" t="inlineStr"/>
      <c r="E78" t="inlineStr">
        <is>
          <t>HNB054 ring 2</t>
        </is>
      </c>
      <c r="F78" t="n">
        <v>850</v>
      </c>
      <c r="G78" t="n">
        <v>982</v>
      </c>
      <c r="H78" t="n">
        <v>988</v>
      </c>
      <c r="I78" t="inlineStr"/>
      <c r="J78" t="n">
        <v>988</v>
      </c>
      <c r="K78" t="inlineStr"/>
    </row>
    <row r="79">
      <c r="A79" t="inlineStr">
        <is>
          <t>phai</t>
        </is>
      </c>
      <c r="B79" t="inlineStr">
        <is>
          <t>ODF-02 (ADSS 09/2009  ) / Nguyễn Văn Tạo</t>
        </is>
      </c>
      <c r="C79" t="n">
        <v>3</v>
      </c>
      <c r="D79" t="inlineStr"/>
      <c r="E79" t="inlineStr">
        <is>
          <t>HNB059 ring 1</t>
        </is>
      </c>
      <c r="F79" t="n">
        <v>4300</v>
      </c>
      <c r="G79" t="n">
        <v>2926</v>
      </c>
      <c r="H79" t="n">
        <v>4672</v>
      </c>
      <c r="I79" t="inlineStr"/>
      <c r="J79" t="n">
        <v>4672</v>
      </c>
      <c r="K79" t="inlineStr"/>
    </row>
    <row r="80">
      <c r="A80" t="inlineStr">
        <is>
          <t>phai</t>
        </is>
      </c>
      <c r="B80" t="inlineStr">
        <is>
          <t>ODF-02 (ADSS 09/2009  ) / Nguyễn Văn Tạo</t>
        </is>
      </c>
      <c r="C80" t="n">
        <v>4</v>
      </c>
      <c r="D80" t="inlineStr"/>
      <c r="E80" t="inlineStr">
        <is>
          <t>HNB059 ring 1</t>
        </is>
      </c>
      <c r="F80" t="n">
        <v>4300</v>
      </c>
      <c r="G80" t="n">
        <v>2926</v>
      </c>
      <c r="H80" t="n">
        <v>4672</v>
      </c>
      <c r="I80" t="inlineStr"/>
      <c r="J80" t="n">
        <v>4672</v>
      </c>
      <c r="K80" t="inlineStr"/>
    </row>
    <row r="81">
      <c r="A81" t="inlineStr">
        <is>
          <t>phai</t>
        </is>
      </c>
      <c r="B81" t="inlineStr">
        <is>
          <t>ODF-02 (ADSS 09/2009  ) / Nguyễn Văn Tạo</t>
        </is>
      </c>
      <c r="C81" t="n">
        <v>5</v>
      </c>
      <c r="D81" t="inlineStr"/>
      <c r="E81" t="inlineStr">
        <is>
          <t>MX_NVT-03A</t>
        </is>
      </c>
      <c r="F81" t="n">
        <v>2500</v>
      </c>
      <c r="G81" t="n">
        <v>2923</v>
      </c>
      <c r="H81" t="n">
        <v>1881</v>
      </c>
      <c r="I81" t="inlineStr">
        <is>
          <t>TTC gói Long An-hủy</t>
        </is>
      </c>
      <c r="J81" t="n">
        <v>1887</v>
      </c>
      <c r="K81" t="inlineStr"/>
    </row>
    <row r="82">
      <c r="A82" t="inlineStr">
        <is>
          <t>phai</t>
        </is>
      </c>
      <c r="B82" t="inlineStr">
        <is>
          <t>ODF-02 (ADSS 09/2009  ) / Nguyễn Văn Tạo</t>
        </is>
      </c>
      <c r="C82" t="n">
        <v>6</v>
      </c>
      <c r="D82" t="inlineStr"/>
      <c r="E82" t="inlineStr">
        <is>
          <t>MX_NVT-03A</t>
        </is>
      </c>
      <c r="F82" t="n">
        <v>2500</v>
      </c>
      <c r="G82" t="n">
        <v>2923</v>
      </c>
      <c r="H82" t="n">
        <v>2722</v>
      </c>
      <c r="I82" t="inlineStr">
        <is>
          <t>TTC gói Long An-hủy</t>
        </is>
      </c>
      <c r="J82" t="n">
        <v>1887</v>
      </c>
      <c r="K82" t="inlineStr"/>
    </row>
    <row r="83">
      <c r="A83" t="inlineStr">
        <is>
          <t>phai</t>
        </is>
      </c>
      <c r="B83" t="inlineStr">
        <is>
          <t>ODF-02 (ADSS 09/2009  ) / Nguyễn Văn Tạo</t>
        </is>
      </c>
      <c r="C83" t="n">
        <v>7</v>
      </c>
      <c r="D83" t="inlineStr"/>
      <c r="E83" t="inlineStr">
        <is>
          <t>NBE22-01(7,8)</t>
        </is>
      </c>
      <c r="F83" t="n">
        <v>12900</v>
      </c>
      <c r="G83" t="n">
        <v>2716</v>
      </c>
      <c r="H83" t="n">
        <v>2716</v>
      </c>
      <c r="I83" t="inlineStr"/>
      <c r="J83" t="n">
        <v>17683</v>
      </c>
      <c r="K83" t="inlineStr"/>
    </row>
    <row r="84">
      <c r="A84" t="inlineStr">
        <is>
          <t>phai</t>
        </is>
      </c>
      <c r="B84" t="inlineStr">
        <is>
          <t>ODF-02 (ADSS 09/2009  ) / Nguyễn Văn Tạo</t>
        </is>
      </c>
      <c r="C84" t="n">
        <v>8</v>
      </c>
      <c r="D84" t="inlineStr"/>
      <c r="E84" t="inlineStr">
        <is>
          <t>NBE22-01(7,8)</t>
        </is>
      </c>
      <c r="F84" t="n">
        <v>12900</v>
      </c>
      <c r="G84" t="n">
        <v>2716</v>
      </c>
      <c r="H84" t="n">
        <v>2716</v>
      </c>
      <c r="I84" t="inlineStr"/>
      <c r="J84" t="n">
        <v>17683</v>
      </c>
      <c r="K84" t="inlineStr"/>
    </row>
    <row r="85">
      <c r="A85" t="inlineStr">
        <is>
          <t>phai</t>
        </is>
      </c>
      <c r="B85" t="inlineStr">
        <is>
          <t>ODF-02 (ADSS 09/2009  ) / Nguyễn Văn Tạo</t>
        </is>
      </c>
      <c r="C85" t="n">
        <v>9</v>
      </c>
      <c r="D85" t="inlineStr"/>
      <c r="E85" t="inlineStr">
        <is>
          <t>HNB066 ring 8</t>
        </is>
      </c>
      <c r="F85" t="n">
        <v>10500</v>
      </c>
      <c r="G85" t="n">
        <v>2716</v>
      </c>
      <c r="H85" t="n">
        <v>2716</v>
      </c>
      <c r="I85" t="inlineStr"/>
      <c r="J85" t="n">
        <v>15404</v>
      </c>
      <c r="K85" t="n">
        <v>16190</v>
      </c>
    </row>
    <row r="86">
      <c r="A86" t="inlineStr">
        <is>
          <t>phai</t>
        </is>
      </c>
      <c r="B86" t="inlineStr">
        <is>
          <t>ODF-02 (ADSS 09/2009  ) / Nguyễn Văn Tạo</t>
        </is>
      </c>
      <c r="C86" t="n">
        <v>10</v>
      </c>
      <c r="D86" t="inlineStr"/>
      <c r="E86" t="inlineStr">
        <is>
          <t>HNB066 ring 8</t>
        </is>
      </c>
      <c r="F86" t="n">
        <v>10500</v>
      </c>
      <c r="G86" t="n">
        <v>2926</v>
      </c>
      <c r="H86" t="n">
        <v>2716</v>
      </c>
      <c r="I86" t="inlineStr"/>
      <c r="J86" t="n">
        <v>15404</v>
      </c>
      <c r="K86" t="inlineStr"/>
    </row>
    <row r="87">
      <c r="A87" t="inlineStr">
        <is>
          <t>phai</t>
        </is>
      </c>
      <c r="B87" t="inlineStr">
        <is>
          <t>ODF-02 (ADSS 09/2009  ) / Nguyễn Văn Tạo</t>
        </is>
      </c>
      <c r="C87" t="n">
        <v>11</v>
      </c>
      <c r="D87" t="inlineStr"/>
      <c r="E87" t="inlineStr">
        <is>
          <t>HNB005 ring7</t>
        </is>
      </c>
      <c r="F87" t="n">
        <v>11420</v>
      </c>
      <c r="G87" t="n">
        <v>2716</v>
      </c>
      <c r="H87" t="n">
        <v>2716</v>
      </c>
      <c r="I87" t="inlineStr"/>
      <c r="J87" t="n">
        <v>8980</v>
      </c>
      <c r="K87" t="inlineStr"/>
    </row>
    <row r="88">
      <c r="A88" t="inlineStr">
        <is>
          <t>phai</t>
        </is>
      </c>
      <c r="B88" t="inlineStr">
        <is>
          <t>ODF-02 (ADSS 09/2009  ) / Nguyễn Văn Tạo</t>
        </is>
      </c>
      <c r="C88" t="n">
        <v>12</v>
      </c>
      <c r="D88" t="inlineStr"/>
      <c r="E88" t="inlineStr">
        <is>
          <t>HNB005 ring7</t>
        </is>
      </c>
      <c r="F88" t="n">
        <v>11420</v>
      </c>
      <c r="G88" t="n">
        <v>2716</v>
      </c>
      <c r="H88" t="n">
        <v>2716</v>
      </c>
      <c r="I88" t="inlineStr"/>
      <c r="J88" t="n">
        <v>8980</v>
      </c>
      <c r="K88" t="inlineStr"/>
    </row>
    <row r="89">
      <c r="A89" t="inlineStr">
        <is>
          <t>phai</t>
        </is>
      </c>
      <c r="B89" t="inlineStr">
        <is>
          <t>ODF-02 (ADSS 09/2009  ) / Nguyễn Văn Tạo</t>
        </is>
      </c>
      <c r="C89" t="n">
        <v>13</v>
      </c>
      <c r="D89" t="inlineStr"/>
      <c r="E89" t="inlineStr">
        <is>
          <t>CRAN HNB072</t>
        </is>
      </c>
      <c r="F89" t="n">
        <v>151</v>
      </c>
      <c r="G89" t="inlineStr"/>
      <c r="H89" t="inlineStr"/>
      <c r="I89" t="inlineStr"/>
      <c r="J89" t="inlineStr"/>
      <c r="K89" t="inlineStr"/>
    </row>
    <row r="90">
      <c r="A90" t="inlineStr">
        <is>
          <t>phai</t>
        </is>
      </c>
      <c r="B90" t="inlineStr">
        <is>
          <t>ODF-02 (ADSS 09/2009  ) / Nguyễn Văn Tạo</t>
        </is>
      </c>
      <c r="C90" t="n">
        <v>14</v>
      </c>
      <c r="D90" t="inlineStr"/>
      <c r="E90" t="inlineStr">
        <is>
          <t>CRAN HNB072</t>
        </is>
      </c>
      <c r="F90" t="n">
        <v>151</v>
      </c>
      <c r="G90" t="inlineStr"/>
      <c r="H90" t="inlineStr"/>
      <c r="I90" t="inlineStr"/>
      <c r="J90" t="inlineStr"/>
      <c r="K90" t="inlineStr"/>
    </row>
    <row r="91">
      <c r="A91" t="inlineStr">
        <is>
          <t>phai</t>
        </is>
      </c>
      <c r="B91" t="inlineStr">
        <is>
          <t>ODF-02 (ADSS 09/2009  ) / Nguyễn Văn Tạo</t>
        </is>
      </c>
      <c r="C91" t="n">
        <v>15</v>
      </c>
      <c r="D91" t="inlineStr"/>
      <c r="E91" t="inlineStr">
        <is>
          <t>CRAN HNB072</t>
        </is>
      </c>
      <c r="F91" t="n">
        <v>151</v>
      </c>
      <c r="G91" t="inlineStr">
        <is>
          <t>~</t>
        </is>
      </c>
      <c r="H91" t="inlineStr"/>
      <c r="I91" t="inlineStr"/>
      <c r="J91" t="inlineStr"/>
      <c r="K91" t="inlineStr"/>
    </row>
    <row r="92">
      <c r="A92" t="inlineStr">
        <is>
          <t>phai</t>
        </is>
      </c>
      <c r="B92" t="inlineStr">
        <is>
          <t>ODF-02 (ADSS 09/2009  ) / Nguyễn Văn Tạo</t>
        </is>
      </c>
      <c r="C92" t="n">
        <v>16</v>
      </c>
      <c r="D92" t="inlineStr"/>
      <c r="E92" t="inlineStr">
        <is>
          <t>CRAN HNB072</t>
        </is>
      </c>
      <c r="F92" t="n">
        <v>151</v>
      </c>
      <c r="G92" t="inlineStr"/>
      <c r="H92" t="inlineStr"/>
      <c r="I92" t="inlineStr"/>
      <c r="J92" t="inlineStr"/>
      <c r="K92" t="inlineStr"/>
    </row>
    <row r="93">
      <c r="A93" t="inlineStr">
        <is>
          <t>phai</t>
        </is>
      </c>
      <c r="B93" t="inlineStr">
        <is>
          <t>ODF-02 (ADSS 09/2009  ) / Nguyễn Văn Tạo</t>
        </is>
      </c>
      <c r="C93" t="n">
        <v>17</v>
      </c>
      <c r="D93" t="inlineStr"/>
      <c r="E93" t="inlineStr">
        <is>
          <t>CRAN HNB072</t>
        </is>
      </c>
      <c r="F93" t="n">
        <v>151</v>
      </c>
      <c r="G93" t="inlineStr">
        <is>
          <t>~</t>
        </is>
      </c>
      <c r="H93" t="inlineStr"/>
      <c r="I93" t="inlineStr"/>
      <c r="J93" t="inlineStr"/>
      <c r="K93" t="inlineStr"/>
    </row>
    <row r="94">
      <c r="A94" t="inlineStr">
        <is>
          <t>phai</t>
        </is>
      </c>
      <c r="B94" t="inlineStr">
        <is>
          <t>ODF-02 (ADSS 09/2009  ) / Nguyễn Văn Tạo</t>
        </is>
      </c>
      <c r="C94" t="n">
        <v>18</v>
      </c>
      <c r="D94" t="inlineStr"/>
      <c r="E94" t="inlineStr">
        <is>
          <t>CRAN HNB072</t>
        </is>
      </c>
      <c r="F94" t="n">
        <v>151</v>
      </c>
      <c r="G94" t="inlineStr"/>
      <c r="H94" t="inlineStr"/>
      <c r="I94" t="inlineStr"/>
      <c r="J94" t="inlineStr"/>
      <c r="K94" t="inlineStr"/>
    </row>
    <row r="95">
      <c r="A95" t="inlineStr">
        <is>
          <t>phai</t>
        </is>
      </c>
      <c r="B95" t="inlineStr">
        <is>
          <t>ODF-02 (ADSS 09/2009  ) / Nguyễn Văn Tạo</t>
        </is>
      </c>
      <c r="C95" t="n">
        <v>19</v>
      </c>
      <c r="D95" t="inlineStr"/>
      <c r="E95" t="inlineStr">
        <is>
          <t>AGG12</t>
        </is>
      </c>
      <c r="F95" t="n">
        <v>151</v>
      </c>
      <c r="G95" t="inlineStr">
        <is>
          <t>hư</t>
        </is>
      </c>
      <c r="H95" t="inlineStr">
        <is>
          <t>~</t>
        </is>
      </c>
      <c r="I95" t="inlineStr"/>
      <c r="J95" t="inlineStr"/>
      <c r="K95" t="inlineStr"/>
    </row>
    <row r="96">
      <c r="A96" t="inlineStr">
        <is>
          <t>phai</t>
        </is>
      </c>
      <c r="B96" t="inlineStr">
        <is>
          <t>ODF-02 (ADSS 09/2009  ) / Nguyễn Văn Tạo</t>
        </is>
      </c>
      <c r="C96" t="n">
        <v>20</v>
      </c>
      <c r="D96" t="inlineStr"/>
      <c r="E96" t="inlineStr">
        <is>
          <t>AGG12</t>
        </is>
      </c>
      <c r="F96" t="n">
        <v>151</v>
      </c>
      <c r="G96" t="inlineStr">
        <is>
          <t>hư</t>
        </is>
      </c>
      <c r="H96" t="inlineStr"/>
      <c r="I96" t="inlineStr"/>
      <c r="J96" t="inlineStr"/>
      <c r="K96" t="inlineStr"/>
    </row>
    <row r="97">
      <c r="A97" t="inlineStr">
        <is>
          <t>phai</t>
        </is>
      </c>
      <c r="B97" t="inlineStr">
        <is>
          <t>ODF-02 (ADSS 09/2009  ) / Nguyễn Văn Tạo</t>
        </is>
      </c>
      <c r="C97" t="n">
        <v>21</v>
      </c>
      <c r="D97" t="inlineStr"/>
      <c r="E97" t="inlineStr">
        <is>
          <t>AGG12</t>
        </is>
      </c>
      <c r="F97" t="n">
        <v>151</v>
      </c>
      <c r="G97" t="inlineStr">
        <is>
          <t>hư</t>
        </is>
      </c>
      <c r="H97" t="inlineStr">
        <is>
          <t>~</t>
        </is>
      </c>
      <c r="I97" t="inlineStr"/>
      <c r="J97" t="inlineStr"/>
      <c r="K97" t="inlineStr"/>
    </row>
    <row r="98">
      <c r="A98" t="inlineStr">
        <is>
          <t>phai</t>
        </is>
      </c>
      <c r="B98" t="inlineStr">
        <is>
          <t>ODF-02 (ADSS 09/2009  ) / Nguyễn Văn Tạo</t>
        </is>
      </c>
      <c r="C98" t="n">
        <v>22</v>
      </c>
      <c r="D98" t="inlineStr"/>
      <c r="E98" t="inlineStr">
        <is>
          <t>AGG12</t>
        </is>
      </c>
      <c r="F98" t="n">
        <v>151</v>
      </c>
      <c r="G98" t="inlineStr">
        <is>
          <t>hư</t>
        </is>
      </c>
      <c r="H98" t="inlineStr"/>
      <c r="I98" t="inlineStr"/>
      <c r="J98" t="inlineStr"/>
      <c r="K98" t="inlineStr"/>
    </row>
    <row r="99">
      <c r="A99" t="inlineStr">
        <is>
          <t>phai</t>
        </is>
      </c>
      <c r="B99" t="inlineStr">
        <is>
          <t>ODF-02 (ADSS 09/2009  ) / Nguyễn Văn Tạo</t>
        </is>
      </c>
      <c r="C99" t="n">
        <v>23</v>
      </c>
      <c r="D99" t="inlineStr"/>
      <c r="E99" t="inlineStr">
        <is>
          <t>AGG12</t>
        </is>
      </c>
      <c r="F99" t="n">
        <v>151</v>
      </c>
      <c r="G99" t="inlineStr">
        <is>
          <t>hư</t>
        </is>
      </c>
      <c r="H99" t="inlineStr">
        <is>
          <t>~</t>
        </is>
      </c>
      <c r="I99" t="inlineStr"/>
      <c r="J99" t="inlineStr"/>
      <c r="K99" t="inlineStr"/>
    </row>
    <row r="100">
      <c r="A100" t="inlineStr">
        <is>
          <t>phai</t>
        </is>
      </c>
      <c r="B100" t="inlineStr">
        <is>
          <t>ODF-02 (ADSS 09/2009  ) / Nguyễn Văn Tạo</t>
        </is>
      </c>
      <c r="C100" t="n">
        <v>24</v>
      </c>
      <c r="D100" t="inlineStr"/>
      <c r="E100" t="inlineStr">
        <is>
          <t>AGG12</t>
        </is>
      </c>
      <c r="F100" t="n">
        <v>151</v>
      </c>
      <c r="G100" t="inlineStr">
        <is>
          <t>hư</t>
        </is>
      </c>
      <c r="H100" t="inlineStr"/>
      <c r="I100" t="inlineStr"/>
      <c r="J100" t="inlineStr"/>
      <c r="K100" t="inlineStr"/>
    </row>
  </sheetData>
  <pageMargins left="0.75" right="0.75" top="1" bottom="1" header="0.5" footer="0.5"/>
  <pageSetup orientation="landscape" fitToHeight="0" fitToWidth="1"/>
</worksheet>
</file>

<file path=xl/worksheets/sheet20.xml><?xml version="1.0" encoding="utf-8"?>
<worksheet xmlns="http://schemas.openxmlformats.org/spreadsheetml/2006/main">
  <sheetPr>
    <outlinePr summaryBelow="1" summaryRight="1"/>
    <pageSetUpPr fitToPage="1"/>
  </sheetPr>
  <dimension ref="A1:I82"/>
  <sheetViews>
    <sheetView showGridLines="0" workbookViewId="0">
      <pane ySplit="4" topLeftCell="A5" activePane="bottomLeft" state="frozen"/>
      <selection pane="bottomLeft" activeCell="A1" sqref="A1"/>
    </sheetView>
  </sheetViews>
  <sheetFormatPr baseColWidth="8" defaultRowHeight="15"/>
  <cols>
    <col width="5" customWidth="1" min="1" max="1"/>
    <col width="28" customWidth="1" min="2" max="2"/>
    <col width="28" customWidth="1" min="3" max="3"/>
    <col width="9" customWidth="1" min="4" max="4"/>
    <col width="9" customWidth="1" min="5" max="5"/>
    <col width="22" customWidth="1" min="6" max="6"/>
    <col width="8" customWidth="1" min="7" max="7"/>
    <col width="10" customWidth="1" min="8" max="8"/>
    <col width="50" customWidth="1" min="9" max="9"/>
  </cols>
  <sheetData>
    <row r="1">
      <c r="A1" s="1" t="inlineStr">
        <is>
          <t>Danh sách cáp theo sổ "độ dài cáp Nhà Bè"</t>
        </is>
      </c>
    </row>
    <row r="2">
      <c r="A2" s="2" t="inlineStr">
        <is>
          <t>Đầu/cuối là măng xông hoặc trạm; độ dài mét; cột cs = chỉ số mét ở hai đầu cáp (nhiều ô trống: cần bổ sung để đổi OTDR ↔ vị trí).</t>
        </is>
      </c>
    </row>
    <row r="4" ht="32" customHeight="1">
      <c r="A4" s="3" t="inlineStr">
        <is>
          <t>STT</t>
        </is>
      </c>
      <c r="B4" s="3" t="inlineStr">
        <is>
          <t>Đầu</t>
        </is>
      </c>
      <c r="C4" s="3" t="inlineStr">
        <is>
          <t>Cuối</t>
        </is>
      </c>
      <c r="D4" s="3" t="inlineStr">
        <is>
          <t>cs đầu</t>
        </is>
      </c>
      <c r="E4" s="3" t="inlineStr">
        <is>
          <t>cs cuối</t>
        </is>
      </c>
      <c r="F4" s="3" t="inlineStr">
        <is>
          <t>Mã cáp</t>
        </is>
      </c>
      <c r="G4" s="3" t="inlineStr">
        <is>
          <t>Số FO</t>
        </is>
      </c>
      <c r="H4" s="3" t="inlineStr">
        <is>
          <t>Dài (m)</t>
        </is>
      </c>
      <c r="I4" s="3" t="inlineStr">
        <is>
          <t>Ghi chú</t>
        </is>
      </c>
    </row>
    <row r="5">
      <c r="A5" s="4" t="n">
        <v>1</v>
      </c>
      <c r="B5" s="4" t="inlineStr">
        <is>
          <t>MX cầu Phú Xuân</t>
        </is>
      </c>
      <c r="C5" s="4" t="inlineStr">
        <is>
          <t>HNB066</t>
        </is>
      </c>
      <c r="D5" s="4" t="inlineStr"/>
      <c r="E5" s="4" t="n">
        <v>1814</v>
      </c>
      <c r="F5" s="4" t="inlineStr">
        <is>
          <t>POSTEF 2016</t>
        </is>
      </c>
      <c r="G5" s="4" t="n">
        <v>8</v>
      </c>
      <c r="H5" s="4" t="n">
        <v>150</v>
      </c>
      <c r="I5" s="4" t="inlineStr"/>
    </row>
    <row r="6">
      <c r="A6" s="4" t="n">
        <v>2</v>
      </c>
      <c r="B6" s="4" t="inlineStr">
        <is>
          <t>MX cầu Phú Xuân</t>
        </is>
      </c>
      <c r="C6" s="4" t="inlineStr">
        <is>
          <t>MX hẽm 1806</t>
        </is>
      </c>
      <c r="D6" s="4" t="inlineStr"/>
      <c r="E6" s="4" t="inlineStr"/>
      <c r="F6" s="4" t="inlineStr"/>
      <c r="G6" s="4" t="n">
        <v>12</v>
      </c>
      <c r="H6" s="4" t="n">
        <v>533</v>
      </c>
      <c r="I6" s="4" t="inlineStr"/>
    </row>
    <row r="7">
      <c r="A7" s="4" t="n">
        <v>3</v>
      </c>
      <c r="B7" s="4" t="inlineStr">
        <is>
          <t>MX hẽm 1806</t>
        </is>
      </c>
      <c r="C7" s="4" t="inlineStr">
        <is>
          <t>MX nhập dài SG mới</t>
        </is>
      </c>
      <c r="D7" s="4" t="inlineStr"/>
      <c r="E7" s="4" t="n">
        <v>4000</v>
      </c>
      <c r="F7" s="4" t="inlineStr">
        <is>
          <t>FOCAL</t>
        </is>
      </c>
      <c r="G7" s="4" t="n">
        <v>12</v>
      </c>
      <c r="H7" s="4" t="n">
        <v>1704</v>
      </c>
      <c r="I7" s="4" t="inlineStr"/>
    </row>
    <row r="8">
      <c r="A8" s="4" t="n">
        <v>4</v>
      </c>
      <c r="B8" s="4" t="inlineStr">
        <is>
          <t>HNB066</t>
        </is>
      </c>
      <c r="C8" s="4" t="inlineStr">
        <is>
          <t>MX</t>
        </is>
      </c>
      <c r="D8" s="4" t="n">
        <v>5109</v>
      </c>
      <c r="E8" s="4" t="inlineStr"/>
      <c r="F8" s="4" t="inlineStr">
        <is>
          <t>VDF</t>
        </is>
      </c>
      <c r="G8" s="4" t="n">
        <v>8</v>
      </c>
      <c r="H8" s="4" t="n">
        <v>200</v>
      </c>
      <c r="I8" s="4" t="inlineStr"/>
    </row>
    <row r="9">
      <c r="A9" s="4" t="n">
        <v>5</v>
      </c>
      <c r="B9" s="4" t="inlineStr">
        <is>
          <t>MX</t>
        </is>
      </c>
      <c r="C9" s="4" t="inlineStr">
        <is>
          <t>HNB016</t>
        </is>
      </c>
      <c r="D9" s="4" t="inlineStr"/>
      <c r="E9" s="4" t="n">
        <v>2958</v>
      </c>
      <c r="F9" s="4" t="inlineStr">
        <is>
          <t>POSTEF 2017</t>
        </is>
      </c>
      <c r="G9" s="4" t="n">
        <v>8</v>
      </c>
      <c r="H9" s="4" t="n">
        <v>300</v>
      </c>
      <c r="I9" s="4" t="inlineStr"/>
    </row>
    <row r="10">
      <c r="A10" s="4" t="n">
        <v>6</v>
      </c>
      <c r="B10" s="4" t="inlineStr">
        <is>
          <t>HNB016</t>
        </is>
      </c>
      <c r="C10" s="4" t="inlineStr">
        <is>
          <t>HNB038</t>
        </is>
      </c>
      <c r="D10" s="4" t="n">
        <v>991</v>
      </c>
      <c r="E10" s="4" t="n">
        <v>395</v>
      </c>
      <c r="F10" s="4" t="inlineStr">
        <is>
          <t>RECOIN 12/2016</t>
        </is>
      </c>
      <c r="G10" s="4" t="n">
        <v>4</v>
      </c>
      <c r="H10" s="4" t="n">
        <v>600</v>
      </c>
      <c r="I10" s="4" t="inlineStr"/>
    </row>
    <row r="11">
      <c r="A11" s="4" t="n">
        <v>7</v>
      </c>
      <c r="B11" s="4" t="inlineStr">
        <is>
          <t>HNB038</t>
        </is>
      </c>
      <c r="C11" s="4" t="inlineStr">
        <is>
          <t>MX hẽm 1806</t>
        </is>
      </c>
      <c r="D11" s="4" t="n">
        <v>1948</v>
      </c>
      <c r="E11" s="4" t="inlineStr"/>
      <c r="F11" s="4" t="inlineStr">
        <is>
          <t>POSTEF 1/2019</t>
        </is>
      </c>
      <c r="G11" s="4" t="n">
        <v>8</v>
      </c>
      <c r="H11" s="4" t="n">
        <v>714</v>
      </c>
      <c r="I11" s="4" t="inlineStr"/>
    </row>
    <row r="12">
      <c r="A12" s="4" t="n">
        <v>8</v>
      </c>
      <c r="B12" s="4" t="inlineStr">
        <is>
          <t>MX hẽm 1806</t>
        </is>
      </c>
      <c r="C12" s="4" t="inlineStr">
        <is>
          <t>HNB005</t>
        </is>
      </c>
      <c r="D12" s="4" t="inlineStr"/>
      <c r="E12" s="4" t="n">
        <v>1590</v>
      </c>
      <c r="F12" s="4" t="inlineStr">
        <is>
          <t>VINA-OFC 2016</t>
        </is>
      </c>
      <c r="G12" s="4" t="n">
        <v>8</v>
      </c>
      <c r="H12" s="4" t="n">
        <v>449</v>
      </c>
      <c r="I12" s="4" t="inlineStr"/>
    </row>
    <row r="13">
      <c r="A13" s="4" t="n">
        <v>9</v>
      </c>
      <c r="B13" s="4" t="inlineStr">
        <is>
          <t>HNB005</t>
        </is>
      </c>
      <c r="C13" s="4" t="inlineStr">
        <is>
          <t>HNB062</t>
        </is>
      </c>
      <c r="D13" s="4" t="n">
        <v>1</v>
      </c>
      <c r="E13" s="4" t="n">
        <v>1248</v>
      </c>
      <c r="F13" s="4" t="inlineStr">
        <is>
          <t>POSTEF 1/2019</t>
        </is>
      </c>
      <c r="G13" s="4" t="n">
        <v>8</v>
      </c>
      <c r="H13" s="4" t="n">
        <v>1268</v>
      </c>
      <c r="I13" s="4" t="inlineStr"/>
    </row>
    <row r="14">
      <c r="A14" s="4" t="n">
        <v>10</v>
      </c>
      <c r="B14" s="4" t="inlineStr">
        <is>
          <t>HNB062</t>
        </is>
      </c>
      <c r="C14" s="4" t="inlineStr">
        <is>
          <t>MX</t>
        </is>
      </c>
      <c r="D14" s="4" t="n">
        <v>4065</v>
      </c>
      <c r="E14" s="4" t="n">
        <v>3829</v>
      </c>
      <c r="F14" s="4" t="inlineStr">
        <is>
          <t>ETCC-2009</t>
        </is>
      </c>
      <c r="G14" s="4" t="n">
        <v>8</v>
      </c>
      <c r="H14" s="4" t="n">
        <v>236</v>
      </c>
      <c r="I14" s="4" t="inlineStr"/>
    </row>
    <row r="15">
      <c r="A15" s="4" t="n">
        <v>11</v>
      </c>
      <c r="B15" s="4" t="inlineStr">
        <is>
          <t>MX</t>
        </is>
      </c>
      <c r="C15" s="4" t="inlineStr">
        <is>
          <t>HNB021</t>
        </is>
      </c>
      <c r="D15" s="4" t="n">
        <v>134</v>
      </c>
      <c r="E15" s="4" t="n">
        <v>911</v>
      </c>
      <c r="F15" s="4" t="inlineStr">
        <is>
          <t>FIBERHOME AERIAL</t>
        </is>
      </c>
      <c r="G15" s="4" t="n">
        <v>8</v>
      </c>
      <c r="H15" s="4" t="n">
        <v>777</v>
      </c>
      <c r="I15" s="4" t="inlineStr"/>
    </row>
    <row r="16">
      <c r="A16" s="4" t="n">
        <v>12</v>
      </c>
      <c r="B16" s="4" t="inlineStr">
        <is>
          <t>HNB021</t>
        </is>
      </c>
      <c r="C16" s="4" t="inlineStr">
        <is>
          <t>MX</t>
        </is>
      </c>
      <c r="D16" s="4" t="n">
        <v>2888</v>
      </c>
      <c r="E16" s="4" t="inlineStr"/>
      <c r="F16" s="4" t="inlineStr">
        <is>
          <t>VINACAP</t>
        </is>
      </c>
      <c r="G16" s="4" t="n">
        <v>8</v>
      </c>
      <c r="H16" s="4" t="n">
        <v>660</v>
      </c>
      <c r="I16" s="4" t="inlineStr"/>
    </row>
    <row r="17">
      <c r="A17" s="4" t="n">
        <v>13</v>
      </c>
      <c r="B17" s="4" t="inlineStr">
        <is>
          <t>MX</t>
        </is>
      </c>
      <c r="C17" s="4" t="inlineStr">
        <is>
          <t>HNB013</t>
        </is>
      </c>
      <c r="D17" s="4" t="inlineStr"/>
      <c r="E17" s="4" t="n">
        <v>4645</v>
      </c>
      <c r="F17" s="4" t="inlineStr">
        <is>
          <t>ETCC-2009</t>
        </is>
      </c>
      <c r="G17" s="4" t="n">
        <v>8</v>
      </c>
      <c r="H17" s="4" t="n">
        <v>320</v>
      </c>
      <c r="I17" s="4" t="inlineStr"/>
    </row>
    <row r="18">
      <c r="A18" s="4" t="n">
        <v>14</v>
      </c>
      <c r="B18" s="4" t="inlineStr">
        <is>
          <t>HNB013</t>
        </is>
      </c>
      <c r="C18" s="4" t="inlineStr">
        <is>
          <t>MX nhập dài SG mới</t>
        </is>
      </c>
      <c r="D18" s="4" t="n">
        <v>1281</v>
      </c>
      <c r="E18" s="4" t="n">
        <v>860</v>
      </c>
      <c r="F18" s="4" t="inlineStr">
        <is>
          <t>POSTEF 2017</t>
        </is>
      </c>
      <c r="G18" s="4" t="n">
        <v>8</v>
      </c>
      <c r="H18" s="4" t="n">
        <v>430</v>
      </c>
      <c r="I18" s="4" t="inlineStr"/>
    </row>
    <row r="19">
      <c r="A19" s="4" t="n">
        <v>15</v>
      </c>
      <c r="B19" s="4" t="inlineStr">
        <is>
          <t>MX nhập dài SG mới</t>
        </is>
      </c>
      <c r="C19" s="4" t="inlineStr">
        <is>
          <t>KDC SG mới</t>
        </is>
      </c>
      <c r="D19" s="4" t="n">
        <v>1570</v>
      </c>
      <c r="E19" s="4" t="n">
        <v>1816</v>
      </c>
      <c r="F19" s="4" t="inlineStr">
        <is>
          <t>POSTEF</t>
        </is>
      </c>
      <c r="G19" s="4" t="n">
        <v>24</v>
      </c>
      <c r="H19" s="4" t="n">
        <v>256</v>
      </c>
      <c r="I19" s="4" t="inlineStr"/>
    </row>
    <row r="20">
      <c r="A20" s="4" t="n">
        <v>16</v>
      </c>
      <c r="B20" s="4" t="inlineStr">
        <is>
          <t>MX nhập dài SG mới</t>
        </is>
      </c>
      <c r="C20" s="4" t="inlineStr">
        <is>
          <t>KDC SG mới</t>
        </is>
      </c>
      <c r="D20" s="4" t="n">
        <v>1550</v>
      </c>
      <c r="E20" s="4" t="n">
        <v>1288</v>
      </c>
      <c r="F20" s="4" t="inlineStr">
        <is>
          <t>POSTEF</t>
        </is>
      </c>
      <c r="G20" s="4" t="n">
        <v>24</v>
      </c>
      <c r="H20" s="4" t="n">
        <v>260</v>
      </c>
      <c r="I20" s="4" t="inlineStr"/>
    </row>
    <row r="21">
      <c r="A21" s="4" t="n">
        <v>17</v>
      </c>
      <c r="B21" s="4" t="inlineStr">
        <is>
          <t>MX nhập dài SG mới</t>
        </is>
      </c>
      <c r="C21" s="4" t="inlineStr">
        <is>
          <t>MX</t>
        </is>
      </c>
      <c r="D21" s="4" t="inlineStr"/>
      <c r="E21" s="4" t="inlineStr"/>
      <c r="F21" s="4" t="inlineStr"/>
      <c r="G21" s="4" t="n">
        <v>12</v>
      </c>
      <c r="H21" s="4" t="n">
        <v>640</v>
      </c>
      <c r="I21" s="4" t="inlineStr"/>
    </row>
    <row r="22">
      <c r="A22" s="4" t="n">
        <v>18</v>
      </c>
      <c r="B22" s="4" t="inlineStr">
        <is>
          <t>MX</t>
        </is>
      </c>
      <c r="C22" s="4" t="inlineStr">
        <is>
          <t>MX ngã ba NB-HTP</t>
        </is>
      </c>
      <c r="D22" s="4" t="inlineStr"/>
      <c r="E22" s="4" t="inlineStr"/>
      <c r="F22" s="4" t="inlineStr"/>
      <c r="G22" s="4" t="n">
        <v>12</v>
      </c>
      <c r="H22" s="4" t="n">
        <v>777</v>
      </c>
      <c r="I22" s="4" t="inlineStr"/>
    </row>
    <row r="23">
      <c r="A23" s="4" t="n">
        <v>19</v>
      </c>
      <c r="B23" s="4" t="inlineStr">
        <is>
          <t>MX ngã ba NB-HTP</t>
        </is>
      </c>
      <c r="C23" s="4" t="inlineStr">
        <is>
          <t>MX đầu hẽm 226 NB</t>
        </is>
      </c>
      <c r="D23" s="4" t="inlineStr"/>
      <c r="E23" s="4" t="inlineStr"/>
      <c r="F23" s="4" t="inlineStr"/>
      <c r="G23" s="4" t="n">
        <v>12</v>
      </c>
      <c r="H23" s="4" t="n">
        <v>1092</v>
      </c>
      <c r="I23" s="4" t="inlineStr"/>
    </row>
    <row r="24">
      <c r="A24" s="4" t="n">
        <v>20</v>
      </c>
      <c r="B24" s="4" t="inlineStr">
        <is>
          <t>MX đầu hẽm 226 NB</t>
        </is>
      </c>
      <c r="C24" s="4" t="inlineStr">
        <is>
          <t>MX ngã ba Phạm Thị Kỳ</t>
        </is>
      </c>
      <c r="D24" s="4" t="inlineStr"/>
      <c r="E24" s="4" t="inlineStr"/>
      <c r="F24" s="4" t="inlineStr"/>
      <c r="G24" s="4" t="n">
        <v>12</v>
      </c>
      <c r="H24" s="4" t="n">
        <v>1408</v>
      </c>
      <c r="I24" s="4" t="inlineStr"/>
    </row>
    <row r="25">
      <c r="A25" s="4" t="n">
        <v>21</v>
      </c>
      <c r="B25" s="4" t="inlineStr">
        <is>
          <t>MX ngã ba Phạm Thị Kỳ</t>
        </is>
      </c>
      <c r="C25" s="4" t="inlineStr">
        <is>
          <t>MX nhập đài Long Thới- NB</t>
        </is>
      </c>
      <c r="D25" s="4" t="inlineStr"/>
      <c r="E25" s="4" t="inlineStr"/>
      <c r="F25" s="4" t="inlineStr"/>
      <c r="G25" s="4" t="n">
        <v>12</v>
      </c>
      <c r="H25" s="4" t="n">
        <v>1040</v>
      </c>
      <c r="I25" s="4" t="inlineStr"/>
    </row>
    <row r="26">
      <c r="A26" s="4" t="n">
        <v>22</v>
      </c>
      <c r="B26" s="4" t="inlineStr">
        <is>
          <t>MX ngã ba NB-HTP</t>
        </is>
      </c>
      <c r="C26" s="4" t="inlineStr">
        <is>
          <t>HNB020</t>
        </is>
      </c>
      <c r="D26" s="4" t="inlineStr"/>
      <c r="E26" s="4" t="n">
        <v>2470</v>
      </c>
      <c r="F26" s="4" t="inlineStr">
        <is>
          <t>FOCAL 2020</t>
        </is>
      </c>
      <c r="G26" s="4" t="n">
        <v>6</v>
      </c>
      <c r="H26" s="4" t="n">
        <v>716</v>
      </c>
      <c r="I26" s="4" t="inlineStr"/>
    </row>
    <row r="27">
      <c r="A27" s="4" t="n">
        <v>23</v>
      </c>
      <c r="B27" s="4" t="inlineStr">
        <is>
          <t>HNB020</t>
        </is>
      </c>
      <c r="C27" s="4" t="inlineStr">
        <is>
          <t>HNB031</t>
        </is>
      </c>
      <c r="D27" s="4" t="n">
        <v>1476</v>
      </c>
      <c r="E27" s="4" t="n">
        <v>312</v>
      </c>
      <c r="F27" s="4" t="inlineStr">
        <is>
          <t>FOCAL 2020</t>
        </is>
      </c>
      <c r="G27" s="4" t="n">
        <v>6</v>
      </c>
      <c r="H27" s="4" t="n">
        <v>1178</v>
      </c>
      <c r="I27" s="4" t="inlineStr"/>
    </row>
    <row r="28">
      <c r="A28" s="4" t="n">
        <v>24</v>
      </c>
      <c r="B28" s="4" t="inlineStr">
        <is>
          <t>MX ngã ba NB-HTP</t>
        </is>
      </c>
      <c r="C28" s="4" t="inlineStr">
        <is>
          <t>HNB031</t>
        </is>
      </c>
      <c r="D28" s="4" t="inlineStr"/>
      <c r="E28" s="4" t="n">
        <v>883</v>
      </c>
      <c r="F28" s="4" t="inlineStr">
        <is>
          <t>FOCAL 2020</t>
        </is>
      </c>
      <c r="G28" s="4" t="n">
        <v>6</v>
      </c>
      <c r="H28" s="4" t="n">
        <v>1618</v>
      </c>
      <c r="I28" s="4" t="inlineStr"/>
    </row>
    <row r="29">
      <c r="A29" s="4" t="n">
        <v>25</v>
      </c>
      <c r="B29" s="4" t="inlineStr">
        <is>
          <t>MX đầu hẽm 226 NB</t>
        </is>
      </c>
      <c r="C29" s="4" t="inlineStr">
        <is>
          <t>HNB027</t>
        </is>
      </c>
      <c r="D29" s="4" t="inlineStr"/>
      <c r="E29" s="4" t="inlineStr"/>
      <c r="F29" s="4" t="inlineStr">
        <is>
          <t>FOCAL 2020</t>
        </is>
      </c>
      <c r="G29" s="4" t="n">
        <v>6</v>
      </c>
      <c r="H29" s="4" t="n">
        <v>190</v>
      </c>
      <c r="I29" s="4" t="inlineStr"/>
    </row>
    <row r="30">
      <c r="A30" s="4" t="n">
        <v>26</v>
      </c>
      <c r="B30" s="4" t="inlineStr">
        <is>
          <t>HNB027</t>
        </is>
      </c>
      <c r="C30" s="4" t="inlineStr">
        <is>
          <t>HNB024</t>
        </is>
      </c>
      <c r="D30" s="4" t="inlineStr"/>
      <c r="E30" s="4" t="n">
        <v>1482</v>
      </c>
      <c r="F30" s="4" t="inlineStr">
        <is>
          <t>FOCAL 2020</t>
        </is>
      </c>
      <c r="G30" s="4" t="n">
        <v>6</v>
      </c>
      <c r="H30" s="4" t="n">
        <v>860</v>
      </c>
      <c r="I30" s="4" t="inlineStr"/>
    </row>
    <row r="31">
      <c r="A31" s="4" t="n">
        <v>27</v>
      </c>
      <c r="B31" s="4" t="inlineStr">
        <is>
          <t>HNB024</t>
        </is>
      </c>
      <c r="C31" s="4" t="inlineStr">
        <is>
          <t>HNB086</t>
        </is>
      </c>
      <c r="D31" s="4" t="n">
        <v>2000</v>
      </c>
      <c r="E31" s="4" t="n">
        <v>4000</v>
      </c>
      <c r="F31" s="4" t="inlineStr">
        <is>
          <t>FOCAL 2020</t>
        </is>
      </c>
      <c r="G31" s="4" t="n">
        <v>6</v>
      </c>
      <c r="H31" s="4" t="n">
        <v>2013</v>
      </c>
      <c r="I31" s="4" t="inlineStr"/>
    </row>
    <row r="32">
      <c r="A32" s="4" t="n">
        <v>28</v>
      </c>
      <c r="B32" s="4" t="inlineStr">
        <is>
          <t>HNB086</t>
        </is>
      </c>
      <c r="C32" s="4" t="inlineStr">
        <is>
          <t>MX ngã ba Phạm Thị Kỳ</t>
        </is>
      </c>
      <c r="D32" s="4" t="n">
        <v>4000</v>
      </c>
      <c r="E32" s="4" t="inlineStr"/>
      <c r="F32" s="4" t="inlineStr">
        <is>
          <t>FOCAL 2020</t>
        </is>
      </c>
      <c r="G32" s="4" t="n">
        <v>6</v>
      </c>
      <c r="H32" s="4" t="n">
        <v>1678</v>
      </c>
      <c r="I32" s="4" t="inlineStr"/>
    </row>
    <row r="33">
      <c r="A33" s="4" t="n">
        <v>29</v>
      </c>
      <c r="B33" s="4" t="inlineStr">
        <is>
          <t>VNPT Long Thới</t>
        </is>
      </c>
      <c r="C33" s="4" t="inlineStr">
        <is>
          <t>MX nhập đài Long Thới- NB</t>
        </is>
      </c>
      <c r="D33" s="4" t="n">
        <v>3027</v>
      </c>
      <c r="E33" s="4" t="inlineStr"/>
      <c r="F33" s="4" t="inlineStr">
        <is>
          <t>POSTEF 11/2016</t>
        </is>
      </c>
      <c r="G33" s="4" t="n">
        <v>24</v>
      </c>
      <c r="H33" s="4" t="n">
        <v>345</v>
      </c>
      <c r="I33" s="4" t="inlineStr"/>
    </row>
    <row r="34">
      <c r="A34" s="4" t="n">
        <v>30</v>
      </c>
      <c r="B34" s="4" t="inlineStr">
        <is>
          <t>VNPT Long Thới</t>
        </is>
      </c>
      <c r="C34" s="4" t="inlineStr">
        <is>
          <t>MX nhập đài Long Thới- NVT</t>
        </is>
      </c>
      <c r="D34" s="4" t="inlineStr"/>
      <c r="E34" s="4" t="inlineStr"/>
      <c r="F34" s="4" t="inlineStr">
        <is>
          <t>ADSS 9/2009</t>
        </is>
      </c>
      <c r="G34" s="4" t="n">
        <v>24</v>
      </c>
      <c r="H34" s="4" t="n">
        <v>150</v>
      </c>
      <c r="I34" s="4" t="inlineStr"/>
    </row>
    <row r="35">
      <c r="A35" s="4" t="n">
        <v>31</v>
      </c>
      <c r="B35" s="4" t="inlineStr">
        <is>
          <t>MX nhập đài Long Thới- NB</t>
        </is>
      </c>
      <c r="C35" s="4" t="inlineStr">
        <is>
          <t>MX ngã tư LVL-Nguyễn Bình</t>
        </is>
      </c>
      <c r="D35" s="4" t="inlineStr"/>
      <c r="E35" s="4" t="inlineStr"/>
      <c r="F35" s="4" t="inlineStr">
        <is>
          <t>TPKL Postef 11/2016</t>
        </is>
      </c>
      <c r="G35" s="4" t="n">
        <v>24</v>
      </c>
      <c r="H35" s="4" t="n">
        <v>3236</v>
      </c>
      <c r="I35" s="4" t="inlineStr">
        <is>
          <t>Mx4 đầu ngbinh+lvl tpkl LT 24 póttes 11/2016 TL,  12 tpkl1 LT2 9/2019 đst 1375x. , 12 tpkl posted 7/2016 1580x, 12 acf8 sametel 2015 2855x lvl -phlau</t>
        </is>
      </c>
    </row>
    <row r="36">
      <c r="A36" s="4" t="n">
        <v>32</v>
      </c>
      <c r="B36" s="4" t="inlineStr">
        <is>
          <t>MX ngã tư LVL-Nguyễn Bình</t>
        </is>
      </c>
      <c r="C36" s="4" t="inlineStr">
        <is>
          <t>MX đầu hẽm 1534 LVL</t>
        </is>
      </c>
      <c r="D36" s="4" t="inlineStr"/>
      <c r="E36" s="4" t="inlineStr"/>
      <c r="F36" s="4" t="inlineStr"/>
      <c r="G36" s="4" t="n">
        <v>12</v>
      </c>
      <c r="H36" s="4" t="n">
        <v>667</v>
      </c>
      <c r="I36" s="4" t="inlineStr"/>
    </row>
    <row r="37">
      <c r="A37" s="4" t="n">
        <v>33</v>
      </c>
      <c r="B37" s="4" t="inlineStr">
        <is>
          <t>MX đầu hẽm 1534 LVL</t>
        </is>
      </c>
      <c r="C37" s="4" t="inlineStr">
        <is>
          <t>MX ngã ba Phạm Hữu Lầu</t>
        </is>
      </c>
      <c r="D37" s="4" t="n">
        <v>7426</v>
      </c>
      <c r="E37" s="4" t="inlineStr"/>
      <c r="F37" s="4" t="inlineStr">
        <is>
          <t>SAMTEL 3/2015</t>
        </is>
      </c>
      <c r="G37" s="4" t="n">
        <v>12</v>
      </c>
      <c r="H37" s="4" t="n">
        <v>1161</v>
      </c>
      <c r="I37" s="4" t="inlineStr"/>
    </row>
    <row r="38">
      <c r="A38" s="4" t="n">
        <v>34</v>
      </c>
      <c r="B38" s="4" t="inlineStr">
        <is>
          <t>MX đầu hẽm 1534 LVL</t>
        </is>
      </c>
      <c r="C38" s="4" t="inlineStr">
        <is>
          <t>HNB018</t>
        </is>
      </c>
      <c r="D38" s="4" t="inlineStr"/>
      <c r="E38" s="4" t="n">
        <v>2143</v>
      </c>
      <c r="F38" s="4" t="inlineStr">
        <is>
          <t>POSTEF 8/2019</t>
        </is>
      </c>
      <c r="G38" s="4" t="n">
        <v>6</v>
      </c>
      <c r="H38" s="4" t="n">
        <v>150</v>
      </c>
      <c r="I38" s="4" t="inlineStr"/>
    </row>
    <row r="39">
      <c r="A39" s="4" t="n">
        <v>35</v>
      </c>
      <c r="B39" s="4" t="inlineStr">
        <is>
          <t>MX ngã ba Phạm Hữu Lầu</t>
        </is>
      </c>
      <c r="C39" s="4" t="inlineStr">
        <is>
          <t>MX (đi LVL)</t>
        </is>
      </c>
      <c r="D39" s="4" t="n">
        <v>120</v>
      </c>
      <c r="E39" s="4" t="n">
        <v>978</v>
      </c>
      <c r="F39" s="4" t="inlineStr">
        <is>
          <t>VINA-OFC 2016</t>
        </is>
      </c>
      <c r="G39" s="4" t="n">
        <v>12</v>
      </c>
      <c r="H39" s="4" t="n">
        <v>858</v>
      </c>
      <c r="I39" s="4" t="inlineStr"/>
    </row>
    <row r="40">
      <c r="A40" s="4" t="n">
        <v>36</v>
      </c>
      <c r="B40" s="4" t="inlineStr">
        <is>
          <t>MX ngã ba Phạm Hữu Lầu</t>
        </is>
      </c>
      <c r="C40" s="4" t="inlineStr">
        <is>
          <t>MX cầu Phú Xuân</t>
        </is>
      </c>
      <c r="D40" s="4" t="n">
        <v>44</v>
      </c>
      <c r="E40" s="4" t="inlineStr"/>
      <c r="F40" s="4" t="inlineStr">
        <is>
          <t>POSTEF 9/2019</t>
        </is>
      </c>
      <c r="G40" s="4" t="n">
        <v>12</v>
      </c>
      <c r="H40" s="4" t="n">
        <v>4644</v>
      </c>
      <c r="I40" s="4" t="inlineStr"/>
    </row>
    <row r="41">
      <c r="A41" s="4" t="n">
        <v>37</v>
      </c>
      <c r="B41" s="4" t="inlineStr">
        <is>
          <t>MX ngã ba Phạm Hữu Lầu</t>
        </is>
      </c>
      <c r="C41" s="4" t="inlineStr">
        <is>
          <t>HNB094</t>
        </is>
      </c>
      <c r="D41" s="4" t="n">
        <v>1131</v>
      </c>
      <c r="E41" s="4" t="n">
        <v>984</v>
      </c>
      <c r="F41" s="4" t="inlineStr">
        <is>
          <t>SACOM 2014</t>
        </is>
      </c>
      <c r="G41" s="4" t="n">
        <v>12</v>
      </c>
      <c r="H41" s="4" t="n">
        <v>150</v>
      </c>
      <c r="I41" s="4" t="inlineStr"/>
    </row>
    <row r="42">
      <c r="A42" s="4" t="n">
        <v>38</v>
      </c>
      <c r="B42" s="4" t="inlineStr">
        <is>
          <t>MX (đi LVL)</t>
        </is>
      </c>
      <c r="C42" s="4" t="inlineStr">
        <is>
          <t>MX ngã ba Phạm Thị Liền</t>
        </is>
      </c>
      <c r="D42" s="4" t="n">
        <v>3745</v>
      </c>
      <c r="E42" s="4" t="n">
        <v>2854</v>
      </c>
      <c r="F42" s="4" t="inlineStr">
        <is>
          <t>SACOM 1/2015</t>
        </is>
      </c>
      <c r="G42" s="4" t="n">
        <v>12</v>
      </c>
      <c r="H42" s="4" t="n">
        <v>891</v>
      </c>
      <c r="I42" s="4" t="inlineStr"/>
    </row>
    <row r="43">
      <c r="A43" s="4" t="n">
        <v>39</v>
      </c>
      <c r="B43" s="4" t="inlineStr">
        <is>
          <t>MX ngã ba Phạm Thị Liền</t>
        </is>
      </c>
      <c r="C43" s="4" t="inlineStr">
        <is>
          <t>MX ngã ba Đào Sư Tích</t>
        </is>
      </c>
      <c r="D43" s="4" t="n">
        <v>4058</v>
      </c>
      <c r="E43" s="4" t="inlineStr"/>
      <c r="F43" s="4" t="inlineStr">
        <is>
          <t>FOCAL 2013</t>
        </is>
      </c>
      <c r="G43" s="4" t="n">
        <v>12</v>
      </c>
      <c r="H43" s="4" t="n">
        <v>534</v>
      </c>
      <c r="I43" s="4" t="inlineStr"/>
    </row>
    <row r="44">
      <c r="A44" s="4" t="n">
        <v>40</v>
      </c>
      <c r="B44" s="4" t="inlineStr">
        <is>
          <t>MX ngã ba Phạm Thị Liền</t>
        </is>
      </c>
      <c r="C44" s="4" t="inlineStr">
        <is>
          <t>HNB055</t>
        </is>
      </c>
      <c r="D44" s="4" t="n">
        <v>1068</v>
      </c>
      <c r="E44" s="4" t="n">
        <v>1666</v>
      </c>
      <c r="F44" s="4" t="inlineStr">
        <is>
          <t>POSTEF 6/2019</t>
        </is>
      </c>
      <c r="G44" s="4" t="n">
        <v>8</v>
      </c>
      <c r="H44" s="4" t="n">
        <v>598</v>
      </c>
      <c r="I44" s="4" t="inlineStr"/>
    </row>
    <row r="45">
      <c r="A45" s="4" t="n">
        <v>41</v>
      </c>
      <c r="B45" s="4" t="inlineStr">
        <is>
          <t>MX ngã ba Phạm Thị Liền</t>
        </is>
      </c>
      <c r="C45" s="4" t="inlineStr">
        <is>
          <t>HNB065</t>
        </is>
      </c>
      <c r="D45" s="4" t="n">
        <v>394</v>
      </c>
      <c r="E45" s="4" t="n">
        <v>125</v>
      </c>
      <c r="F45" s="4" t="inlineStr">
        <is>
          <t>SACOM 3/2016</t>
        </is>
      </c>
      <c r="G45" s="4" t="n">
        <v>8</v>
      </c>
      <c r="H45" s="4" t="n">
        <v>269</v>
      </c>
      <c r="I45" s="4" t="inlineStr"/>
    </row>
    <row r="46">
      <c r="A46" s="4" t="n">
        <v>42</v>
      </c>
      <c r="B46" s="4" t="inlineStr">
        <is>
          <t>HNB065</t>
        </is>
      </c>
      <c r="C46" s="4" t="inlineStr">
        <is>
          <t>HNB055</t>
        </is>
      </c>
      <c r="D46" s="4" t="n">
        <v>1058</v>
      </c>
      <c r="E46" s="4" t="n">
        <v>70</v>
      </c>
      <c r="F46" s="4" t="inlineStr">
        <is>
          <t>POSTEF 6/2019</t>
        </is>
      </c>
      <c r="G46" s="4" t="n">
        <v>8</v>
      </c>
      <c r="H46" s="4" t="n">
        <v>988</v>
      </c>
      <c r="I46" s="4" t="inlineStr"/>
    </row>
    <row r="47">
      <c r="A47" s="4" t="n">
        <v>43</v>
      </c>
      <c r="B47" s="4" t="inlineStr">
        <is>
          <t>MX ngã ba Phạm Thị Liền</t>
        </is>
      </c>
      <c r="C47" s="4" t="inlineStr">
        <is>
          <t>HNB073</t>
        </is>
      </c>
      <c r="D47" s="4" t="n">
        <v>2023</v>
      </c>
      <c r="E47" s="4" t="n">
        <v>2285</v>
      </c>
      <c r="F47" s="4" t="inlineStr">
        <is>
          <t>VINA 2017</t>
        </is>
      </c>
      <c r="G47" s="4" t="n">
        <v>8</v>
      </c>
      <c r="H47" s="4" t="n">
        <v>262</v>
      </c>
      <c r="I47" s="4" t="inlineStr"/>
    </row>
    <row r="48">
      <c r="A48" s="4" t="n">
        <v>44</v>
      </c>
      <c r="B48" s="4" t="inlineStr">
        <is>
          <t>HNB073</t>
        </is>
      </c>
      <c r="C48" s="4" t="inlineStr">
        <is>
          <t>HNB071</t>
        </is>
      </c>
      <c r="D48" s="4" t="n">
        <v>23</v>
      </c>
      <c r="E48" s="4" t="n">
        <v>778</v>
      </c>
      <c r="F48" s="4" t="inlineStr">
        <is>
          <t>POSTEF 2017</t>
        </is>
      </c>
      <c r="G48" s="4" t="n">
        <v>8</v>
      </c>
      <c r="H48" s="4" t="n">
        <v>755</v>
      </c>
      <c r="I48" s="4" t="inlineStr"/>
    </row>
    <row r="49">
      <c r="A49" s="4" t="n">
        <v>45</v>
      </c>
      <c r="B49" s="4" t="inlineStr">
        <is>
          <t>HNB071</t>
        </is>
      </c>
      <c r="C49" s="4" t="inlineStr">
        <is>
          <t>HNB056</t>
        </is>
      </c>
      <c r="D49" s="4" t="n">
        <v>3000</v>
      </c>
      <c r="E49" s="4" t="n">
        <v>1700</v>
      </c>
      <c r="F49" s="4" t="inlineStr">
        <is>
          <t>POSTEF 6/2019</t>
        </is>
      </c>
      <c r="G49" s="4" t="n">
        <v>8</v>
      </c>
      <c r="H49" s="4" t="n">
        <v>1300</v>
      </c>
      <c r="I49" s="4" t="inlineStr"/>
    </row>
    <row r="50">
      <c r="A50" s="4" t="n">
        <v>46</v>
      </c>
      <c r="B50" s="4" t="inlineStr">
        <is>
          <t>HNB056</t>
        </is>
      </c>
      <c r="C50" s="4" t="inlineStr">
        <is>
          <t>MX</t>
        </is>
      </c>
      <c r="D50" s="4" t="n">
        <v>1430</v>
      </c>
      <c r="E50" s="4" t="inlineStr"/>
      <c r="F50" s="4" t="inlineStr">
        <is>
          <t>VINA OFC</t>
        </is>
      </c>
      <c r="G50" s="4" t="n">
        <v>8</v>
      </c>
      <c r="H50" s="4" t="n">
        <v>420</v>
      </c>
      <c r="I50" s="4" t="inlineStr"/>
    </row>
    <row r="51">
      <c r="A51" s="4" t="n">
        <v>47</v>
      </c>
      <c r="B51" s="4" t="inlineStr">
        <is>
          <t>MX</t>
        </is>
      </c>
      <c r="C51" s="4" t="inlineStr">
        <is>
          <t>HNB011</t>
        </is>
      </c>
      <c r="D51" s="4" t="inlineStr"/>
      <c r="E51" s="4" t="n">
        <v>2144</v>
      </c>
      <c r="F51" s="4" t="inlineStr">
        <is>
          <t>PRYSMIAN 2009</t>
        </is>
      </c>
      <c r="G51" s="4" t="n">
        <v>8</v>
      </c>
      <c r="H51" s="4" t="n">
        <v>455</v>
      </c>
      <c r="I51" s="4" t="inlineStr"/>
    </row>
    <row r="52">
      <c r="A52" s="4" t="n">
        <v>48</v>
      </c>
      <c r="B52" s="4" t="inlineStr">
        <is>
          <t>HNB011</t>
        </is>
      </c>
      <c r="C52" s="4" t="inlineStr">
        <is>
          <t>MX ngã ba Đào Sư Tích</t>
        </is>
      </c>
      <c r="D52" s="4" t="n">
        <v>120</v>
      </c>
      <c r="E52" s="4" t="inlineStr"/>
      <c r="F52" s="4" t="inlineStr">
        <is>
          <t>VINA 2018</t>
        </is>
      </c>
      <c r="G52" s="4" t="n">
        <v>8</v>
      </c>
      <c r="H52" s="4" t="n">
        <v>382</v>
      </c>
      <c r="I52" s="4" t="inlineStr"/>
    </row>
    <row r="53">
      <c r="A53" s="4" t="n">
        <v>49</v>
      </c>
      <c r="B53" s="4" t="inlineStr">
        <is>
          <t>MX ngã ba Đào Sư Tích</t>
        </is>
      </c>
      <c r="C53" s="4" t="inlineStr">
        <is>
          <t>MX_DST</t>
        </is>
      </c>
      <c r="D53" s="4" t="inlineStr"/>
      <c r="E53" s="4" t="n">
        <v>1578</v>
      </c>
      <c r="F53" s="4" t="inlineStr">
        <is>
          <t>FOCAL 8/2020</t>
        </is>
      </c>
      <c r="G53" s="4" t="n">
        <v>12</v>
      </c>
      <c r="H53" s="4" t="n">
        <v>2450</v>
      </c>
      <c r="I53" s="4" t="inlineStr"/>
    </row>
    <row r="54">
      <c r="A54" s="4" t="n">
        <v>50</v>
      </c>
      <c r="B54" s="4" t="inlineStr">
        <is>
          <t>MX_DST</t>
        </is>
      </c>
      <c r="C54" s="4" t="inlineStr">
        <is>
          <t>MX</t>
        </is>
      </c>
      <c r="D54" s="4" t="inlineStr"/>
      <c r="E54" s="4" t="inlineStr"/>
      <c r="F54" s="4" t="inlineStr">
        <is>
          <t>ADSS 9/2009</t>
        </is>
      </c>
      <c r="G54" s="4" t="n">
        <v>12</v>
      </c>
      <c r="H54" s="4" t="n">
        <v>1834</v>
      </c>
      <c r="I54" s="4" t="inlineStr"/>
    </row>
    <row r="55">
      <c r="A55" s="4" t="n">
        <v>51</v>
      </c>
      <c r="B55" s="4" t="inlineStr">
        <is>
          <t>MX</t>
        </is>
      </c>
      <c r="C55" s="4" t="inlineStr">
        <is>
          <t>MX ngã tư LVL-Nguyễn Bình</t>
        </is>
      </c>
      <c r="D55" s="4" t="inlineStr"/>
      <c r="E55" s="4" t="inlineStr"/>
      <c r="F55" s="4" t="inlineStr">
        <is>
          <t>TPKL 9/2019</t>
        </is>
      </c>
      <c r="G55" s="4" t="n">
        <v>12</v>
      </c>
      <c r="H55" s="4" t="n">
        <v>1380</v>
      </c>
      <c r="I55" s="4" t="inlineStr"/>
    </row>
    <row r="56">
      <c r="A56" s="4" t="n">
        <v>52</v>
      </c>
      <c r="B56" s="4" t="inlineStr">
        <is>
          <t>MX nhập đài Long Thới- NVT</t>
        </is>
      </c>
      <c r="C56" s="4" t="inlineStr">
        <is>
          <t>MX chân cầu vượt NVT</t>
        </is>
      </c>
      <c r="D56" s="4" t="inlineStr"/>
      <c r="E56" s="4" t="n">
        <v>2677</v>
      </c>
      <c r="F56" s="4" t="inlineStr">
        <is>
          <t>SACOM 8/2014</t>
        </is>
      </c>
      <c r="G56" s="4" t="n">
        <v>12</v>
      </c>
      <c r="H56" s="4" t="n">
        <v>680</v>
      </c>
      <c r="I56" s="4" t="inlineStr"/>
    </row>
    <row r="57">
      <c r="A57" s="4" t="n">
        <v>53</v>
      </c>
      <c r="B57" s="4" t="inlineStr">
        <is>
          <t>MX chân cầu vượt NVT</t>
        </is>
      </c>
      <c r="C57" s="4" t="inlineStr">
        <is>
          <t>MX ngã ba Ngô Quang Thắm</t>
        </is>
      </c>
      <c r="D57" s="4" t="n">
        <v>5</v>
      </c>
      <c r="E57" s="4" t="inlineStr"/>
      <c r="F57" s="4" t="inlineStr">
        <is>
          <t>FOCAL 9/2020</t>
        </is>
      </c>
      <c r="G57" s="4" t="n">
        <v>12</v>
      </c>
      <c r="H57" s="4" t="n">
        <v>1060</v>
      </c>
      <c r="I57" s="4" t="inlineStr">
        <is>
          <t>bao gồm 175m ngầm</t>
        </is>
      </c>
    </row>
    <row r="58">
      <c r="A58" s="4" t="n">
        <v>54</v>
      </c>
      <c r="B58" s="4" t="inlineStr">
        <is>
          <t>MX ngã ba Ngô Quang Thắm</t>
        </is>
      </c>
      <c r="C58" s="4" t="inlineStr">
        <is>
          <t>MX đầu trạm 91A</t>
        </is>
      </c>
      <c r="D58" s="4" t="inlineStr"/>
      <c r="E58" s="4" t="inlineStr"/>
      <c r="F58" s="4" t="inlineStr"/>
      <c r="G58" s="4" t="n">
        <v>12</v>
      </c>
      <c r="H58" s="4" t="n">
        <v>845</v>
      </c>
      <c r="I58" s="4" t="inlineStr"/>
    </row>
    <row r="59">
      <c r="A59" s="4" t="n">
        <v>55</v>
      </c>
      <c r="B59" s="4" t="inlineStr">
        <is>
          <t>MX chân cầu vượt NVT</t>
        </is>
      </c>
      <c r="C59" s="4" t="inlineStr">
        <is>
          <t>HNB054</t>
        </is>
      </c>
      <c r="D59" s="4" t="n">
        <v>1</v>
      </c>
      <c r="E59" s="4" t="n">
        <v>176</v>
      </c>
      <c r="F59" s="4" t="inlineStr">
        <is>
          <t>FOCAL 9/2020</t>
        </is>
      </c>
      <c r="G59" s="4" t="n">
        <v>12</v>
      </c>
      <c r="H59" s="4" t="n">
        <v>150</v>
      </c>
      <c r="I59" s="4" t="inlineStr"/>
    </row>
    <row r="60">
      <c r="A60" s="4" t="n">
        <v>56</v>
      </c>
      <c r="B60" s="4" t="inlineStr">
        <is>
          <t>MX ngã ba Ngô Quang Thắm</t>
        </is>
      </c>
      <c r="C60" s="4" t="inlineStr">
        <is>
          <t>HNB006</t>
        </is>
      </c>
      <c r="D60" s="4" t="inlineStr"/>
      <c r="E60" s="4" t="inlineStr"/>
      <c r="F60" s="4" t="inlineStr"/>
      <c r="G60" s="4" t="n">
        <v>12</v>
      </c>
      <c r="H60" s="4" t="n">
        <v>220</v>
      </c>
      <c r="I60" s="4" t="inlineStr"/>
    </row>
    <row r="61">
      <c r="A61" s="4" t="n">
        <v>57</v>
      </c>
      <c r="B61" s="4" t="inlineStr">
        <is>
          <t>MX đầu trạm 91A</t>
        </is>
      </c>
      <c r="C61" s="4" t="inlineStr">
        <is>
          <t>HNB091</t>
        </is>
      </c>
      <c r="D61" s="4" t="inlineStr"/>
      <c r="E61" s="4" t="n">
        <v>741</v>
      </c>
      <c r="F61" s="4" t="inlineStr">
        <is>
          <t>FOCAL 2020</t>
        </is>
      </c>
      <c r="G61" s="4" t="n">
        <v>6</v>
      </c>
      <c r="H61" s="4" t="n">
        <v>545</v>
      </c>
      <c r="I61" s="4" t="inlineStr"/>
    </row>
    <row r="62">
      <c r="A62" s="4" t="n">
        <v>58</v>
      </c>
      <c r="B62" s="4" t="inlineStr">
        <is>
          <t>HNB091</t>
        </is>
      </c>
      <c r="C62" s="4" t="inlineStr">
        <is>
          <t>MX đầu trạm 91B</t>
        </is>
      </c>
      <c r="D62" s="4" t="n">
        <v>4460</v>
      </c>
      <c r="E62" s="4" t="inlineStr"/>
      <c r="F62" s="4" t="inlineStr">
        <is>
          <t>FOCAL 2020</t>
        </is>
      </c>
      <c r="G62" s="4" t="n">
        <v>6</v>
      </c>
      <c r="H62" s="4" t="n">
        <v>550</v>
      </c>
      <c r="I62" s="4" t="inlineStr"/>
    </row>
    <row r="63">
      <c r="A63" s="4" t="n">
        <v>59</v>
      </c>
      <c r="B63" s="4" t="inlineStr">
        <is>
          <t>MX đầu trạm 91A</t>
        </is>
      </c>
      <c r="C63" s="4" t="inlineStr">
        <is>
          <t>HNB059</t>
        </is>
      </c>
      <c r="D63" s="4" t="inlineStr"/>
      <c r="E63" s="4" t="n">
        <v>4415</v>
      </c>
      <c r="F63" s="4" t="inlineStr">
        <is>
          <t>FOCAL 2020</t>
        </is>
      </c>
      <c r="G63" s="4" t="n">
        <v>6</v>
      </c>
      <c r="H63" s="4" t="n">
        <v>1933</v>
      </c>
      <c r="I63" s="4" t="inlineStr"/>
    </row>
    <row r="64">
      <c r="A64" s="4" t="n">
        <v>60</v>
      </c>
      <c r="B64" s="4" t="inlineStr">
        <is>
          <t>HNB059</t>
        </is>
      </c>
      <c r="C64" s="4" t="inlineStr">
        <is>
          <t>HNB060</t>
        </is>
      </c>
      <c r="D64" s="4" t="n">
        <v>279</v>
      </c>
      <c r="E64" s="4" t="n">
        <v>1</v>
      </c>
      <c r="F64" s="4" t="inlineStr">
        <is>
          <t>FOCAL 2020</t>
        </is>
      </c>
      <c r="G64" s="4" t="n">
        <v>6</v>
      </c>
      <c r="H64" s="4" t="n">
        <v>3086</v>
      </c>
      <c r="I64" s="4" t="inlineStr"/>
    </row>
    <row r="65">
      <c r="A65" s="4" t="n">
        <v>61</v>
      </c>
      <c r="B65" s="4" t="inlineStr">
        <is>
          <t>HNB060</t>
        </is>
      </c>
      <c r="C65" s="4" t="inlineStr">
        <is>
          <t>HNB048</t>
        </is>
      </c>
      <c r="D65" s="4" t="n">
        <v>1</v>
      </c>
      <c r="E65" s="4" t="n">
        <v>5</v>
      </c>
      <c r="F65" s="4" t="inlineStr">
        <is>
          <t>FOCAL 2020</t>
        </is>
      </c>
      <c r="G65" s="4" t="n">
        <v>6</v>
      </c>
      <c r="H65" s="4" t="n">
        <v>4405</v>
      </c>
      <c r="I65" s="4" t="inlineStr"/>
    </row>
    <row r="66">
      <c r="A66" s="4" t="n">
        <v>62</v>
      </c>
      <c r="B66" s="4" t="inlineStr">
        <is>
          <t>HNB048</t>
        </is>
      </c>
      <c r="C66" s="4" t="inlineStr">
        <is>
          <t>MX đầu trạm 91B</t>
        </is>
      </c>
      <c r="D66" s="4" t="n">
        <v>2445</v>
      </c>
      <c r="E66" s="4" t="inlineStr"/>
      <c r="F66" s="4" t="inlineStr">
        <is>
          <t>FOCAL 2020</t>
        </is>
      </c>
      <c r="G66" s="4" t="n">
        <v>6</v>
      </c>
      <c r="H66" s="4" t="n">
        <v>1680</v>
      </c>
      <c r="I66" s="4" t="inlineStr"/>
    </row>
    <row r="67">
      <c r="A67" s="4" t="n">
        <v>63</v>
      </c>
      <c r="B67" s="4" t="inlineStr">
        <is>
          <t>MX đầu trạm 91B</t>
        </is>
      </c>
      <c r="C67" s="4" t="inlineStr">
        <is>
          <t>MX ngã ba Ngô Quang Thắm</t>
        </is>
      </c>
      <c r="D67" s="4" t="inlineStr"/>
      <c r="E67" s="4" t="inlineStr"/>
      <c r="F67" s="4" t="inlineStr"/>
      <c r="G67" s="4" t="n">
        <v>12</v>
      </c>
      <c r="H67" s="4" t="n">
        <v>770</v>
      </c>
      <c r="I67" s="4" t="inlineStr">
        <is>
          <t>7020=785+1745+3715+770</t>
        </is>
      </c>
    </row>
    <row r="68">
      <c r="A68" s="4" t="n">
        <v>64</v>
      </c>
      <c r="B68" s="4" t="inlineStr">
        <is>
          <t>MX ngã ba Ngô Quang Thắm</t>
        </is>
      </c>
      <c r="C68" s="4" t="inlineStr">
        <is>
          <t>MX ngã tư LVL-Nguyễn Bình</t>
        </is>
      </c>
      <c r="D68" s="4" t="inlineStr"/>
      <c r="E68" s="4" t="inlineStr"/>
      <c r="F68" s="4" t="inlineStr">
        <is>
          <t xml:space="preserve">TPKL </t>
        </is>
      </c>
      <c r="G68" s="4" t="n">
        <v>12</v>
      </c>
      <c r="H68" s="4" t="n">
        <v>6250</v>
      </c>
      <c r="I68" s="4" t="inlineStr"/>
    </row>
    <row r="69">
      <c r="A69" s="4" t="n">
        <v>65</v>
      </c>
      <c r="B69" s="4" t="inlineStr">
        <is>
          <t>MX ngã ba Đào Sư Tích</t>
        </is>
      </c>
      <c r="C69" s="4" t="inlineStr">
        <is>
          <t>MX</t>
        </is>
      </c>
      <c r="D69" s="4" t="inlineStr"/>
      <c r="E69" s="4" t="inlineStr"/>
      <c r="F69" s="4" t="inlineStr">
        <is>
          <t>FOCAL</t>
        </is>
      </c>
      <c r="G69" s="4" t="n">
        <v>8</v>
      </c>
      <c r="H69" s="4" t="n">
        <v>945</v>
      </c>
      <c r="I69" s="4" t="inlineStr"/>
    </row>
    <row r="70">
      <c r="A70" s="4" t="n">
        <v>66</v>
      </c>
      <c r="B70" s="4" t="inlineStr">
        <is>
          <t>MX</t>
        </is>
      </c>
      <c r="C70" s="4" t="inlineStr">
        <is>
          <t>HNB075</t>
        </is>
      </c>
      <c r="D70" s="4" t="inlineStr"/>
      <c r="E70" s="4" t="inlineStr"/>
      <c r="F70" s="4" t="inlineStr">
        <is>
          <t>focal 8fo 10/2014</t>
        </is>
      </c>
      <c r="G70" s="4" t="n">
        <v>8</v>
      </c>
      <c r="H70" s="4" t="n">
        <v>920</v>
      </c>
      <c r="I70" s="4" t="inlineStr"/>
    </row>
    <row r="71">
      <c r="A71" s="4" t="n">
        <v>67</v>
      </c>
      <c r="B71" s="4" t="inlineStr">
        <is>
          <t>HNB075</t>
        </is>
      </c>
      <c r="C71" s="4" t="inlineStr">
        <is>
          <t>HNB014</t>
        </is>
      </c>
      <c r="D71" s="4" t="inlineStr"/>
      <c r="E71" s="4" t="inlineStr"/>
      <c r="F71" s="4" t="inlineStr">
        <is>
          <t>FOCAL 2020</t>
        </is>
      </c>
      <c r="G71" s="4" t="n">
        <v>6</v>
      </c>
      <c r="H71" s="4" t="n">
        <v>861</v>
      </c>
      <c r="I71" s="4" t="inlineStr"/>
    </row>
    <row r="72">
      <c r="A72" s="4" t="n">
        <v>68</v>
      </c>
      <c r="B72" s="4" t="inlineStr">
        <is>
          <t>HNB014</t>
        </is>
      </c>
      <c r="C72" s="4" t="inlineStr">
        <is>
          <t>MX cầu NVL 1</t>
        </is>
      </c>
      <c r="D72" s="4" t="inlineStr"/>
      <c r="E72" s="4" t="inlineStr"/>
      <c r="F72" s="4" t="inlineStr">
        <is>
          <t>FOCAL</t>
        </is>
      </c>
      <c r="G72" s="4" t="n">
        <v>8</v>
      </c>
      <c r="H72" s="4" t="n">
        <v>1409</v>
      </c>
      <c r="I72" s="4" t="inlineStr"/>
    </row>
    <row r="73">
      <c r="A73" s="4" t="n">
        <v>69</v>
      </c>
      <c r="B73" s="4" t="inlineStr">
        <is>
          <t>MX cầu NVL 1</t>
        </is>
      </c>
      <c r="C73" s="4" t="inlineStr">
        <is>
          <t>MX cầu NVL 2</t>
        </is>
      </c>
      <c r="D73" s="4" t="inlineStr"/>
      <c r="E73" s="4" t="inlineStr"/>
      <c r="F73" s="4" t="inlineStr">
        <is>
          <t>FOCAL</t>
        </is>
      </c>
      <c r="G73" s="4" t="n">
        <v>8</v>
      </c>
      <c r="H73" s="4" t="n">
        <v>606</v>
      </c>
      <c r="I73" s="4" t="inlineStr"/>
    </row>
    <row r="74">
      <c r="A74" s="4" t="n">
        <v>70</v>
      </c>
      <c r="B74" s="4" t="inlineStr">
        <is>
          <t>MX cầu NVL 2</t>
        </is>
      </c>
      <c r="C74" s="4" t="inlineStr">
        <is>
          <t>MX Phạm Hùng</t>
        </is>
      </c>
      <c r="D74" s="4" t="inlineStr"/>
      <c r="E74" s="4" t="inlineStr"/>
      <c r="F74" s="4" t="inlineStr">
        <is>
          <t>FOCAL</t>
        </is>
      </c>
      <c r="G74" s="4" t="n">
        <v>8</v>
      </c>
      <c r="H74" s="4" t="n">
        <v>1497</v>
      </c>
      <c r="I74" s="4" t="inlineStr"/>
    </row>
    <row r="75">
      <c r="A75" s="4" t="n">
        <v>71</v>
      </c>
      <c r="B75" s="4" t="inlineStr">
        <is>
          <t>MX Phạm Hùng</t>
        </is>
      </c>
      <c r="C75" s="4" t="inlineStr">
        <is>
          <t>MX đầu trạm HNB012</t>
        </is>
      </c>
      <c r="D75" s="4" t="inlineStr"/>
      <c r="E75" s="4" t="inlineStr"/>
      <c r="F75" s="4" t="inlineStr">
        <is>
          <t>FOCAL</t>
        </is>
      </c>
      <c r="G75" s="4" t="n">
        <v>8</v>
      </c>
      <c r="H75" s="4" t="n">
        <v>2093</v>
      </c>
      <c r="I75" s="4" t="inlineStr"/>
    </row>
    <row r="76">
      <c r="A76" s="4" t="n">
        <v>72</v>
      </c>
      <c r="B76" s="4" t="inlineStr">
        <is>
          <t>MX đầu trạm HNB012</t>
        </is>
      </c>
      <c r="C76" s="4" t="inlineStr">
        <is>
          <t>HNB012</t>
        </is>
      </c>
      <c r="D76" s="4" t="inlineStr"/>
      <c r="E76" s="4" t="n">
        <v>1893</v>
      </c>
      <c r="F76" s="4" t="inlineStr">
        <is>
          <t>Fiber 6/2007</t>
        </is>
      </c>
      <c r="G76" s="4" t="n">
        <v>8</v>
      </c>
      <c r="H76" s="4" t="n">
        <v>300</v>
      </c>
      <c r="I76" s="4" t="inlineStr"/>
    </row>
    <row r="77">
      <c r="A77" s="4" t="n">
        <v>73</v>
      </c>
      <c r="B77" s="4" t="inlineStr">
        <is>
          <t>MX đầu trạm HNB012</t>
        </is>
      </c>
      <c r="C77" s="4" t="inlineStr">
        <is>
          <t>HNB113</t>
        </is>
      </c>
      <c r="D77" s="4" t="inlineStr"/>
      <c r="E77" s="4" t="n">
        <v>3476</v>
      </c>
      <c r="F77" s="4" t="inlineStr">
        <is>
          <t>FOCAL 2020</t>
        </is>
      </c>
      <c r="G77" s="4" t="n">
        <v>6</v>
      </c>
      <c r="H77" s="4" t="n">
        <v>760</v>
      </c>
      <c r="I77" s="4" t="inlineStr"/>
    </row>
    <row r="78">
      <c r="A78" s="4" t="n">
        <v>74</v>
      </c>
      <c r="B78" s="4" t="inlineStr">
        <is>
          <t>HNB012</t>
        </is>
      </c>
      <c r="C78" s="4" t="inlineStr">
        <is>
          <t>MX băng sông 1</t>
        </is>
      </c>
      <c r="D78" s="4" t="n">
        <v>2692</v>
      </c>
      <c r="E78" s="4" t="inlineStr"/>
      <c r="F78" s="4" t="inlineStr">
        <is>
          <t>FOCAL 2020</t>
        </is>
      </c>
      <c r="G78" s="4" t="n">
        <v>6</v>
      </c>
      <c r="H78" s="4" t="n">
        <v>1191</v>
      </c>
      <c r="I78" s="4" t="inlineStr"/>
    </row>
    <row r="79">
      <c r="A79" s="4" t="n">
        <v>75</v>
      </c>
      <c r="B79" s="4" t="inlineStr">
        <is>
          <t>MX băng sông 1</t>
        </is>
      </c>
      <c r="C79" s="4" t="inlineStr">
        <is>
          <t>MX băng sông 2</t>
        </is>
      </c>
      <c r="D79" s="4" t="inlineStr"/>
      <c r="E79" s="4" t="inlineStr"/>
      <c r="F79" s="4" t="inlineStr"/>
      <c r="G79" s="4" t="n">
        <v>48</v>
      </c>
      <c r="H79" s="4" t="n">
        <v>235</v>
      </c>
      <c r="I79" s="4" t="inlineStr"/>
    </row>
    <row r="80">
      <c r="A80" s="4" t="n">
        <v>76</v>
      </c>
      <c r="B80" s="4" t="inlineStr">
        <is>
          <t>MX băng sông 2</t>
        </is>
      </c>
      <c r="C80" s="4" t="inlineStr">
        <is>
          <t>MX_DST</t>
        </is>
      </c>
      <c r="D80" s="4" t="inlineStr"/>
      <c r="E80" s="4" t="inlineStr"/>
      <c r="F80" s="4" t="inlineStr"/>
      <c r="G80" s="4" t="n">
        <v>4</v>
      </c>
      <c r="H80" s="4" t="n">
        <v>243</v>
      </c>
      <c r="I80" s="4" t="inlineStr"/>
    </row>
    <row r="81">
      <c r="G81" s="12" t="inlineStr">
        <is>
          <t>Tổng (m)</t>
        </is>
      </c>
      <c r="H81" s="12">
        <f>SUM(H5:H80)</f>
        <v/>
      </c>
    </row>
    <row r="82">
      <c r="G82" t="inlineStr">
        <is>
          <t>Tổng (km)</t>
        </is>
      </c>
      <c r="H82" s="62">
        <f>H81/1000</f>
        <v/>
      </c>
    </row>
  </sheetData>
  <autoFilter ref="A4:I80"/>
  <pageMargins left="0.75" right="0.75" top="1" bottom="1" header="0.5" footer="0.5"/>
  <pageSetup orientation="landscape" fitToHeight="0" fitToWidth="1"/>
</worksheet>
</file>

<file path=xl/worksheets/sheet21.xml><?xml version="1.0" encoding="utf-8"?>
<worksheet xmlns="http://schemas.openxmlformats.org/spreadsheetml/2006/main">
  <sheetPr>
    <outlinePr summaryBelow="1" summaryRight="1"/>
    <pageSetUpPr fitToPage="1"/>
  </sheetPr>
  <dimension ref="A1:F4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11" customWidth="1" min="3" max="3"/>
    <col width="11" customWidth="1" min="4" max="4"/>
    <col width="90" customWidth="1" min="5" max="5"/>
    <col width="14" customWidth="1" min="6" max="6"/>
  </cols>
  <sheetData>
    <row r="1">
      <c r="A1" s="1" t="inlineStr">
        <is>
          <t>Măng xông (MX) — danh bạ</t>
        </is>
      </c>
    </row>
    <row r="2">
      <c r="A2" s="2" t="inlineStr">
        <is>
          <t>Sơ đồ hàn chi tiết từng khay chưa nhập: xem sheet "Hàn nối" để điền. MX_NVT_03A/03B là hai măng xông hai bên lề (file ghi nhầm trùng tên).</t>
        </is>
      </c>
    </row>
    <row r="4" ht="32" customHeight="1">
      <c r="A4" s="3" t="inlineStr">
        <is>
          <t>Tên MX</t>
        </is>
      </c>
      <c r="B4" s="3" t="inlineStr">
        <is>
          <t>Loại</t>
        </is>
      </c>
      <c r="C4" s="3" t="inlineStr">
        <is>
          <t>Vĩ độ</t>
        </is>
      </c>
      <c r="D4" s="3" t="inlineStr">
        <is>
          <t>Kinh độ</t>
        </is>
      </c>
      <c r="E4" s="3" t="inlineStr">
        <is>
          <t>Mô tả (ghi chú gốc)</t>
        </is>
      </c>
      <c r="F4" s="3" t="inlineStr">
        <is>
          <t>Bản đồ</t>
        </is>
      </c>
    </row>
    <row r="5">
      <c r="A5" s="4" t="inlineStr">
        <is>
          <t>MX_LVL-02</t>
        </is>
      </c>
      <c r="B5" s="4" t="inlineStr">
        <is>
          <t>MX phối/rẽ</t>
        </is>
      </c>
      <c r="C5" s="4" t="n">
        <v>10.709625</v>
      </c>
      <c r="D5" s="4" t="n">
        <v>106.702398</v>
      </c>
      <c r="E5" s="4" t="inlineStr">
        <is>
          <t>MX_LVL-02 : NGÃ BA LVL - TRẦN THỊ LIỀN / VỊ TRÍ : trụ điện đầu hẽm / (10.709625, 106.702398)</t>
        </is>
      </c>
      <c r="F5" s="52">
        <f>HYPERLINK("https://maps.google.com/?q="&amp;C5&amp;","&amp;D5,"Mở bản đồ")</f>
        <v/>
      </c>
    </row>
    <row r="6">
      <c r="A6" s="4" t="inlineStr">
        <is>
          <t>MX_NB-02</t>
        </is>
      </c>
      <c r="B6" s="4" t="inlineStr">
        <is>
          <t>MX phối/rẽ</t>
        </is>
      </c>
      <c r="C6" s="4" t="n">
        <v>10.673423</v>
      </c>
      <c r="D6" s="4" t="n">
        <v>106.732316</v>
      </c>
      <c r="E6" s="4" t="inlineStr">
        <is>
          <t>MX_NB-02 :NGÃ BA NGUYỄN BÌNH - PHẠM THỊ KỲ / VỊ TRÍ : trụ điện đầu đường / (10.673423, 106.732316)</t>
        </is>
      </c>
      <c r="F6" s="52">
        <f>HYPERLINK("https://maps.google.com/?q="&amp;C6&amp;","&amp;D6,"Mở bản đồ")</f>
        <v/>
      </c>
    </row>
    <row r="7">
      <c r="A7" s="4" t="inlineStr">
        <is>
          <t>MX_LVL-04</t>
        </is>
      </c>
      <c r="B7" s="4" t="inlineStr">
        <is>
          <t>MX phối/rẽ</t>
        </is>
      </c>
      <c r="C7" s="4" t="n">
        <v>10.686488</v>
      </c>
      <c r="D7" s="4" t="n">
        <v>106.701749</v>
      </c>
      <c r="E7" s="4" t="inlineStr">
        <is>
          <t>MX_LVL-04 : HẼM 1534 LÊ VĂN LƯƠNG / VỊ TRÍ : trụ điện đầu hẽm / (10.686488, 106.701749)</t>
        </is>
      </c>
      <c r="F7" s="52">
        <f>HYPERLINK("https://maps.google.com/?q="&amp;C7&amp;","&amp;D7,"Mở bản đồ")</f>
        <v/>
      </c>
    </row>
    <row r="8">
      <c r="A8" s="4" t="inlineStr">
        <is>
          <t>MX_HTP-01</t>
        </is>
      </c>
      <c r="B8" s="4" t="inlineStr">
        <is>
          <t>MX phối/rẽ</t>
        </is>
      </c>
      <c r="C8" s="4" t="n">
        <v>10.701961</v>
      </c>
      <c r="D8" s="4" t="n">
        <v>106.73803</v>
      </c>
      <c r="E8" s="4" t="inlineStr">
        <is>
          <t>MX_HTP-01 : ĐẦU CẦU PHÚ XUÂN 2 / VỊ TRÍ : trụ điện đầu hẽm / (10.701961, 106.738030)</t>
        </is>
      </c>
      <c r="F8" s="52">
        <f>HYPERLINK("https://maps.google.com/?q="&amp;C8&amp;","&amp;D8,"Mở bản đồ")</f>
        <v/>
      </c>
    </row>
    <row r="9">
      <c r="A9" s="4" t="inlineStr">
        <is>
          <t>MX_NVT_02A</t>
        </is>
      </c>
      <c r="B9" s="4" t="inlineStr">
        <is>
          <t>MX phối/rẽ</t>
        </is>
      </c>
      <c r="C9" s="4" t="n">
        <v>10.656177</v>
      </c>
      <c r="D9" s="4" t="n">
        <v>106.7286</v>
      </c>
      <c r="E9" s="4" t="inlineStr">
        <is>
          <t>MX_NVT_02A :TRƯỚC CỔNG UBND / VỊ TRÍ : trụ điện đôi / (10.656177, 106.728600)</t>
        </is>
      </c>
      <c r="F9" s="52">
        <f>HYPERLINK("https://maps.google.com/?q="&amp;C9&amp;","&amp;D9,"Mở bản đồ")</f>
        <v/>
      </c>
    </row>
    <row r="10">
      <c r="A10" s="4" t="inlineStr">
        <is>
          <t>MX_HTP-03A</t>
        </is>
      </c>
      <c r="B10" s="4" t="inlineStr">
        <is>
          <t>MX phối/rẽ</t>
        </is>
      </c>
      <c r="C10" s="4" t="n">
        <v>10.685042</v>
      </c>
      <c r="D10" s="4" t="n">
        <v>106.744849</v>
      </c>
      <c r="E10" s="4" t="inlineStr">
        <is>
          <t>MX_HTP-03A : VÀO TRẠM AGG-NBE22 / (KDC Sài Gòn Mới) / VỊ TRÍ : trụ trc cửa hàng vlxd / (10.685042, 106.744849)</t>
        </is>
      </c>
      <c r="F10" s="52">
        <f>HYPERLINK("https://maps.google.com/?q="&amp;C10&amp;","&amp;D10,"Mở bản đồ")</f>
        <v/>
      </c>
    </row>
    <row r="11">
      <c r="A11" s="4" t="inlineStr">
        <is>
          <t>MX_NVT_01</t>
        </is>
      </c>
      <c r="B11" s="4" t="inlineStr">
        <is>
          <t>MX phối/rẽ</t>
        </is>
      </c>
      <c r="C11" s="4" t="n">
        <v>10.664174</v>
      </c>
      <c r="D11" s="4" t="n">
        <v>106.72585</v>
      </c>
      <c r="E11" s="4" t="inlineStr">
        <is>
          <t>MX_NVT_01 :CHÂN CẦU VƯỢT VÀO TRẠM 54 / VỊ TRÍ : trụ điện đầu hẽm / (10.664174, 106.725850)</t>
        </is>
      </c>
      <c r="F11" s="52">
        <f>HYPERLINK("https://maps.google.com/?q="&amp;C11&amp;","&amp;D11,"Mở bản đồ")</f>
        <v/>
      </c>
    </row>
    <row r="12">
      <c r="A12" s="4" t="inlineStr">
        <is>
          <t>MX_NVT_03A</t>
        </is>
      </c>
      <c r="B12" s="4" t="inlineStr">
        <is>
          <t>MX phối/rẽ</t>
        </is>
      </c>
      <c r="C12" s="4" t="n">
        <v>10.649067</v>
      </c>
      <c r="D12" s="4" t="n">
        <v>106.730726</v>
      </c>
      <c r="E12" s="4" t="inlineStr">
        <is>
          <t>MX_NVT_03A : TRƯỚC CỬA HÀNG QUẦN ÁO / VỊ TRÍ : trụ điện bên đường / (10.649067, 106.730726)</t>
        </is>
      </c>
      <c r="F12" s="52">
        <f>HYPERLINK("https://maps.google.com/?q="&amp;C12&amp;","&amp;D12,"Mở bản đồ")</f>
        <v/>
      </c>
    </row>
    <row r="13">
      <c r="A13" s="4" t="inlineStr">
        <is>
          <t>MX_LVL-01</t>
        </is>
      </c>
      <c r="B13" s="4" t="inlineStr">
        <is>
          <t>MX phối/rẽ</t>
        </is>
      </c>
      <c r="C13" s="4" t="n">
        <v>10.713601</v>
      </c>
      <c r="D13" s="4" t="n">
        <v>106.700976</v>
      </c>
      <c r="E13" s="4" t="inlineStr">
        <is>
          <t>MX_LVL-01 : NGÃ BA LVL - ĐÀO SƯ TÍCH / VỊ TRÍ : trụ điện đầu hẽm / (10.713601, 106.700976)</t>
        </is>
      </c>
      <c r="F13" s="52">
        <f>HYPERLINK("https://maps.google.com/?q="&amp;C13&amp;","&amp;D13,"Mở bản đồ")</f>
        <v/>
      </c>
    </row>
    <row r="14">
      <c r="A14" s="4" t="inlineStr">
        <is>
          <t>MX_HTP-03B</t>
        </is>
      </c>
      <c r="B14" s="4" t="inlineStr">
        <is>
          <t>MX phối/rẽ</t>
        </is>
      </c>
      <c r="C14" s="4" t="n">
        <v>10.685042</v>
      </c>
      <c r="D14" s="4" t="n">
        <v>106.744849</v>
      </c>
      <c r="E14" s="4" t="inlineStr">
        <is>
          <t>MX_HTP-03B : VÀO TRẠM AGG-NBE22 / (KDC Sài Gòn Mới) / VỊ TRÍ : trụ trc cửa hàng vlxd / (10.685042, 106.744849)</t>
        </is>
      </c>
      <c r="F14" s="52">
        <f>HYPERLINK("https://maps.google.com/?q="&amp;C14&amp;","&amp;D14,"Mở bản đồ")</f>
        <v/>
      </c>
    </row>
    <row r="15">
      <c r="A15" s="4" t="inlineStr">
        <is>
          <t>MX_NVT_03B</t>
        </is>
      </c>
      <c r="B15" s="4" t="inlineStr">
        <is>
          <t>MX phối/rẽ</t>
        </is>
      </c>
      <c r="C15" s="4" t="n">
        <v>10.649067</v>
      </c>
      <c r="D15" s="4" t="n">
        <v>106.730726</v>
      </c>
      <c r="E15" s="4" t="inlineStr">
        <is>
          <t>MX_NVT_03A : TRƯỚC CỬA HÀNG QUẦN ÁO / VỊ TRÍ : trụ điện bên đường / (10.649067, 106.730726)</t>
        </is>
      </c>
      <c r="F15" s="52">
        <f>HYPERLINK("https://maps.google.com/?q="&amp;C15&amp;","&amp;D15,"Mở bản đồ")</f>
        <v/>
      </c>
    </row>
    <row r="16">
      <c r="A16" s="4" t="inlineStr">
        <is>
          <t>MX_NB-03</t>
        </is>
      </c>
      <c r="B16" s="4" t="inlineStr">
        <is>
          <t>MX phối/rẽ</t>
        </is>
      </c>
      <c r="C16" s="4" t="n">
        <v>10.676082</v>
      </c>
      <c r="D16" s="4" t="n">
        <v>106.744268</v>
      </c>
      <c r="E16" s="4" t="inlineStr">
        <is>
          <t>MX_NB-03 :ĐẦU HẼM 226 NGUYỄN BÌNH  / VỊ TRÍ : trụ điện đầu hẽm trc nhà thuốc / (10.676082, 106.744268)</t>
        </is>
      </c>
      <c r="F16" s="52">
        <f>HYPERLINK("https://maps.google.com/?q="&amp;C16&amp;","&amp;D16,"Mở bản đồ")</f>
        <v/>
      </c>
    </row>
    <row r="17">
      <c r="A17" s="4" t="inlineStr">
        <is>
          <t>MX_NB-04</t>
        </is>
      </c>
      <c r="B17" s="4" t="inlineStr">
        <is>
          <t>MX phối/rẽ</t>
        </is>
      </c>
      <c r="C17" s="4" t="n">
        <v>10.678409</v>
      </c>
      <c r="D17" s="4" t="n">
        <v>106.753772</v>
      </c>
      <c r="E17" s="4" t="inlineStr">
        <is>
          <t>MX_NB-04 :NGÃ BA NGUYỄN BÌNH - HUỲNH TẤN PHÁT / VỊ TRÍ : trụ điện lề đường HTP / (10.678409, 106.753772)</t>
        </is>
      </c>
      <c r="F17" s="52">
        <f>HYPERLINK("https://maps.google.com/?q="&amp;C17&amp;","&amp;D17,"Mở bản đồ")</f>
        <v/>
      </c>
    </row>
    <row r="18">
      <c r="A18" s="4" t="inlineStr">
        <is>
          <t>MX_LVL-05</t>
        </is>
      </c>
      <c r="B18" s="4" t="inlineStr">
        <is>
          <t>MX phối/rẽ</t>
        </is>
      </c>
      <c r="C18" s="4" t="n">
        <v>10.681201</v>
      </c>
      <c r="D18" s="4" t="n">
        <v>106.700036</v>
      </c>
      <c r="E18" s="4" t="inlineStr">
        <is>
          <t>MX_LVL-05 : NGÃ TƯ LVL - NGUYỄN BÌNH / (Ngay góc Trung tâm Văn hóa) / VỊ TRÍ : trụ trên lề đường / (10.681201, 106.700036)</t>
        </is>
      </c>
      <c r="F18" s="52">
        <f>HYPERLINK("https://maps.google.com/?q="&amp;C18&amp;","&amp;D18,"Mở bản đồ")</f>
        <v/>
      </c>
    </row>
    <row r="19">
      <c r="A19" s="4" t="inlineStr">
        <is>
          <t>MX_NB-01</t>
        </is>
      </c>
      <c r="B19" s="4" t="inlineStr">
        <is>
          <t>MX phối/rẽ</t>
        </is>
      </c>
      <c r="C19" s="4" t="n">
        <v>10.671461</v>
      </c>
      <c r="D19" s="4" t="n">
        <v>106.723518</v>
      </c>
      <c r="E19" s="4" t="inlineStr">
        <is>
          <t>MX_NB-01 : NGÃ BA NGUYỄN BÌNH - NGUYỄN VĂN TẠO / (Dưới chân cầu vượt) / VỊ TRÍ : trụ trên lề đường trc quán cafe / (10.671461, 106.723518)</t>
        </is>
      </c>
      <c r="F19" s="52">
        <f>HYPERLINK("https://maps.google.com/?q="&amp;C19&amp;","&amp;D19,"Mở bản đồ")</f>
        <v/>
      </c>
    </row>
    <row r="20">
      <c r="A20" s="4" t="inlineStr">
        <is>
          <t>MX_NVT_02B</t>
        </is>
      </c>
      <c r="B20" s="4" t="inlineStr">
        <is>
          <t>MX phối/rẽ</t>
        </is>
      </c>
      <c r="C20" s="4" t="n">
        <v>10.656123</v>
      </c>
      <c r="D20" s="4" t="n">
        <v>106.728357</v>
      </c>
      <c r="E20" s="4" t="inlineStr">
        <is>
          <t>MX_NVT_02B : GÓC NGÃ BA TRƯỚC TRƯỜNG HỌC / VỊ TRÍ : trụ điện đối diện UBND / (10.656123, 106.728357)</t>
        </is>
      </c>
      <c r="F20" s="52">
        <f>HYPERLINK("https://maps.google.com/?q="&amp;C20&amp;","&amp;D20,"Mở bản đồ")</f>
        <v/>
      </c>
    </row>
    <row r="21">
      <c r="A21" s="4" t="inlineStr">
        <is>
          <t>MX_DST</t>
        </is>
      </c>
      <c r="B21" s="4" t="inlineStr">
        <is>
          <t>MX phối/rẽ</t>
        </is>
      </c>
      <c r="C21" s="4" t="n">
        <v>10.70107</v>
      </c>
      <c r="D21" s="4" t="n">
        <v>106.686645</v>
      </c>
      <c r="E21" s="4" t="inlineStr">
        <is>
          <t>MX_DST :NGÃ BA ĐÀO SƯ TÍCH-BẾN ĐÒ / VỊ TRÍ : trụ điện đầu đường / (10.701070, 106.686645)</t>
        </is>
      </c>
      <c r="F21" s="52">
        <f>HYPERLINK("https://maps.google.com/?q="&amp;C21&amp;","&amp;D21,"Mở bản đồ")</f>
        <v/>
      </c>
    </row>
    <row r="22">
      <c r="A22" s="4" t="inlineStr">
        <is>
          <t>MX_HTP-02</t>
        </is>
      </c>
      <c r="B22" s="4" t="inlineStr">
        <is>
          <t>MX phối/rẽ</t>
        </is>
      </c>
      <c r="C22" s="4" t="n">
        <v>10.697455</v>
      </c>
      <c r="D22" s="4" t="n">
        <v>106.739115</v>
      </c>
      <c r="E22" s="4" t="inlineStr">
        <is>
          <t>MX_HTP-02 : ĐẦU HẼM 1806 HTP / VỊ TRÍ : trụ điện đầu hẽm / (10.697455, 106.739115)</t>
        </is>
      </c>
      <c r="F22" s="52">
        <f>HYPERLINK("https://maps.google.com/?q="&amp;C22&amp;","&amp;D22,"Mở bản đồ")</f>
        <v/>
      </c>
    </row>
    <row r="23">
      <c r="A23" s="4" t="inlineStr">
        <is>
          <t>MX_PHẠM HÙNG</t>
        </is>
      </c>
      <c r="B23" s="4" t="inlineStr">
        <is>
          <t>MX phối/rẽ</t>
        </is>
      </c>
      <c r="C23" s="4" t="n">
        <v>10.709266</v>
      </c>
      <c r="D23" s="4" t="n">
        <v>106.686776</v>
      </c>
      <c r="E23" s="4" t="inlineStr">
        <is>
          <t>MX_PHẠM HÙNG :ĐẦU HẼM 49 PHẠM HÙNG / VỊ TRÍ : trụ điện ngã ba nguyễn văn ràng / (10.709266, 106.686776)</t>
        </is>
      </c>
      <c r="F23" s="52">
        <f>HYPERLINK("https://maps.google.com/?q="&amp;C23&amp;","&amp;D23,"Mở bản đồ")</f>
        <v/>
      </c>
    </row>
    <row r="24">
      <c r="A24" s="4" t="inlineStr">
        <is>
          <t>MX_LVL-03</t>
        </is>
      </c>
      <c r="B24" s="4" t="inlineStr">
        <is>
          <t>MX phối/rẽ</t>
        </is>
      </c>
      <c r="C24" s="4" t="n">
        <v>10.695197</v>
      </c>
      <c r="D24" s="4" t="n">
        <v>106.704776</v>
      </c>
      <c r="E24" s="4" t="inlineStr">
        <is>
          <t>MX_LVL-03 : NGÃ BA LVL - PHẠM HỮU LẦU / VỊ TRÍ : trụ điện đầu hẽm / (10.695197, 106.704776)</t>
        </is>
      </c>
      <c r="F24" s="52">
        <f>HYPERLINK("https://maps.google.com/?q="&amp;C24&amp;","&amp;D24,"Mở bản đồ")</f>
        <v/>
      </c>
    </row>
    <row r="25">
      <c r="A25" s="4" t="inlineStr">
        <is>
          <t>Thẳng trạm 13-21</t>
        </is>
      </c>
      <c r="B25" s="4" t="inlineStr">
        <is>
          <t>MX thẳng</t>
        </is>
      </c>
      <c r="C25" s="4" t="n">
        <v>10.685797</v>
      </c>
      <c r="D25" s="4" t="n">
        <v>106.744316</v>
      </c>
      <c r="E25" s="4" t="inlineStr">
        <is>
          <t xml:space="preserve">Vị Trí: trc trung tâm Vietel Nhà Bè / Tọa độ:10.685797, 106.744316 / </t>
        </is>
      </c>
      <c r="F25" s="52">
        <f>HYPERLINK("https://maps.google.com/?q="&amp;C25&amp;","&amp;D25,"Mở bản đồ")</f>
        <v/>
      </c>
    </row>
    <row r="26">
      <c r="A26" s="4" t="inlineStr">
        <is>
          <t>Thẳng trạm 62-21</t>
        </is>
      </c>
      <c r="B26" s="4" t="inlineStr">
        <is>
          <t>MX thẳng</t>
        </is>
      </c>
      <c r="C26" s="4" t="n">
        <v>10.689827</v>
      </c>
      <c r="D26" s="4" t="n">
        <v>106.742478</v>
      </c>
      <c r="E26" s="4" t="inlineStr">
        <is>
          <t>Vị Trí: Bên hông trường THCS / Tọa độ: 10.689827, 106.742478</t>
        </is>
      </c>
      <c r="F26" s="52">
        <f>HYPERLINK("https://maps.google.com/?q="&amp;C26&amp;","&amp;D26,"Mở bản đồ")</f>
        <v/>
      </c>
    </row>
    <row r="27">
      <c r="A27" s="4" t="inlineStr">
        <is>
          <t>Thẳng  trạm 66-16</t>
        </is>
      </c>
      <c r="B27" s="4" t="inlineStr">
        <is>
          <t>MX thẳng</t>
        </is>
      </c>
      <c r="C27" s="4" t="n">
        <v>10.701985</v>
      </c>
      <c r="D27" s="4" t="n">
        <v>106.738068</v>
      </c>
      <c r="E27" s="4" t="inlineStr">
        <is>
          <t>Vị Trí: đầu cầu Phú Xuân để cáp sai / Tọa độ:10.701985, 106.738068</t>
        </is>
      </c>
      <c r="F27" s="52">
        <f>HYPERLINK("https://maps.google.com/?q="&amp;C27&amp;","&amp;D27,"Mở bản đồ")</f>
        <v/>
      </c>
    </row>
    <row r="28">
      <c r="A28" s="4" t="inlineStr">
        <is>
          <t>Phủ  PHL xe máng</t>
        </is>
      </c>
      <c r="B28" s="4" t="inlineStr">
        <is>
          <t>MX thẳng</t>
        </is>
      </c>
      <c r="C28" s="4" t="n">
        <v>10.693147</v>
      </c>
      <c r="D28" s="4" t="n">
        <v>106.717461</v>
      </c>
      <c r="E28" s="4" t="inlineStr">
        <is>
          <t>Vị Trí: ngõ vào công trình / Tọa độ:10.693147, 106.717461</t>
        </is>
      </c>
      <c r="F28" s="52">
        <f>HYPERLINK("https://maps.google.com/?q="&amp;C28&amp;","&amp;D28,"Mở bản đồ")</f>
        <v/>
      </c>
    </row>
    <row r="29">
      <c r="A29" s="4" t="inlineStr">
        <is>
          <t>Thẳng tiệm nhôm LVL</t>
        </is>
      </c>
      <c r="B29" s="4" t="inlineStr">
        <is>
          <t>MX thẳng</t>
        </is>
      </c>
      <c r="C29" s="4" t="n">
        <v>10.702058</v>
      </c>
      <c r="D29" s="4" t="n">
        <v>106.704007</v>
      </c>
      <c r="E29" s="4" t="inlineStr">
        <is>
          <t>Vị Trí: Trước tiệm nhôm LVL / Tọa độ: 10.702058, 106.704007</t>
        </is>
      </c>
      <c r="F29" s="52">
        <f>HYPERLINK("https://maps.google.com/?q="&amp;C29&amp;","&amp;D29,"Mở bản đồ")</f>
        <v/>
      </c>
    </row>
    <row r="30">
      <c r="A30" s="4" t="inlineStr">
        <is>
          <t>Thẳng trạm 11-56</t>
        </is>
      </c>
      <c r="B30" s="4" t="inlineStr">
        <is>
          <t>MX thẳng</t>
        </is>
      </c>
      <c r="C30" s="4" t="n">
        <v>10.71796</v>
      </c>
      <c r="D30" s="4" t="n">
        <v>106.699514</v>
      </c>
      <c r="E30" s="4" t="inlineStr">
        <is>
          <t>Vị Trí: Không rõ / Tọa độ:10.717960, 106.699514</t>
        </is>
      </c>
      <c r="F30" s="52">
        <f>HYPERLINK("https://maps.google.com/?q="&amp;C30&amp;","&amp;D30,"Mở bản đồ")</f>
        <v/>
      </c>
    </row>
    <row r="31">
      <c r="A31" s="4" t="inlineStr">
        <is>
          <t>Thẳng ng bình 12FO</t>
        </is>
      </c>
      <c r="B31" s="4" t="inlineStr">
        <is>
          <t>MX thẳng</t>
        </is>
      </c>
      <c r="C31" s="4" t="n">
        <v>10.685458</v>
      </c>
      <c r="D31" s="4" t="n">
        <v>106.694911</v>
      </c>
      <c r="E31" s="4" t="inlineStr">
        <is>
          <t>Vị Trí:đoạn 12FO đi ĐST / Tọa độ:10.685458, 106.694911</t>
        </is>
      </c>
      <c r="F31" s="52">
        <f>HYPERLINK("https://maps.google.com/?q="&amp;C31&amp;","&amp;D31,"Mở bản đồ")</f>
        <v/>
      </c>
    </row>
    <row r="32">
      <c r="A32" s="4" t="inlineStr">
        <is>
          <t>Thẳng ng bình 24FO</t>
        </is>
      </c>
      <c r="B32" s="4" t="inlineStr">
        <is>
          <t>MX thẳng</t>
        </is>
      </c>
      <c r="C32" s="4" t="n">
        <v>10.670323</v>
      </c>
      <c r="D32" s="4" t="n">
        <v>106.714658</v>
      </c>
      <c r="E32" s="4" t="inlineStr">
        <is>
          <t>Vị Trí: Đối diện Điện lực Duyên Hải / Tọa độ:10.670323, 106.714658</t>
        </is>
      </c>
      <c r="F32" s="52">
        <f>HYPERLINK("https://maps.google.com/?q="&amp;C32&amp;","&amp;D32,"Mở bản đồ")</f>
        <v/>
      </c>
    </row>
    <row r="33">
      <c r="A33" s="4" t="inlineStr">
        <is>
          <t>MX thẳng HTP</t>
        </is>
      </c>
      <c r="B33" s="4" t="inlineStr">
        <is>
          <t>MX thẳng</t>
        </is>
      </c>
      <c r="C33" s="4" t="n">
        <v>10.680424</v>
      </c>
      <c r="D33" s="4" t="n">
        <v>106.748376</v>
      </c>
      <c r="E33" s="4" t="inlineStr">
        <is>
          <t>Vị Trí: hết đoạn 600m từ SG mới trên dg HTP / Tọa độ:10.680424, 106.748376</t>
        </is>
      </c>
      <c r="F33" s="52">
        <f>HYPERLINK("https://maps.google.com/?q="&amp;C33&amp;","&amp;D33,"Mở bản đồ")</f>
        <v/>
      </c>
    </row>
    <row r="34">
      <c r="A34" s="4" t="inlineStr">
        <is>
          <t>Bờ sông Đào Sư Tích</t>
        </is>
      </c>
      <c r="B34" s="4" t="inlineStr">
        <is>
          <t>MX thẳng</t>
        </is>
      </c>
      <c r="C34" s="4" t="n">
        <v>10.702824</v>
      </c>
      <c r="D34" s="4" t="n">
        <v>106.686119</v>
      </c>
      <c r="E34" s="4" t="inlineStr">
        <is>
          <t>Vị Trí: Không rõ / Tọa độ:10.702824, 106.686119</t>
        </is>
      </c>
      <c r="F34" s="52">
        <f>HYPERLINK("https://maps.google.com/?q="&amp;C34&amp;","&amp;D34,"Mở bản đồ")</f>
        <v/>
      </c>
    </row>
    <row r="35">
      <c r="A35" s="4" t="inlineStr">
        <is>
          <t>Thẳng LVL</t>
        </is>
      </c>
      <c r="B35" s="4" t="inlineStr">
        <is>
          <t>MX thẳng</t>
        </is>
      </c>
      <c r="C35" s="4" t="n">
        <v>10.720935</v>
      </c>
      <c r="D35" s="4" t="n">
        <v>106.698565</v>
      </c>
      <c r="E35" s="4" t="inlineStr">
        <is>
          <t>Vị Trí: ngã 3 LVL - dg số 11 / Tọa độ:10.720935, 106.698565</t>
        </is>
      </c>
      <c r="F35" s="52">
        <f>HYPERLINK("https://maps.google.com/?q="&amp;C35&amp;","&amp;D35,"Mở bản đồ")</f>
        <v/>
      </c>
    </row>
    <row r="36">
      <c r="A36" s="4" t="inlineStr">
        <is>
          <t>Thẳng Ng V.Linh</t>
        </is>
      </c>
      <c r="B36" s="4" t="inlineStr">
        <is>
          <t>MX thẳng</t>
        </is>
      </c>
      <c r="C36" s="4" t="n">
        <v>10.727916</v>
      </c>
      <c r="D36" s="4" t="n">
        <v>106.693988</v>
      </c>
      <c r="E36" s="4" t="inlineStr">
        <is>
          <t>Vị Trí: trc cổng Honda oto Sài Gòn / Tọa độ:10.727916, 106.693988</t>
        </is>
      </c>
      <c r="F36" s="52">
        <f>HYPERLINK("https://maps.google.com/?q="&amp;C36&amp;","&amp;D36,"Mở bản đồ")</f>
        <v/>
      </c>
    </row>
    <row r="37">
      <c r="A37" s="4" t="inlineStr">
        <is>
          <t>Thẳng Ng V.Linh (2)</t>
        </is>
      </c>
      <c r="B37" s="4" t="inlineStr">
        <is>
          <t>MX thẳng</t>
        </is>
      </c>
      <c r="C37" s="4" t="n">
        <v>10.727913</v>
      </c>
      <c r="D37" s="4" t="n">
        <v>106.68842</v>
      </c>
      <c r="E37" s="4" t="inlineStr">
        <is>
          <t>Vị Trí: trụ điện đầu dg chui chân cầu Ông Lớn / Tọa độ:10.727913, 106.688420</t>
        </is>
      </c>
      <c r="F37" s="52">
        <f>HYPERLINK("https://maps.google.com/?q="&amp;C37&amp;","&amp;D37,"Mở bản đồ")</f>
        <v/>
      </c>
    </row>
    <row r="38">
      <c r="A38" s="4" t="inlineStr">
        <is>
          <t>Thẳng Phạm Hùng</t>
        </is>
      </c>
      <c r="B38" s="4" t="inlineStr">
        <is>
          <t>MX thẳng</t>
        </is>
      </c>
      <c r="C38" s="4" t="n">
        <v>10.724996</v>
      </c>
      <c r="D38" s="4" t="n">
        <v>106.679658</v>
      </c>
      <c r="E38" s="4" t="inlineStr">
        <is>
          <t>Vị Trí: Trụ điện ngay cổng nhà xe Thành Bưởi / Tọa độ:10.724996, 106.679658</t>
        </is>
      </c>
      <c r="F38" s="52">
        <f>HYPERLINK("https://maps.google.com/?q="&amp;C38&amp;","&amp;D38,"Mở bản đồ")</f>
        <v/>
      </c>
    </row>
    <row r="39">
      <c r="A39" s="4" t="inlineStr">
        <is>
          <t>Bờ sông Phạm Hùng</t>
        </is>
      </c>
      <c r="B39" s="4" t="inlineStr">
        <is>
          <t>MX thẳng</t>
        </is>
      </c>
      <c r="C39" s="4" t="n">
        <v>10.703079</v>
      </c>
      <c r="D39" s="4" t="n">
        <v>106.685387</v>
      </c>
      <c r="E39" s="4" t="inlineStr">
        <is>
          <t>Vị Trí: Không rõ / Tọa độ:10.703079, 106.685387</t>
        </is>
      </c>
      <c r="F39" s="52">
        <f>HYPERLINK("https://maps.google.com/?q="&amp;C39&amp;","&amp;D39,"Mở bản đồ")</f>
        <v/>
      </c>
    </row>
    <row r="40">
      <c r="A40" s="4" t="inlineStr">
        <is>
          <t>Ngã ba HTP-PHL</t>
        </is>
      </c>
      <c r="B40" s="4" t="inlineStr">
        <is>
          <t>MX thẳng</t>
        </is>
      </c>
      <c r="C40" s="4" t="n">
        <v>10.701967</v>
      </c>
      <c r="D40" s="4" t="n">
        <v>106.738028</v>
      </c>
      <c r="E40" s="4" t="inlineStr">
        <is>
          <t>Vị Trí: Trụ điện trc tiệm mắt kính / Tọa độ: 10.701967, 106.738028</t>
        </is>
      </c>
      <c r="F40" s="52">
        <f>HYPERLINK("https://maps.google.com/?q="&amp;C40&amp;","&amp;D40,"Mở bản đồ")</f>
        <v/>
      </c>
    </row>
    <row r="41">
      <c r="A41" s="4" t="inlineStr">
        <is>
          <t>Thẳng gần cầu Phước Long PHL</t>
        </is>
      </c>
      <c r="B41" s="4" t="inlineStr">
        <is>
          <t>MX thẳng</t>
        </is>
      </c>
      <c r="C41" s="4" t="n">
        <v>10.692075</v>
      </c>
      <c r="D41" s="4" t="n">
        <v>106.71514</v>
      </c>
      <c r="E41" s="4" t="inlineStr">
        <is>
          <t>Vị Trí: / Tọa độ:10.692075, 106.715140</t>
        </is>
      </c>
      <c r="F41" s="52">
        <f>HYPERLINK("https://maps.google.com/?q="&amp;C41&amp;","&amp;D41,"Mở bản đồ")</f>
        <v/>
      </c>
    </row>
    <row r="42">
      <c r="A42" s="4" t="inlineStr">
        <is>
          <t>Nhập dài Long thới hướng NVT</t>
        </is>
      </c>
      <c r="B42" s="4" t="inlineStr">
        <is>
          <t>MX thẳng</t>
        </is>
      </c>
      <c r="C42" s="4" t="n">
        <v>10.670157</v>
      </c>
      <c r="D42" s="4" t="n">
        <v>106.723936</v>
      </c>
      <c r="E42" s="4" t="inlineStr">
        <is>
          <t>Vị Trí: / Tọa độ:10.670157, 106.723936</t>
        </is>
      </c>
      <c r="F42" s="52">
        <f>HYPERLINK("https://maps.google.com/?q="&amp;C42&amp;","&amp;D42,"Mở bản đồ")</f>
        <v/>
      </c>
    </row>
    <row r="43">
      <c r="A43" s="4" t="inlineStr">
        <is>
          <t>Nhập dài SG mới hướng NB</t>
        </is>
      </c>
      <c r="B43" s="4" t="inlineStr">
        <is>
          <t>MX thẳng</t>
        </is>
      </c>
      <c r="C43" s="4" t="n">
        <v>10.685037</v>
      </c>
      <c r="D43" s="4" t="n">
        <v>106.744839</v>
      </c>
      <c r="E43" s="4" t="inlineStr">
        <is>
          <t>Vị Trí: / Tọa độ:10.685037, 106.744839</t>
        </is>
      </c>
      <c r="F43" s="52">
        <f>HYPERLINK("https://maps.google.com/?q="&amp;C43&amp;","&amp;D43,"Mở bản đồ")</f>
        <v/>
      </c>
    </row>
    <row r="44">
      <c r="A44" s="4" t="inlineStr">
        <is>
          <t>Thẳng cầu vượt NVT</t>
        </is>
      </c>
      <c r="B44" s="4" t="inlineStr">
        <is>
          <t>MX thẳng</t>
        </is>
      </c>
      <c r="C44" s="4" t="n">
        <v>10.663103</v>
      </c>
      <c r="D44" s="4" t="n">
        <v>106.726166</v>
      </c>
      <c r="E44" s="4" t="inlineStr">
        <is>
          <t>Vị Trí: / Tọa độ:10.663103, 106.726166</t>
        </is>
      </c>
      <c r="F44" s="52">
        <f>HYPERLINK("https://maps.google.com/?q="&amp;C44&amp;","&amp;D44,"Mở bản đồ")</f>
        <v/>
      </c>
    </row>
    <row r="45">
      <c r="A45" s="4" t="inlineStr">
        <is>
          <t>Thẳng trạm 48-60</t>
        </is>
      </c>
      <c r="B45" s="4" t="inlineStr">
        <is>
          <t>MX thẳng</t>
        </is>
      </c>
      <c r="C45" s="4" t="n">
        <v>10.629328</v>
      </c>
      <c r="D45" s="4" t="n">
        <v>106.736431</v>
      </c>
      <c r="E45" s="4" t="inlineStr">
        <is>
          <t>Vị Trí: / Tọa độ:10.629328, 106.736431</t>
        </is>
      </c>
      <c r="F45" s="52">
        <f>HYPERLINK("https://maps.google.com/?q="&amp;C45&amp;","&amp;D45,"Mở bản đồ")</f>
        <v/>
      </c>
    </row>
    <row r="46">
      <c r="A46" s="4" t="inlineStr">
        <is>
          <t>Thẳng trạm 60-59</t>
        </is>
      </c>
      <c r="B46" s="4" t="inlineStr">
        <is>
          <t>MX thẳng</t>
        </is>
      </c>
      <c r="C46" s="4" t="n">
        <v>10.631964</v>
      </c>
      <c r="D46" s="4" t="n">
        <v>106.735898</v>
      </c>
      <c r="E46" s="4" t="inlineStr">
        <is>
          <t>Vị Trí: / Tọa độ:10.631964, 106.735898</t>
        </is>
      </c>
      <c r="F46" s="52">
        <f>HYPERLINK("https://maps.google.com/?q="&amp;C46&amp;","&amp;D46,"Mở bản đồ")</f>
        <v/>
      </c>
    </row>
    <row r="47">
      <c r="A47" s="4" t="inlineStr">
        <is>
          <t>Thẳng Ngô Quang Thắm</t>
        </is>
      </c>
      <c r="B47" s="4" t="inlineStr">
        <is>
          <t>MX thẳng</t>
        </is>
      </c>
      <c r="C47" s="4" t="n">
        <v>10.661365</v>
      </c>
      <c r="D47" s="4" t="n">
        <v>106.700128</v>
      </c>
      <c r="E47" s="4" t="inlineStr">
        <is>
          <t>Vị Trí: / Tọa độ:10.661365, 106.700128</t>
        </is>
      </c>
      <c r="F47" s="52">
        <f>HYPERLINK("https://maps.google.com/?q="&amp;C47&amp;","&amp;D47,"Mở bản đồ")</f>
        <v/>
      </c>
    </row>
    <row r="48">
      <c r="A48" s="4" t="inlineStr">
        <is>
          <t>Thẳng Ngô Quang Thắm (2)</t>
        </is>
      </c>
      <c r="B48" s="4" t="inlineStr">
        <is>
          <t>MX thẳng</t>
        </is>
      </c>
      <c r="C48" s="4" t="n">
        <v>10.66243</v>
      </c>
      <c r="D48" s="4" t="n">
        <v>106.697537</v>
      </c>
      <c r="E48" s="4" t="inlineStr">
        <is>
          <t>Vị Trí: / Tọa độ:10.662430, 106.697537</t>
        </is>
      </c>
      <c r="F48" s="52">
        <f>HYPERLINK("https://maps.google.com/?q="&amp;C48&amp;","&amp;D48,"Mở bản đồ")</f>
        <v/>
      </c>
    </row>
    <row r="49">
      <c r="A49" s="4" t="inlineStr">
        <is>
          <t>Nối NQT-LVL</t>
        </is>
      </c>
      <c r="B49" s="4" t="inlineStr">
        <is>
          <t>MX thẳng</t>
        </is>
      </c>
      <c r="C49" s="4" t="n">
        <v>10.673387</v>
      </c>
      <c r="D49" s="4" t="n">
        <v>106.697939</v>
      </c>
      <c r="E49" s="4" t="inlineStr">
        <is>
          <t>Vị Trí: / Tọa độ:10.673387, 106.697939</t>
        </is>
      </c>
      <c r="F49" s="52">
        <f>HYPERLINK("https://maps.google.com/?q="&amp;C49&amp;","&amp;D49,"Mở bản đồ")</f>
        <v/>
      </c>
    </row>
  </sheetData>
  <pageMargins left="0.75" right="0.75" top="1" bottom="1" header="0.5" footer="0.5"/>
  <pageSetup orientation="landscape" fitToHeight="0" fitToWidth="1"/>
</worksheet>
</file>

<file path=xl/worksheets/sheet22.xml><?xml version="1.0" encoding="utf-8"?>
<worksheet xmlns="http://schemas.openxmlformats.org/spreadsheetml/2006/main">
  <sheetPr>
    <outlinePr summaryBelow="1" summaryRight="1"/>
    <pageSetUpPr fitToPage="1"/>
  </sheetPr>
  <dimension ref="A1:H300"/>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8" customWidth="1" min="3" max="3"/>
    <col width="8" customWidth="1" min="4" max="4"/>
    <col width="26" customWidth="1" min="5" max="5"/>
    <col width="8" customWidth="1" min="6" max="6"/>
    <col width="8" customWidth="1" min="7" max="7"/>
    <col width="50" customWidth="1" min="8" max="8"/>
  </cols>
  <sheetData>
    <row r="1">
      <c r="A1" s="1" t="inlineStr">
        <is>
          <t>Nhập thêm hàn nối cho măng xông chưa có nhãn (NVT_01, NB-02/03/04, HTP-03B…)</t>
        </is>
      </c>
    </row>
    <row r="2">
      <c r="A2" s="2" t="inlineStr">
        <is>
          <t>Quy ước nhãn: cùng nhãn = cùng nhóm hàn; trong một nhãn sợi nhỏ hàn sợi nhỏ (A1–A1, A2–A2…). Điền vào ô vàng; ví dụ dưới là DỮ LIỆU GIẢ ĐỊNH để minh hoạ.</t>
        </is>
      </c>
    </row>
    <row r="4" ht="32" customHeight="1">
      <c r="A4" s="3" t="inlineStr">
        <is>
          <t>Măng xông</t>
        </is>
      </c>
      <c r="B4" s="3" t="inlineStr">
        <is>
          <t>Cáp A</t>
        </is>
      </c>
      <c r="C4" s="3" t="inlineStr">
        <is>
          <t>Sợi A</t>
        </is>
      </c>
      <c r="D4" s="3" t="inlineStr">
        <is>
          <t>Nhãn</t>
        </is>
      </c>
      <c r="E4" s="3" t="inlineStr">
        <is>
          <t>Cáp B</t>
        </is>
      </c>
      <c r="F4" s="3" t="inlineStr">
        <is>
          <t>Sợi B</t>
        </is>
      </c>
      <c r="G4" s="3" t="inlineStr">
        <is>
          <t>Khay</t>
        </is>
      </c>
      <c r="H4" s="3" t="inlineStr">
        <is>
          <t>Ghi chú</t>
        </is>
      </c>
    </row>
    <row r="5">
      <c r="A5" s="2" t="inlineStr">
        <is>
          <t>(VÍ DỤ GIẢ ĐỊNH)</t>
        </is>
      </c>
      <c r="B5" s="2" t="inlineStr">
        <is>
          <t>Cáp 12FO (A)</t>
        </is>
      </c>
      <c r="C5" s="2" t="n">
        <v>1</v>
      </c>
      <c r="D5" s="2" t="inlineStr">
        <is>
          <t>A</t>
        </is>
      </c>
      <c r="E5" s="2" t="inlineStr">
        <is>
          <t>Cáp 6FO (B)</t>
        </is>
      </c>
      <c r="F5" s="2" t="n">
        <v>1</v>
      </c>
      <c r="G5" s="2" t="inlineStr"/>
      <c r="H5" s="2" t="inlineStr">
        <is>
          <t>minh hoạ quy ước nhãn</t>
        </is>
      </c>
    </row>
    <row r="6">
      <c r="A6" s="2" t="inlineStr">
        <is>
          <t>(VÍ DỤ GIẢ ĐỊNH)</t>
        </is>
      </c>
      <c r="B6" s="2" t="inlineStr">
        <is>
          <t>Cáp 12FO (A)</t>
        </is>
      </c>
      <c r="C6" s="2" t="n">
        <v>2</v>
      </c>
      <c r="D6" s="2" t="inlineStr">
        <is>
          <t>A</t>
        </is>
      </c>
      <c r="E6" s="2" t="inlineStr">
        <is>
          <t>Cáp 6FO (B)</t>
        </is>
      </c>
      <c r="F6" s="2" t="n">
        <v>2</v>
      </c>
      <c r="G6" s="2" t="inlineStr"/>
      <c r="H6" s="2" t="inlineStr">
        <is>
          <t>minh hoạ quy ước nhãn</t>
        </is>
      </c>
    </row>
    <row r="7">
      <c r="A7" s="2" t="inlineStr">
        <is>
          <t>(VÍ DỤ GIẢ ĐỊNH)</t>
        </is>
      </c>
      <c r="B7" s="2" t="inlineStr">
        <is>
          <t>Cáp 12FO (A)</t>
        </is>
      </c>
      <c r="C7" s="2" t="n">
        <v>3</v>
      </c>
      <c r="D7" s="2" t="inlineStr">
        <is>
          <t>B</t>
        </is>
      </c>
      <c r="E7" s="2" t="inlineStr">
        <is>
          <t>Cáp 6FO (B)</t>
        </is>
      </c>
      <c r="F7" s="2" t="n">
        <v>3</v>
      </c>
      <c r="G7" s="2" t="inlineStr"/>
      <c r="H7" s="2" t="inlineStr">
        <is>
          <t>minh hoạ quy ước nhãn</t>
        </is>
      </c>
    </row>
    <row r="8">
      <c r="A8" s="2" t="inlineStr">
        <is>
          <t>(VÍ DỤ GIẢ ĐỊNH)</t>
        </is>
      </c>
      <c r="B8" s="2" t="inlineStr">
        <is>
          <t>Cáp 12FO (A)</t>
        </is>
      </c>
      <c r="C8" s="2" t="n">
        <v>4</v>
      </c>
      <c r="D8" s="2" t="inlineStr">
        <is>
          <t>B</t>
        </is>
      </c>
      <c r="E8" s="2" t="inlineStr">
        <is>
          <t>Cáp 6FO (B)</t>
        </is>
      </c>
      <c r="F8" s="2" t="n">
        <v>4</v>
      </c>
      <c r="G8" s="2" t="inlineStr"/>
      <c r="H8" s="2" t="inlineStr">
        <is>
          <t>minh hoạ quy ước nhãn</t>
        </is>
      </c>
    </row>
    <row r="9">
      <c r="A9" s="63" t="inlineStr">
        <is>
          <t>(VÍ DỤ) cảnh báo: nhãn C: chỉ có ở một đầu cáp (Cáp 12FO (A))</t>
        </is>
      </c>
    </row>
    <row r="10"/>
    <row r="11"/>
    <row r="12"/>
    <row r="13"/>
    <row r="14"/>
    <row r="15"/>
    <row r="16"/>
    <row r="17"/>
    <row r="18"/>
    <row r="19"/>
    <row r="20"/>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1">
      <c r="A31" s="13" t="n"/>
      <c r="B31" s="13" t="n"/>
      <c r="C31" s="13" t="n"/>
      <c r="D31" s="13" t="n"/>
      <c r="E31" s="13" t="n"/>
      <c r="F31" s="13" t="n"/>
      <c r="G31" s="13" t="n"/>
      <c r="H31" s="13" t="n"/>
    </row>
    <row r="32">
      <c r="A32" s="13" t="n"/>
      <c r="B32" s="13" t="n"/>
      <c r="C32" s="13" t="n"/>
      <c r="D32" s="13" t="n"/>
      <c r="E32" s="13" t="n"/>
      <c r="F32" s="13" t="n"/>
      <c r="G32" s="13" t="n"/>
      <c r="H32" s="13" t="n"/>
    </row>
    <row r="33">
      <c r="A33" s="13" t="n"/>
      <c r="B33" s="13" t="n"/>
      <c r="C33" s="13" t="n"/>
      <c r="D33" s="13" t="n"/>
      <c r="E33" s="13" t="n"/>
      <c r="F33" s="13" t="n"/>
      <c r="G33" s="13" t="n"/>
      <c r="H33" s="13" t="n"/>
    </row>
    <row r="34">
      <c r="A34" s="13" t="n"/>
      <c r="B34" s="13" t="n"/>
      <c r="C34" s="13" t="n"/>
      <c r="D34" s="13" t="n"/>
      <c r="E34" s="13" t="n"/>
      <c r="F34" s="13" t="n"/>
      <c r="G34" s="13" t="n"/>
      <c r="H34" s="13" t="n"/>
    </row>
    <row r="35">
      <c r="A35" s="13" t="n"/>
      <c r="B35" s="13" t="n"/>
      <c r="C35" s="13" t="n"/>
      <c r="D35" s="13" t="n"/>
      <c r="E35" s="13" t="n"/>
      <c r="F35" s="13" t="n"/>
      <c r="G35" s="13" t="n"/>
      <c r="H35" s="13" t="n"/>
    </row>
    <row r="36">
      <c r="A36" s="13" t="n"/>
      <c r="B36" s="13" t="n"/>
      <c r="C36" s="13" t="n"/>
      <c r="D36" s="13" t="n"/>
      <c r="E36" s="13" t="n"/>
      <c r="F36" s="13" t="n"/>
      <c r="G36" s="13" t="n"/>
      <c r="H36" s="13" t="n"/>
    </row>
    <row r="37">
      <c r="A37" s="13" t="n"/>
      <c r="B37" s="13" t="n"/>
      <c r="C37" s="13" t="n"/>
      <c r="D37" s="13" t="n"/>
      <c r="E37" s="13" t="n"/>
      <c r="F37" s="13" t="n"/>
      <c r="G37" s="13" t="n"/>
      <c r="H37" s="13" t="n"/>
    </row>
    <row r="38">
      <c r="A38" s="13" t="n"/>
      <c r="B38" s="13" t="n"/>
      <c r="C38" s="13" t="n"/>
      <c r="D38" s="13" t="n"/>
      <c r="E38" s="13" t="n"/>
      <c r="F38" s="13" t="n"/>
      <c r="G38" s="13" t="n"/>
      <c r="H38" s="13" t="n"/>
    </row>
    <row r="39">
      <c r="A39" s="13" t="n"/>
      <c r="B39" s="13" t="n"/>
      <c r="C39" s="13" t="n"/>
      <c r="D39" s="13" t="n"/>
      <c r="E39" s="13" t="n"/>
      <c r="F39" s="13" t="n"/>
      <c r="G39" s="13" t="n"/>
      <c r="H39" s="13" t="n"/>
    </row>
    <row r="40">
      <c r="A40" s="13" t="n"/>
      <c r="B40" s="13" t="n"/>
      <c r="C40" s="13" t="n"/>
      <c r="D40" s="13" t="n"/>
      <c r="E40" s="13" t="n"/>
      <c r="F40" s="13" t="n"/>
      <c r="G40" s="13" t="n"/>
      <c r="H40" s="13" t="n"/>
    </row>
    <row r="41">
      <c r="A41" s="13" t="n"/>
      <c r="B41" s="13" t="n"/>
      <c r="C41" s="13" t="n"/>
      <c r="D41" s="13" t="n"/>
      <c r="E41" s="13" t="n"/>
      <c r="F41" s="13" t="n"/>
      <c r="G41" s="13" t="n"/>
      <c r="H41" s="13" t="n"/>
    </row>
    <row r="42">
      <c r="A42" s="13" t="n"/>
      <c r="B42" s="13" t="n"/>
      <c r="C42" s="13" t="n"/>
      <c r="D42" s="13" t="n"/>
      <c r="E42" s="13" t="n"/>
      <c r="F42" s="13" t="n"/>
      <c r="G42" s="13" t="n"/>
      <c r="H42" s="13" t="n"/>
    </row>
    <row r="43">
      <c r="A43" s="13" t="n"/>
      <c r="B43" s="13" t="n"/>
      <c r="C43" s="13" t="n"/>
      <c r="D43" s="13" t="n"/>
      <c r="E43" s="13" t="n"/>
      <c r="F43" s="13" t="n"/>
      <c r="G43" s="13" t="n"/>
      <c r="H43" s="13" t="n"/>
    </row>
    <row r="44">
      <c r="A44" s="13" t="n"/>
      <c r="B44" s="13" t="n"/>
      <c r="C44" s="13" t="n"/>
      <c r="D44" s="13" t="n"/>
      <c r="E44" s="13" t="n"/>
      <c r="F44" s="13" t="n"/>
      <c r="G44" s="13" t="n"/>
      <c r="H44" s="13" t="n"/>
    </row>
    <row r="45">
      <c r="A45" s="13" t="n"/>
      <c r="B45" s="13" t="n"/>
      <c r="C45" s="13" t="n"/>
      <c r="D45" s="13" t="n"/>
      <c r="E45" s="13" t="n"/>
      <c r="F45" s="13" t="n"/>
      <c r="G45" s="13" t="n"/>
      <c r="H45" s="13" t="n"/>
    </row>
    <row r="46">
      <c r="A46" s="13" t="n"/>
      <c r="B46" s="13" t="n"/>
      <c r="C46" s="13" t="n"/>
      <c r="D46" s="13" t="n"/>
      <c r="E46" s="13" t="n"/>
      <c r="F46" s="13" t="n"/>
      <c r="G46" s="13" t="n"/>
      <c r="H46" s="13" t="n"/>
    </row>
    <row r="47">
      <c r="A47" s="13" t="n"/>
      <c r="B47" s="13" t="n"/>
      <c r="C47" s="13" t="n"/>
      <c r="D47" s="13" t="n"/>
      <c r="E47" s="13" t="n"/>
      <c r="F47" s="13" t="n"/>
      <c r="G47" s="13" t="n"/>
      <c r="H47" s="13" t="n"/>
    </row>
    <row r="48">
      <c r="A48" s="13" t="n"/>
      <c r="B48" s="13" t="n"/>
      <c r="C48" s="13" t="n"/>
      <c r="D48" s="13" t="n"/>
      <c r="E48" s="13" t="n"/>
      <c r="F48" s="13" t="n"/>
      <c r="G48" s="13" t="n"/>
      <c r="H48" s="13" t="n"/>
    </row>
    <row r="49">
      <c r="A49" s="13" t="n"/>
      <c r="B49" s="13" t="n"/>
      <c r="C49" s="13" t="n"/>
      <c r="D49" s="13" t="n"/>
      <c r="E49" s="13" t="n"/>
      <c r="F49" s="13" t="n"/>
      <c r="G49" s="13" t="n"/>
      <c r="H49" s="13" t="n"/>
    </row>
    <row r="50">
      <c r="A50" s="13" t="n"/>
      <c r="B50" s="13" t="n"/>
      <c r="C50" s="13" t="n"/>
      <c r="D50" s="13" t="n"/>
      <c r="E50" s="13" t="n"/>
      <c r="F50" s="13" t="n"/>
      <c r="G50" s="13" t="n"/>
      <c r="H50" s="13" t="n"/>
    </row>
    <row r="51">
      <c r="A51" s="13" t="n"/>
      <c r="B51" s="13" t="n"/>
      <c r="C51" s="13" t="n"/>
      <c r="D51" s="13" t="n"/>
      <c r="E51" s="13" t="n"/>
      <c r="F51" s="13" t="n"/>
      <c r="G51" s="13" t="n"/>
      <c r="H51" s="13" t="n"/>
    </row>
    <row r="52">
      <c r="A52" s="13" t="n"/>
      <c r="B52" s="13" t="n"/>
      <c r="C52" s="13" t="n"/>
      <c r="D52" s="13" t="n"/>
      <c r="E52" s="13" t="n"/>
      <c r="F52" s="13" t="n"/>
      <c r="G52" s="13" t="n"/>
      <c r="H52" s="13" t="n"/>
    </row>
    <row r="53">
      <c r="A53" s="13" t="n"/>
      <c r="B53" s="13" t="n"/>
      <c r="C53" s="13" t="n"/>
      <c r="D53" s="13" t="n"/>
      <c r="E53" s="13" t="n"/>
      <c r="F53" s="13" t="n"/>
      <c r="G53" s="13" t="n"/>
      <c r="H53" s="13" t="n"/>
    </row>
    <row r="54">
      <c r="A54" s="13" t="n"/>
      <c r="B54" s="13" t="n"/>
      <c r="C54" s="13" t="n"/>
      <c r="D54" s="13" t="n"/>
      <c r="E54" s="13" t="n"/>
      <c r="F54" s="13" t="n"/>
      <c r="G54" s="13" t="n"/>
      <c r="H54" s="13" t="n"/>
    </row>
    <row r="55">
      <c r="A55" s="13" t="n"/>
      <c r="B55" s="13" t="n"/>
      <c r="C55" s="13" t="n"/>
      <c r="D55" s="13" t="n"/>
      <c r="E55" s="13" t="n"/>
      <c r="F55" s="13" t="n"/>
      <c r="G55" s="13" t="n"/>
      <c r="H55" s="13" t="n"/>
    </row>
    <row r="56">
      <c r="A56" s="13" t="n"/>
      <c r="B56" s="13" t="n"/>
      <c r="C56" s="13" t="n"/>
      <c r="D56" s="13" t="n"/>
      <c r="E56" s="13" t="n"/>
      <c r="F56" s="13" t="n"/>
      <c r="G56" s="13" t="n"/>
      <c r="H56" s="13" t="n"/>
    </row>
    <row r="57">
      <c r="A57" s="13" t="n"/>
      <c r="B57" s="13" t="n"/>
      <c r="C57" s="13" t="n"/>
      <c r="D57" s="13" t="n"/>
      <c r="E57" s="13" t="n"/>
      <c r="F57" s="13" t="n"/>
      <c r="G57" s="13" t="n"/>
      <c r="H57" s="13" t="n"/>
    </row>
    <row r="58">
      <c r="A58" s="13" t="n"/>
      <c r="B58" s="13" t="n"/>
      <c r="C58" s="13" t="n"/>
      <c r="D58" s="13" t="n"/>
      <c r="E58" s="13" t="n"/>
      <c r="F58" s="13" t="n"/>
      <c r="G58" s="13" t="n"/>
      <c r="H58" s="13" t="n"/>
    </row>
    <row r="59">
      <c r="A59" s="13" t="n"/>
      <c r="B59" s="13" t="n"/>
      <c r="C59" s="13" t="n"/>
      <c r="D59" s="13" t="n"/>
      <c r="E59" s="13" t="n"/>
      <c r="F59" s="13" t="n"/>
      <c r="G59" s="13" t="n"/>
      <c r="H59" s="13" t="n"/>
    </row>
    <row r="60">
      <c r="A60" s="13" t="n"/>
      <c r="B60" s="13" t="n"/>
      <c r="C60" s="13" t="n"/>
      <c r="D60" s="13" t="n"/>
      <c r="E60" s="13" t="n"/>
      <c r="F60" s="13" t="n"/>
      <c r="G60" s="13" t="n"/>
      <c r="H60" s="13" t="n"/>
    </row>
    <row r="61">
      <c r="A61" s="13" t="n"/>
      <c r="B61" s="13" t="n"/>
      <c r="C61" s="13" t="n"/>
      <c r="D61" s="13" t="n"/>
      <c r="E61" s="13" t="n"/>
      <c r="F61" s="13" t="n"/>
      <c r="G61" s="13" t="n"/>
      <c r="H61" s="13" t="n"/>
    </row>
    <row r="62">
      <c r="A62" s="13" t="n"/>
      <c r="B62" s="13" t="n"/>
      <c r="C62" s="13" t="n"/>
      <c r="D62" s="13" t="n"/>
      <c r="E62" s="13" t="n"/>
      <c r="F62" s="13" t="n"/>
      <c r="G62" s="13" t="n"/>
      <c r="H62" s="13" t="n"/>
    </row>
    <row r="63">
      <c r="A63" s="13" t="n"/>
      <c r="B63" s="13" t="n"/>
      <c r="C63" s="13" t="n"/>
      <c r="D63" s="13" t="n"/>
      <c r="E63" s="13" t="n"/>
      <c r="F63" s="13" t="n"/>
      <c r="G63" s="13" t="n"/>
      <c r="H63" s="13" t="n"/>
    </row>
    <row r="64">
      <c r="A64" s="13" t="n"/>
      <c r="B64" s="13" t="n"/>
      <c r="C64" s="13" t="n"/>
      <c r="D64" s="13" t="n"/>
      <c r="E64" s="13" t="n"/>
      <c r="F64" s="13" t="n"/>
      <c r="G64" s="13" t="n"/>
      <c r="H64" s="13" t="n"/>
    </row>
    <row r="65">
      <c r="A65" s="13" t="n"/>
      <c r="B65" s="13" t="n"/>
      <c r="C65" s="13" t="n"/>
      <c r="D65" s="13" t="n"/>
      <c r="E65" s="13" t="n"/>
      <c r="F65" s="13" t="n"/>
      <c r="G65" s="13" t="n"/>
      <c r="H65" s="13" t="n"/>
    </row>
    <row r="66">
      <c r="A66" s="13" t="n"/>
      <c r="B66" s="13" t="n"/>
      <c r="C66" s="13" t="n"/>
      <c r="D66" s="13" t="n"/>
      <c r="E66" s="13" t="n"/>
      <c r="F66" s="13" t="n"/>
      <c r="G66" s="13" t="n"/>
      <c r="H66" s="13" t="n"/>
    </row>
    <row r="67">
      <c r="A67" s="13" t="n"/>
      <c r="B67" s="13" t="n"/>
      <c r="C67" s="13" t="n"/>
      <c r="D67" s="13" t="n"/>
      <c r="E67" s="13" t="n"/>
      <c r="F67" s="13" t="n"/>
      <c r="G67" s="13" t="n"/>
      <c r="H67" s="13" t="n"/>
    </row>
    <row r="68">
      <c r="A68" s="13" t="n"/>
      <c r="B68" s="13" t="n"/>
      <c r="C68" s="13" t="n"/>
      <c r="D68" s="13" t="n"/>
      <c r="E68" s="13" t="n"/>
      <c r="F68" s="13" t="n"/>
      <c r="G68" s="13" t="n"/>
      <c r="H68" s="13" t="n"/>
    </row>
    <row r="69">
      <c r="A69" s="13" t="n"/>
      <c r="B69" s="13" t="n"/>
      <c r="C69" s="13" t="n"/>
      <c r="D69" s="13" t="n"/>
      <c r="E69" s="13" t="n"/>
      <c r="F69" s="13" t="n"/>
      <c r="G69" s="13" t="n"/>
      <c r="H69" s="13" t="n"/>
    </row>
    <row r="70">
      <c r="A70" s="13" t="n"/>
      <c r="B70" s="13" t="n"/>
      <c r="C70" s="13" t="n"/>
      <c r="D70" s="13" t="n"/>
      <c r="E70" s="13" t="n"/>
      <c r="F70" s="13" t="n"/>
      <c r="G70" s="13" t="n"/>
      <c r="H70" s="13" t="n"/>
    </row>
    <row r="71">
      <c r="A71" s="13" t="n"/>
      <c r="B71" s="13" t="n"/>
      <c r="C71" s="13" t="n"/>
      <c r="D71" s="13" t="n"/>
      <c r="E71" s="13" t="n"/>
      <c r="F71" s="13" t="n"/>
      <c r="G71" s="13" t="n"/>
      <c r="H71" s="13" t="n"/>
    </row>
    <row r="72">
      <c r="A72" s="13" t="n"/>
      <c r="B72" s="13" t="n"/>
      <c r="C72" s="13" t="n"/>
      <c r="D72" s="13" t="n"/>
      <c r="E72" s="13" t="n"/>
      <c r="F72" s="13" t="n"/>
      <c r="G72" s="13" t="n"/>
      <c r="H72" s="13" t="n"/>
    </row>
    <row r="73">
      <c r="A73" s="13" t="n"/>
      <c r="B73" s="13" t="n"/>
      <c r="C73" s="13" t="n"/>
      <c r="D73" s="13" t="n"/>
      <c r="E73" s="13" t="n"/>
      <c r="F73" s="13" t="n"/>
      <c r="G73" s="13" t="n"/>
      <c r="H73" s="13" t="n"/>
    </row>
    <row r="74">
      <c r="A74" s="13" t="n"/>
      <c r="B74" s="13" t="n"/>
      <c r="C74" s="13" t="n"/>
      <c r="D74" s="13" t="n"/>
      <c r="E74" s="13" t="n"/>
      <c r="F74" s="13" t="n"/>
      <c r="G74" s="13" t="n"/>
      <c r="H74" s="13" t="n"/>
    </row>
    <row r="75">
      <c r="A75" s="13" t="n"/>
      <c r="B75" s="13" t="n"/>
      <c r="C75" s="13" t="n"/>
      <c r="D75" s="13" t="n"/>
      <c r="E75" s="13" t="n"/>
      <c r="F75" s="13" t="n"/>
      <c r="G75" s="13" t="n"/>
      <c r="H75" s="13" t="n"/>
    </row>
    <row r="76">
      <c r="A76" s="13" t="n"/>
      <c r="B76" s="13" t="n"/>
      <c r="C76" s="13" t="n"/>
      <c r="D76" s="13" t="n"/>
      <c r="E76" s="13" t="n"/>
      <c r="F76" s="13" t="n"/>
      <c r="G76" s="13" t="n"/>
      <c r="H76" s="13" t="n"/>
    </row>
    <row r="77">
      <c r="A77" s="13" t="n"/>
      <c r="B77" s="13" t="n"/>
      <c r="C77" s="13" t="n"/>
      <c r="D77" s="13" t="n"/>
      <c r="E77" s="13" t="n"/>
      <c r="F77" s="13" t="n"/>
      <c r="G77" s="13" t="n"/>
      <c r="H77" s="13" t="n"/>
    </row>
    <row r="78">
      <c r="A78" s="13" t="n"/>
      <c r="B78" s="13" t="n"/>
      <c r="C78" s="13" t="n"/>
      <c r="D78" s="13" t="n"/>
      <c r="E78" s="13" t="n"/>
      <c r="F78" s="13" t="n"/>
      <c r="G78" s="13" t="n"/>
      <c r="H78" s="13" t="n"/>
    </row>
    <row r="79">
      <c r="A79" s="13" t="n"/>
      <c r="B79" s="13" t="n"/>
      <c r="C79" s="13" t="n"/>
      <c r="D79" s="13" t="n"/>
      <c r="E79" s="13" t="n"/>
      <c r="F79" s="13" t="n"/>
      <c r="G79" s="13" t="n"/>
      <c r="H79" s="13" t="n"/>
    </row>
    <row r="80">
      <c r="A80" s="13" t="n"/>
      <c r="B80" s="13" t="n"/>
      <c r="C80" s="13" t="n"/>
      <c r="D80" s="13" t="n"/>
      <c r="E80" s="13" t="n"/>
      <c r="F80" s="13" t="n"/>
      <c r="G80" s="13" t="n"/>
      <c r="H80" s="13" t="n"/>
    </row>
    <row r="81">
      <c r="A81" s="13" t="n"/>
      <c r="B81" s="13" t="n"/>
      <c r="C81" s="13" t="n"/>
      <c r="D81" s="13" t="n"/>
      <c r="E81" s="13" t="n"/>
      <c r="F81" s="13" t="n"/>
      <c r="G81" s="13" t="n"/>
      <c r="H81" s="13" t="n"/>
    </row>
    <row r="82">
      <c r="A82" s="13" t="n"/>
      <c r="B82" s="13" t="n"/>
      <c r="C82" s="13" t="n"/>
      <c r="D82" s="13" t="n"/>
      <c r="E82" s="13" t="n"/>
      <c r="F82" s="13" t="n"/>
      <c r="G82" s="13" t="n"/>
      <c r="H82" s="13" t="n"/>
    </row>
    <row r="83">
      <c r="A83" s="13" t="n"/>
      <c r="B83" s="13" t="n"/>
      <c r="C83" s="13" t="n"/>
      <c r="D83" s="13" t="n"/>
      <c r="E83" s="13" t="n"/>
      <c r="F83" s="13" t="n"/>
      <c r="G83" s="13" t="n"/>
      <c r="H83" s="13" t="n"/>
    </row>
    <row r="84">
      <c r="A84" s="13" t="n"/>
      <c r="B84" s="13" t="n"/>
      <c r="C84" s="13" t="n"/>
      <c r="D84" s="13" t="n"/>
      <c r="E84" s="13" t="n"/>
      <c r="F84" s="13" t="n"/>
      <c r="G84" s="13" t="n"/>
      <c r="H84" s="13" t="n"/>
    </row>
    <row r="85">
      <c r="A85" s="13" t="n"/>
      <c r="B85" s="13" t="n"/>
      <c r="C85" s="13" t="n"/>
      <c r="D85" s="13" t="n"/>
      <c r="E85" s="13" t="n"/>
      <c r="F85" s="13" t="n"/>
      <c r="G85" s="13" t="n"/>
      <c r="H85" s="13" t="n"/>
    </row>
    <row r="86">
      <c r="A86" s="13" t="n"/>
      <c r="B86" s="13" t="n"/>
      <c r="C86" s="13" t="n"/>
      <c r="D86" s="13" t="n"/>
      <c r="E86" s="13" t="n"/>
      <c r="F86" s="13" t="n"/>
      <c r="G86" s="13" t="n"/>
      <c r="H86" s="13" t="n"/>
    </row>
    <row r="87">
      <c r="A87" s="13" t="n"/>
      <c r="B87" s="13" t="n"/>
      <c r="C87" s="13" t="n"/>
      <c r="D87" s="13" t="n"/>
      <c r="E87" s="13" t="n"/>
      <c r="F87" s="13" t="n"/>
      <c r="G87" s="13" t="n"/>
      <c r="H87" s="13" t="n"/>
    </row>
    <row r="88">
      <c r="A88" s="13" t="n"/>
      <c r="B88" s="13" t="n"/>
      <c r="C88" s="13" t="n"/>
      <c r="D88" s="13" t="n"/>
      <c r="E88" s="13" t="n"/>
      <c r="F88" s="13" t="n"/>
      <c r="G88" s="13" t="n"/>
      <c r="H88" s="13" t="n"/>
    </row>
    <row r="89">
      <c r="A89" s="13" t="n"/>
      <c r="B89" s="13" t="n"/>
      <c r="C89" s="13" t="n"/>
      <c r="D89" s="13" t="n"/>
      <c r="E89" s="13" t="n"/>
      <c r="F89" s="13" t="n"/>
      <c r="G89" s="13" t="n"/>
      <c r="H89" s="13" t="n"/>
    </row>
    <row r="90">
      <c r="A90" s="13" t="n"/>
      <c r="B90" s="13" t="n"/>
      <c r="C90" s="13" t="n"/>
      <c r="D90" s="13" t="n"/>
      <c r="E90" s="13" t="n"/>
      <c r="F90" s="13" t="n"/>
      <c r="G90" s="13" t="n"/>
      <c r="H90" s="13" t="n"/>
    </row>
    <row r="91">
      <c r="A91" s="13" t="n"/>
      <c r="B91" s="13" t="n"/>
      <c r="C91" s="13" t="n"/>
      <c r="D91" s="13" t="n"/>
      <c r="E91" s="13" t="n"/>
      <c r="F91" s="13" t="n"/>
      <c r="G91" s="13" t="n"/>
      <c r="H91" s="13" t="n"/>
    </row>
    <row r="92">
      <c r="A92" s="13" t="n"/>
      <c r="B92" s="13" t="n"/>
      <c r="C92" s="13" t="n"/>
      <c r="D92" s="13" t="n"/>
      <c r="E92" s="13" t="n"/>
      <c r="F92" s="13" t="n"/>
      <c r="G92" s="13" t="n"/>
      <c r="H92" s="13" t="n"/>
    </row>
    <row r="93">
      <c r="A93" s="13" t="n"/>
      <c r="B93" s="13" t="n"/>
      <c r="C93" s="13" t="n"/>
      <c r="D93" s="13" t="n"/>
      <c r="E93" s="13" t="n"/>
      <c r="F93" s="13" t="n"/>
      <c r="G93" s="13" t="n"/>
      <c r="H93" s="13" t="n"/>
    </row>
    <row r="94">
      <c r="A94" s="13" t="n"/>
      <c r="B94" s="13" t="n"/>
      <c r="C94" s="13" t="n"/>
      <c r="D94" s="13" t="n"/>
      <c r="E94" s="13" t="n"/>
      <c r="F94" s="13" t="n"/>
      <c r="G94" s="13" t="n"/>
      <c r="H94" s="13" t="n"/>
    </row>
    <row r="95">
      <c r="A95" s="13" t="n"/>
      <c r="B95" s="13" t="n"/>
      <c r="C95" s="13" t="n"/>
      <c r="D95" s="13" t="n"/>
      <c r="E95" s="13" t="n"/>
      <c r="F95" s="13" t="n"/>
      <c r="G95" s="13" t="n"/>
      <c r="H95" s="13" t="n"/>
    </row>
    <row r="96">
      <c r="A96" s="13" t="n"/>
      <c r="B96" s="13" t="n"/>
      <c r="C96" s="13" t="n"/>
      <c r="D96" s="13" t="n"/>
      <c r="E96" s="13" t="n"/>
      <c r="F96" s="13" t="n"/>
      <c r="G96" s="13" t="n"/>
      <c r="H96" s="13" t="n"/>
    </row>
    <row r="97">
      <c r="A97" s="13" t="n"/>
      <c r="B97" s="13" t="n"/>
      <c r="C97" s="13" t="n"/>
      <c r="D97" s="13" t="n"/>
      <c r="E97" s="13" t="n"/>
      <c r="F97" s="13" t="n"/>
      <c r="G97" s="13" t="n"/>
      <c r="H97" s="13" t="n"/>
    </row>
    <row r="98">
      <c r="A98" s="13" t="n"/>
      <c r="B98" s="13" t="n"/>
      <c r="C98" s="13" t="n"/>
      <c r="D98" s="13" t="n"/>
      <c r="E98" s="13" t="n"/>
      <c r="F98" s="13" t="n"/>
      <c r="G98" s="13" t="n"/>
      <c r="H98" s="13" t="n"/>
    </row>
    <row r="99">
      <c r="A99" s="13" t="n"/>
      <c r="B99" s="13" t="n"/>
      <c r="C99" s="13" t="n"/>
      <c r="D99" s="13" t="n"/>
      <c r="E99" s="13" t="n"/>
      <c r="F99" s="13" t="n"/>
      <c r="G99" s="13" t="n"/>
      <c r="H99" s="13" t="n"/>
    </row>
    <row r="100">
      <c r="A100" s="13" t="n"/>
      <c r="B100" s="13" t="n"/>
      <c r="C100" s="13" t="n"/>
      <c r="D100" s="13" t="n"/>
      <c r="E100" s="13" t="n"/>
      <c r="F100" s="13" t="n"/>
      <c r="G100" s="13" t="n"/>
      <c r="H100" s="13" t="n"/>
    </row>
    <row r="101">
      <c r="A101" s="13" t="n"/>
      <c r="B101" s="13" t="n"/>
      <c r="C101" s="13" t="n"/>
      <c r="D101" s="13" t="n"/>
      <c r="E101" s="13" t="n"/>
      <c r="F101" s="13" t="n"/>
      <c r="G101" s="13" t="n"/>
      <c r="H101" s="13" t="n"/>
    </row>
    <row r="102">
      <c r="A102" s="13" t="n"/>
      <c r="B102" s="13" t="n"/>
      <c r="C102" s="13" t="n"/>
      <c r="D102" s="13" t="n"/>
      <c r="E102" s="13" t="n"/>
      <c r="F102" s="13" t="n"/>
      <c r="G102" s="13" t="n"/>
      <c r="H102" s="13" t="n"/>
    </row>
    <row r="103">
      <c r="A103" s="13" t="n"/>
      <c r="B103" s="13" t="n"/>
      <c r="C103" s="13" t="n"/>
      <c r="D103" s="13" t="n"/>
      <c r="E103" s="13" t="n"/>
      <c r="F103" s="13" t="n"/>
      <c r="G103" s="13" t="n"/>
      <c r="H103" s="13" t="n"/>
    </row>
    <row r="104">
      <c r="A104" s="13" t="n"/>
      <c r="B104" s="13" t="n"/>
      <c r="C104" s="13" t="n"/>
      <c r="D104" s="13" t="n"/>
      <c r="E104" s="13" t="n"/>
      <c r="F104" s="13" t="n"/>
      <c r="G104" s="13" t="n"/>
      <c r="H104" s="13" t="n"/>
    </row>
    <row r="105">
      <c r="A105" s="13" t="n"/>
      <c r="B105" s="13" t="n"/>
      <c r="C105" s="13" t="n"/>
      <c r="D105" s="13" t="n"/>
      <c r="E105" s="13" t="n"/>
      <c r="F105" s="13" t="n"/>
      <c r="G105" s="13" t="n"/>
      <c r="H105" s="13" t="n"/>
    </row>
    <row r="106">
      <c r="A106" s="13" t="n"/>
      <c r="B106" s="13" t="n"/>
      <c r="C106" s="13" t="n"/>
      <c r="D106" s="13" t="n"/>
      <c r="E106" s="13" t="n"/>
      <c r="F106" s="13" t="n"/>
      <c r="G106" s="13" t="n"/>
      <c r="H106" s="13" t="n"/>
    </row>
    <row r="107">
      <c r="A107" s="13" t="n"/>
      <c r="B107" s="13" t="n"/>
      <c r="C107" s="13" t="n"/>
      <c r="D107" s="13" t="n"/>
      <c r="E107" s="13" t="n"/>
      <c r="F107" s="13" t="n"/>
      <c r="G107" s="13" t="n"/>
      <c r="H107" s="13" t="n"/>
    </row>
    <row r="108">
      <c r="A108" s="13" t="n"/>
      <c r="B108" s="13" t="n"/>
      <c r="C108" s="13" t="n"/>
      <c r="D108" s="13" t="n"/>
      <c r="E108" s="13" t="n"/>
      <c r="F108" s="13" t="n"/>
      <c r="G108" s="13" t="n"/>
      <c r="H108" s="13" t="n"/>
    </row>
    <row r="109">
      <c r="A109" s="13" t="n"/>
      <c r="B109" s="13" t="n"/>
      <c r="C109" s="13" t="n"/>
      <c r="D109" s="13" t="n"/>
      <c r="E109" s="13" t="n"/>
      <c r="F109" s="13" t="n"/>
      <c r="G109" s="13" t="n"/>
      <c r="H109" s="13" t="n"/>
    </row>
    <row r="110">
      <c r="A110" s="13" t="n"/>
      <c r="B110" s="13" t="n"/>
      <c r="C110" s="13" t="n"/>
      <c r="D110" s="13" t="n"/>
      <c r="E110" s="13" t="n"/>
      <c r="F110" s="13" t="n"/>
      <c r="G110" s="13" t="n"/>
      <c r="H110" s="13" t="n"/>
    </row>
    <row r="111">
      <c r="A111" s="13" t="n"/>
      <c r="B111" s="13" t="n"/>
      <c r="C111" s="13" t="n"/>
      <c r="D111" s="13" t="n"/>
      <c r="E111" s="13" t="n"/>
      <c r="F111" s="13" t="n"/>
      <c r="G111" s="13" t="n"/>
      <c r="H111" s="13" t="n"/>
    </row>
    <row r="112">
      <c r="A112" s="13" t="n"/>
      <c r="B112" s="13" t="n"/>
      <c r="C112" s="13" t="n"/>
      <c r="D112" s="13" t="n"/>
      <c r="E112" s="13" t="n"/>
      <c r="F112" s="13" t="n"/>
      <c r="G112" s="13" t="n"/>
      <c r="H112" s="13" t="n"/>
    </row>
    <row r="113">
      <c r="A113" s="13" t="n"/>
      <c r="B113" s="13" t="n"/>
      <c r="C113" s="13" t="n"/>
      <c r="D113" s="13" t="n"/>
      <c r="E113" s="13" t="n"/>
      <c r="F113" s="13" t="n"/>
      <c r="G113" s="13" t="n"/>
      <c r="H113" s="13" t="n"/>
    </row>
    <row r="114">
      <c r="A114" s="13" t="n"/>
      <c r="B114" s="13" t="n"/>
      <c r="C114" s="13" t="n"/>
      <c r="D114" s="13" t="n"/>
      <c r="E114" s="13" t="n"/>
      <c r="F114" s="13" t="n"/>
      <c r="G114" s="13" t="n"/>
      <c r="H114" s="13" t="n"/>
    </row>
    <row r="115">
      <c r="A115" s="13" t="n"/>
      <c r="B115" s="13" t="n"/>
      <c r="C115" s="13" t="n"/>
      <c r="D115" s="13" t="n"/>
      <c r="E115" s="13" t="n"/>
      <c r="F115" s="13" t="n"/>
      <c r="G115" s="13" t="n"/>
      <c r="H115" s="13" t="n"/>
    </row>
    <row r="116">
      <c r="A116" s="13" t="n"/>
      <c r="B116" s="13" t="n"/>
      <c r="C116" s="13" t="n"/>
      <c r="D116" s="13" t="n"/>
      <c r="E116" s="13" t="n"/>
      <c r="F116" s="13" t="n"/>
      <c r="G116" s="13" t="n"/>
      <c r="H116" s="13" t="n"/>
    </row>
    <row r="117">
      <c r="A117" s="13" t="n"/>
      <c r="B117" s="13" t="n"/>
      <c r="C117" s="13" t="n"/>
      <c r="D117" s="13" t="n"/>
      <c r="E117" s="13" t="n"/>
      <c r="F117" s="13" t="n"/>
      <c r="G117" s="13" t="n"/>
      <c r="H117" s="13" t="n"/>
    </row>
    <row r="118">
      <c r="A118" s="13" t="n"/>
      <c r="B118" s="13" t="n"/>
      <c r="C118" s="13" t="n"/>
      <c r="D118" s="13" t="n"/>
      <c r="E118" s="13" t="n"/>
      <c r="F118" s="13" t="n"/>
      <c r="G118" s="13" t="n"/>
      <c r="H118" s="13" t="n"/>
    </row>
    <row r="119">
      <c r="A119" s="13" t="n"/>
      <c r="B119" s="13" t="n"/>
      <c r="C119" s="13" t="n"/>
      <c r="D119" s="13" t="n"/>
      <c r="E119" s="13" t="n"/>
      <c r="F119" s="13" t="n"/>
      <c r="G119" s="13" t="n"/>
      <c r="H119" s="13" t="n"/>
    </row>
    <row r="120">
      <c r="A120" s="13" t="n"/>
      <c r="B120" s="13" t="n"/>
      <c r="C120" s="13" t="n"/>
      <c r="D120" s="13" t="n"/>
      <c r="E120" s="13" t="n"/>
      <c r="F120" s="13" t="n"/>
      <c r="G120" s="13" t="n"/>
      <c r="H120" s="13" t="n"/>
    </row>
    <row r="121">
      <c r="A121" s="13" t="n"/>
      <c r="B121" s="13" t="n"/>
      <c r="C121" s="13" t="n"/>
      <c r="D121" s="13" t="n"/>
      <c r="E121" s="13" t="n"/>
      <c r="F121" s="13" t="n"/>
      <c r="G121" s="13" t="n"/>
      <c r="H121" s="13" t="n"/>
    </row>
    <row r="122">
      <c r="A122" s="13" t="n"/>
      <c r="B122" s="13" t="n"/>
      <c r="C122" s="13" t="n"/>
      <c r="D122" s="13" t="n"/>
      <c r="E122" s="13" t="n"/>
      <c r="F122" s="13" t="n"/>
      <c r="G122" s="13" t="n"/>
      <c r="H122" s="13" t="n"/>
    </row>
    <row r="123">
      <c r="A123" s="13" t="n"/>
      <c r="B123" s="13" t="n"/>
      <c r="C123" s="13" t="n"/>
      <c r="D123" s="13" t="n"/>
      <c r="E123" s="13" t="n"/>
      <c r="F123" s="13" t="n"/>
      <c r="G123" s="13" t="n"/>
      <c r="H123" s="13" t="n"/>
    </row>
    <row r="124">
      <c r="A124" s="13" t="n"/>
      <c r="B124" s="13" t="n"/>
      <c r="C124" s="13" t="n"/>
      <c r="D124" s="13" t="n"/>
      <c r="E124" s="13" t="n"/>
      <c r="F124" s="13" t="n"/>
      <c r="G124" s="13" t="n"/>
      <c r="H124" s="13" t="n"/>
    </row>
    <row r="125">
      <c r="A125" s="13" t="n"/>
      <c r="B125" s="13" t="n"/>
      <c r="C125" s="13" t="n"/>
      <c r="D125" s="13" t="n"/>
      <c r="E125" s="13" t="n"/>
      <c r="F125" s="13" t="n"/>
      <c r="G125" s="13" t="n"/>
      <c r="H125" s="13" t="n"/>
    </row>
    <row r="126">
      <c r="A126" s="13" t="n"/>
      <c r="B126" s="13" t="n"/>
      <c r="C126" s="13" t="n"/>
      <c r="D126" s="13" t="n"/>
      <c r="E126" s="13" t="n"/>
      <c r="F126" s="13" t="n"/>
      <c r="G126" s="13" t="n"/>
      <c r="H126" s="13" t="n"/>
    </row>
    <row r="127">
      <c r="A127" s="13" t="n"/>
      <c r="B127" s="13" t="n"/>
      <c r="C127" s="13" t="n"/>
      <c r="D127" s="13" t="n"/>
      <c r="E127" s="13" t="n"/>
      <c r="F127" s="13" t="n"/>
      <c r="G127" s="13" t="n"/>
      <c r="H127" s="13" t="n"/>
    </row>
    <row r="128">
      <c r="A128" s="13" t="n"/>
      <c r="B128" s="13" t="n"/>
      <c r="C128" s="13" t="n"/>
      <c r="D128" s="13" t="n"/>
      <c r="E128" s="13" t="n"/>
      <c r="F128" s="13" t="n"/>
      <c r="G128" s="13" t="n"/>
      <c r="H128" s="13" t="n"/>
    </row>
    <row r="129">
      <c r="A129" s="13" t="n"/>
      <c r="B129" s="13" t="n"/>
      <c r="C129" s="13" t="n"/>
      <c r="D129" s="13" t="n"/>
      <c r="E129" s="13" t="n"/>
      <c r="F129" s="13" t="n"/>
      <c r="G129" s="13" t="n"/>
      <c r="H129" s="13" t="n"/>
    </row>
    <row r="130">
      <c r="A130" s="13" t="n"/>
      <c r="B130" s="13" t="n"/>
      <c r="C130" s="13" t="n"/>
      <c r="D130" s="13" t="n"/>
      <c r="E130" s="13" t="n"/>
      <c r="F130" s="13" t="n"/>
      <c r="G130" s="13" t="n"/>
      <c r="H130" s="13" t="n"/>
    </row>
    <row r="131">
      <c r="A131" s="13" t="n"/>
      <c r="B131" s="13" t="n"/>
      <c r="C131" s="13" t="n"/>
      <c r="D131" s="13" t="n"/>
      <c r="E131" s="13" t="n"/>
      <c r="F131" s="13" t="n"/>
      <c r="G131" s="13" t="n"/>
      <c r="H131" s="13" t="n"/>
    </row>
    <row r="132">
      <c r="A132" s="13" t="n"/>
      <c r="B132" s="13" t="n"/>
      <c r="C132" s="13" t="n"/>
      <c r="D132" s="13" t="n"/>
      <c r="E132" s="13" t="n"/>
      <c r="F132" s="13" t="n"/>
      <c r="G132" s="13" t="n"/>
      <c r="H132" s="13" t="n"/>
    </row>
    <row r="133">
      <c r="A133" s="13" t="n"/>
      <c r="B133" s="13" t="n"/>
      <c r="C133" s="13" t="n"/>
      <c r="D133" s="13" t="n"/>
      <c r="E133" s="13" t="n"/>
      <c r="F133" s="13" t="n"/>
      <c r="G133" s="13" t="n"/>
      <c r="H133" s="13" t="n"/>
    </row>
    <row r="134">
      <c r="A134" s="13" t="n"/>
      <c r="B134" s="13" t="n"/>
      <c r="C134" s="13" t="n"/>
      <c r="D134" s="13" t="n"/>
      <c r="E134" s="13" t="n"/>
      <c r="F134" s="13" t="n"/>
      <c r="G134" s="13" t="n"/>
      <c r="H134" s="13" t="n"/>
    </row>
    <row r="135">
      <c r="A135" s="13" t="n"/>
      <c r="B135" s="13" t="n"/>
      <c r="C135" s="13" t="n"/>
      <c r="D135" s="13" t="n"/>
      <c r="E135" s="13" t="n"/>
      <c r="F135" s="13" t="n"/>
      <c r="G135" s="13" t="n"/>
      <c r="H135" s="13" t="n"/>
    </row>
    <row r="136">
      <c r="A136" s="13" t="n"/>
      <c r="B136" s="13" t="n"/>
      <c r="C136" s="13" t="n"/>
      <c r="D136" s="13" t="n"/>
      <c r="E136" s="13" t="n"/>
      <c r="F136" s="13" t="n"/>
      <c r="G136" s="13" t="n"/>
      <c r="H136" s="13" t="n"/>
    </row>
    <row r="137">
      <c r="A137" s="13" t="n"/>
      <c r="B137" s="13" t="n"/>
      <c r="C137" s="13" t="n"/>
      <c r="D137" s="13" t="n"/>
      <c r="E137" s="13" t="n"/>
      <c r="F137" s="13" t="n"/>
      <c r="G137" s="13" t="n"/>
      <c r="H137" s="13" t="n"/>
    </row>
    <row r="138">
      <c r="A138" s="13" t="n"/>
      <c r="B138" s="13" t="n"/>
      <c r="C138" s="13" t="n"/>
      <c r="D138" s="13" t="n"/>
      <c r="E138" s="13" t="n"/>
      <c r="F138" s="13" t="n"/>
      <c r="G138" s="13" t="n"/>
      <c r="H138" s="13" t="n"/>
    </row>
    <row r="139">
      <c r="A139" s="13" t="n"/>
      <c r="B139" s="13" t="n"/>
      <c r="C139" s="13" t="n"/>
      <c r="D139" s="13" t="n"/>
      <c r="E139" s="13" t="n"/>
      <c r="F139" s="13" t="n"/>
      <c r="G139" s="13" t="n"/>
      <c r="H139" s="13" t="n"/>
    </row>
    <row r="140">
      <c r="A140" s="13" t="n"/>
      <c r="B140" s="13" t="n"/>
      <c r="C140" s="13" t="n"/>
      <c r="D140" s="13" t="n"/>
      <c r="E140" s="13" t="n"/>
      <c r="F140" s="13" t="n"/>
      <c r="G140" s="13" t="n"/>
      <c r="H140" s="13" t="n"/>
    </row>
    <row r="141">
      <c r="A141" s="13" t="n"/>
      <c r="B141" s="13" t="n"/>
      <c r="C141" s="13" t="n"/>
      <c r="D141" s="13" t="n"/>
      <c r="E141" s="13" t="n"/>
      <c r="F141" s="13" t="n"/>
      <c r="G141" s="13" t="n"/>
      <c r="H141" s="13" t="n"/>
    </row>
    <row r="142">
      <c r="A142" s="13" t="n"/>
      <c r="B142" s="13" t="n"/>
      <c r="C142" s="13" t="n"/>
      <c r="D142" s="13" t="n"/>
      <c r="E142" s="13" t="n"/>
      <c r="F142" s="13" t="n"/>
      <c r="G142" s="13" t="n"/>
      <c r="H142" s="13" t="n"/>
    </row>
    <row r="143">
      <c r="A143" s="13" t="n"/>
      <c r="B143" s="13" t="n"/>
      <c r="C143" s="13" t="n"/>
      <c r="D143" s="13" t="n"/>
      <c r="E143" s="13" t="n"/>
      <c r="F143" s="13" t="n"/>
      <c r="G143" s="13" t="n"/>
      <c r="H143" s="13" t="n"/>
    </row>
    <row r="144">
      <c r="A144" s="13" t="n"/>
      <c r="B144" s="13" t="n"/>
      <c r="C144" s="13" t="n"/>
      <c r="D144" s="13" t="n"/>
      <c r="E144" s="13" t="n"/>
      <c r="F144" s="13" t="n"/>
      <c r="G144" s="13" t="n"/>
      <c r="H144" s="13" t="n"/>
    </row>
    <row r="145">
      <c r="A145" s="13" t="n"/>
      <c r="B145" s="13" t="n"/>
      <c r="C145" s="13" t="n"/>
      <c r="D145" s="13" t="n"/>
      <c r="E145" s="13" t="n"/>
      <c r="F145" s="13" t="n"/>
      <c r="G145" s="13" t="n"/>
      <c r="H145" s="13" t="n"/>
    </row>
    <row r="146">
      <c r="A146" s="13" t="n"/>
      <c r="B146" s="13" t="n"/>
      <c r="C146" s="13" t="n"/>
      <c r="D146" s="13" t="n"/>
      <c r="E146" s="13" t="n"/>
      <c r="F146" s="13" t="n"/>
      <c r="G146" s="13" t="n"/>
      <c r="H146" s="13" t="n"/>
    </row>
    <row r="147">
      <c r="A147" s="13" t="n"/>
      <c r="B147" s="13" t="n"/>
      <c r="C147" s="13" t="n"/>
      <c r="D147" s="13" t="n"/>
      <c r="E147" s="13" t="n"/>
      <c r="F147" s="13" t="n"/>
      <c r="G147" s="13" t="n"/>
      <c r="H147" s="13" t="n"/>
    </row>
    <row r="148">
      <c r="A148" s="13" t="n"/>
      <c r="B148" s="13" t="n"/>
      <c r="C148" s="13" t="n"/>
      <c r="D148" s="13" t="n"/>
      <c r="E148" s="13" t="n"/>
      <c r="F148" s="13" t="n"/>
      <c r="G148" s="13" t="n"/>
      <c r="H148" s="13" t="n"/>
    </row>
    <row r="149">
      <c r="A149" s="13" t="n"/>
      <c r="B149" s="13" t="n"/>
      <c r="C149" s="13" t="n"/>
      <c r="D149" s="13" t="n"/>
      <c r="E149" s="13" t="n"/>
      <c r="F149" s="13" t="n"/>
      <c r="G149" s="13" t="n"/>
      <c r="H149" s="13" t="n"/>
    </row>
    <row r="150">
      <c r="A150" s="13" t="n"/>
      <c r="B150" s="13" t="n"/>
      <c r="C150" s="13" t="n"/>
      <c r="D150" s="13" t="n"/>
      <c r="E150" s="13" t="n"/>
      <c r="F150" s="13" t="n"/>
      <c r="G150" s="13" t="n"/>
      <c r="H150" s="13" t="n"/>
    </row>
    <row r="151">
      <c r="A151" s="13" t="n"/>
      <c r="B151" s="13" t="n"/>
      <c r="C151" s="13" t="n"/>
      <c r="D151" s="13" t="n"/>
      <c r="E151" s="13" t="n"/>
      <c r="F151" s="13" t="n"/>
      <c r="G151" s="13" t="n"/>
      <c r="H151" s="13" t="n"/>
    </row>
    <row r="152">
      <c r="A152" s="13" t="n"/>
      <c r="B152" s="13" t="n"/>
      <c r="C152" s="13" t="n"/>
      <c r="D152" s="13" t="n"/>
      <c r="E152" s="13" t="n"/>
      <c r="F152" s="13" t="n"/>
      <c r="G152" s="13" t="n"/>
      <c r="H152" s="13" t="n"/>
    </row>
    <row r="153">
      <c r="A153" s="13" t="n"/>
      <c r="B153" s="13" t="n"/>
      <c r="C153" s="13" t="n"/>
      <c r="D153" s="13" t="n"/>
      <c r="E153" s="13" t="n"/>
      <c r="F153" s="13" t="n"/>
      <c r="G153" s="13" t="n"/>
      <c r="H153" s="13" t="n"/>
    </row>
    <row r="154">
      <c r="A154" s="13" t="n"/>
      <c r="B154" s="13" t="n"/>
      <c r="C154" s="13" t="n"/>
      <c r="D154" s="13" t="n"/>
      <c r="E154" s="13" t="n"/>
      <c r="F154" s="13" t="n"/>
      <c r="G154" s="13" t="n"/>
      <c r="H154" s="13" t="n"/>
    </row>
    <row r="155">
      <c r="A155" s="13" t="n"/>
      <c r="B155" s="13" t="n"/>
      <c r="C155" s="13" t="n"/>
      <c r="D155" s="13" t="n"/>
      <c r="E155" s="13" t="n"/>
      <c r="F155" s="13" t="n"/>
      <c r="G155" s="13" t="n"/>
      <c r="H155" s="13" t="n"/>
    </row>
    <row r="156">
      <c r="A156" s="13" t="n"/>
      <c r="B156" s="13" t="n"/>
      <c r="C156" s="13" t="n"/>
      <c r="D156" s="13" t="n"/>
      <c r="E156" s="13" t="n"/>
      <c r="F156" s="13" t="n"/>
      <c r="G156" s="13" t="n"/>
      <c r="H156" s="13" t="n"/>
    </row>
    <row r="157">
      <c r="A157" s="13" t="n"/>
      <c r="B157" s="13" t="n"/>
      <c r="C157" s="13" t="n"/>
      <c r="D157" s="13" t="n"/>
      <c r="E157" s="13" t="n"/>
      <c r="F157" s="13" t="n"/>
      <c r="G157" s="13" t="n"/>
      <c r="H157" s="13" t="n"/>
    </row>
    <row r="158">
      <c r="A158" s="13" t="n"/>
      <c r="B158" s="13" t="n"/>
      <c r="C158" s="13" t="n"/>
      <c r="D158" s="13" t="n"/>
      <c r="E158" s="13" t="n"/>
      <c r="F158" s="13" t="n"/>
      <c r="G158" s="13" t="n"/>
      <c r="H158" s="13" t="n"/>
    </row>
    <row r="159">
      <c r="A159" s="13" t="n"/>
      <c r="B159" s="13" t="n"/>
      <c r="C159" s="13" t="n"/>
      <c r="D159" s="13" t="n"/>
      <c r="E159" s="13" t="n"/>
      <c r="F159" s="13" t="n"/>
      <c r="G159" s="13" t="n"/>
      <c r="H159" s="13" t="n"/>
    </row>
    <row r="160">
      <c r="A160" s="13" t="n"/>
      <c r="B160" s="13" t="n"/>
      <c r="C160" s="13" t="n"/>
      <c r="D160" s="13" t="n"/>
      <c r="E160" s="13" t="n"/>
      <c r="F160" s="13" t="n"/>
      <c r="G160" s="13" t="n"/>
      <c r="H160" s="13" t="n"/>
    </row>
    <row r="161">
      <c r="A161" s="13" t="n"/>
      <c r="B161" s="13" t="n"/>
      <c r="C161" s="13" t="n"/>
      <c r="D161" s="13" t="n"/>
      <c r="E161" s="13" t="n"/>
      <c r="F161" s="13" t="n"/>
      <c r="G161" s="13" t="n"/>
      <c r="H161" s="13" t="n"/>
    </row>
    <row r="162">
      <c r="A162" s="13" t="n"/>
      <c r="B162" s="13" t="n"/>
      <c r="C162" s="13" t="n"/>
      <c r="D162" s="13" t="n"/>
      <c r="E162" s="13" t="n"/>
      <c r="F162" s="13" t="n"/>
      <c r="G162" s="13" t="n"/>
      <c r="H162" s="13" t="n"/>
    </row>
    <row r="163">
      <c r="A163" s="13" t="n"/>
      <c r="B163" s="13" t="n"/>
      <c r="C163" s="13" t="n"/>
      <c r="D163" s="13" t="n"/>
      <c r="E163" s="13" t="n"/>
      <c r="F163" s="13" t="n"/>
      <c r="G163" s="13" t="n"/>
      <c r="H163" s="13" t="n"/>
    </row>
    <row r="164">
      <c r="A164" s="13" t="n"/>
      <c r="B164" s="13" t="n"/>
      <c r="C164" s="13" t="n"/>
      <c r="D164" s="13" t="n"/>
      <c r="E164" s="13" t="n"/>
      <c r="F164" s="13" t="n"/>
      <c r="G164" s="13" t="n"/>
      <c r="H164" s="13" t="n"/>
    </row>
    <row r="165">
      <c r="A165" s="13" t="n"/>
      <c r="B165" s="13" t="n"/>
      <c r="C165" s="13" t="n"/>
      <c r="D165" s="13" t="n"/>
      <c r="E165" s="13" t="n"/>
      <c r="F165" s="13" t="n"/>
      <c r="G165" s="13" t="n"/>
      <c r="H165" s="13" t="n"/>
    </row>
    <row r="166">
      <c r="A166" s="13" t="n"/>
      <c r="B166" s="13" t="n"/>
      <c r="C166" s="13" t="n"/>
      <c r="D166" s="13" t="n"/>
      <c r="E166" s="13" t="n"/>
      <c r="F166" s="13" t="n"/>
      <c r="G166" s="13" t="n"/>
      <c r="H166" s="13" t="n"/>
    </row>
    <row r="167">
      <c r="A167" s="13" t="n"/>
      <c r="B167" s="13" t="n"/>
      <c r="C167" s="13" t="n"/>
      <c r="D167" s="13" t="n"/>
      <c r="E167" s="13" t="n"/>
      <c r="F167" s="13" t="n"/>
      <c r="G167" s="13" t="n"/>
      <c r="H167" s="13" t="n"/>
    </row>
    <row r="168">
      <c r="A168" s="13" t="n"/>
      <c r="B168" s="13" t="n"/>
      <c r="C168" s="13" t="n"/>
      <c r="D168" s="13" t="n"/>
      <c r="E168" s="13" t="n"/>
      <c r="F168" s="13" t="n"/>
      <c r="G168" s="13" t="n"/>
      <c r="H168" s="13" t="n"/>
    </row>
    <row r="169">
      <c r="A169" s="13" t="n"/>
      <c r="B169" s="13" t="n"/>
      <c r="C169" s="13" t="n"/>
      <c r="D169" s="13" t="n"/>
      <c r="E169" s="13" t="n"/>
      <c r="F169" s="13" t="n"/>
      <c r="G169" s="13" t="n"/>
      <c r="H169" s="13" t="n"/>
    </row>
    <row r="170">
      <c r="A170" s="13" t="n"/>
      <c r="B170" s="13" t="n"/>
      <c r="C170" s="13" t="n"/>
      <c r="D170" s="13" t="n"/>
      <c r="E170" s="13" t="n"/>
      <c r="F170" s="13" t="n"/>
      <c r="G170" s="13" t="n"/>
      <c r="H170" s="13" t="n"/>
    </row>
    <row r="171">
      <c r="A171" s="13" t="n"/>
      <c r="B171" s="13" t="n"/>
      <c r="C171" s="13" t="n"/>
      <c r="D171" s="13" t="n"/>
      <c r="E171" s="13" t="n"/>
      <c r="F171" s="13" t="n"/>
      <c r="G171" s="13" t="n"/>
      <c r="H171" s="13" t="n"/>
    </row>
    <row r="172">
      <c r="A172" s="13" t="n"/>
      <c r="B172" s="13" t="n"/>
      <c r="C172" s="13" t="n"/>
      <c r="D172" s="13" t="n"/>
      <c r="E172" s="13" t="n"/>
      <c r="F172" s="13" t="n"/>
      <c r="G172" s="13" t="n"/>
      <c r="H172" s="13" t="n"/>
    </row>
    <row r="173">
      <c r="A173" s="13" t="n"/>
      <c r="B173" s="13" t="n"/>
      <c r="C173" s="13" t="n"/>
      <c r="D173" s="13" t="n"/>
      <c r="E173" s="13" t="n"/>
      <c r="F173" s="13" t="n"/>
      <c r="G173" s="13" t="n"/>
      <c r="H173" s="13" t="n"/>
    </row>
    <row r="174">
      <c r="A174" s="13" t="n"/>
      <c r="B174" s="13" t="n"/>
      <c r="C174" s="13" t="n"/>
      <c r="D174" s="13" t="n"/>
      <c r="E174" s="13" t="n"/>
      <c r="F174" s="13" t="n"/>
      <c r="G174" s="13" t="n"/>
      <c r="H174" s="13" t="n"/>
    </row>
    <row r="175">
      <c r="A175" s="13" t="n"/>
      <c r="B175" s="13" t="n"/>
      <c r="C175" s="13" t="n"/>
      <c r="D175" s="13" t="n"/>
      <c r="E175" s="13" t="n"/>
      <c r="F175" s="13" t="n"/>
      <c r="G175" s="13" t="n"/>
      <c r="H175" s="13" t="n"/>
    </row>
    <row r="176">
      <c r="A176" s="13" t="n"/>
      <c r="B176" s="13" t="n"/>
      <c r="C176" s="13" t="n"/>
      <c r="D176" s="13" t="n"/>
      <c r="E176" s="13" t="n"/>
      <c r="F176" s="13" t="n"/>
      <c r="G176" s="13" t="n"/>
      <c r="H176" s="13" t="n"/>
    </row>
    <row r="177">
      <c r="A177" s="13" t="n"/>
      <c r="B177" s="13" t="n"/>
      <c r="C177" s="13" t="n"/>
      <c r="D177" s="13" t="n"/>
      <c r="E177" s="13" t="n"/>
      <c r="F177" s="13" t="n"/>
      <c r="G177" s="13" t="n"/>
      <c r="H177" s="13" t="n"/>
    </row>
    <row r="178">
      <c r="A178" s="13" t="n"/>
      <c r="B178" s="13" t="n"/>
      <c r="C178" s="13" t="n"/>
      <c r="D178" s="13" t="n"/>
      <c r="E178" s="13" t="n"/>
      <c r="F178" s="13" t="n"/>
      <c r="G178" s="13" t="n"/>
      <c r="H178" s="13" t="n"/>
    </row>
    <row r="179">
      <c r="A179" s="13" t="n"/>
      <c r="B179" s="13" t="n"/>
      <c r="C179" s="13" t="n"/>
      <c r="D179" s="13" t="n"/>
      <c r="E179" s="13" t="n"/>
      <c r="F179" s="13" t="n"/>
      <c r="G179" s="13" t="n"/>
      <c r="H179" s="13" t="n"/>
    </row>
    <row r="180">
      <c r="A180" s="13" t="n"/>
      <c r="B180" s="13" t="n"/>
      <c r="C180" s="13" t="n"/>
      <c r="D180" s="13" t="n"/>
      <c r="E180" s="13" t="n"/>
      <c r="F180" s="13" t="n"/>
      <c r="G180" s="13" t="n"/>
      <c r="H180" s="13" t="n"/>
    </row>
    <row r="181">
      <c r="A181" s="13" t="n"/>
      <c r="B181" s="13" t="n"/>
      <c r="C181" s="13" t="n"/>
      <c r="D181" s="13" t="n"/>
      <c r="E181" s="13" t="n"/>
      <c r="F181" s="13" t="n"/>
      <c r="G181" s="13" t="n"/>
      <c r="H181" s="13" t="n"/>
    </row>
    <row r="182">
      <c r="A182" s="13" t="n"/>
      <c r="B182" s="13" t="n"/>
      <c r="C182" s="13" t="n"/>
      <c r="D182" s="13" t="n"/>
      <c r="E182" s="13" t="n"/>
      <c r="F182" s="13" t="n"/>
      <c r="G182" s="13" t="n"/>
      <c r="H182" s="13" t="n"/>
    </row>
    <row r="183">
      <c r="A183" s="13" t="n"/>
      <c r="B183" s="13" t="n"/>
      <c r="C183" s="13" t="n"/>
      <c r="D183" s="13" t="n"/>
      <c r="E183" s="13" t="n"/>
      <c r="F183" s="13" t="n"/>
      <c r="G183" s="13" t="n"/>
      <c r="H183" s="13" t="n"/>
    </row>
    <row r="184">
      <c r="A184" s="13" t="n"/>
      <c r="B184" s="13" t="n"/>
      <c r="C184" s="13" t="n"/>
      <c r="D184" s="13" t="n"/>
      <c r="E184" s="13" t="n"/>
      <c r="F184" s="13" t="n"/>
      <c r="G184" s="13" t="n"/>
      <c r="H184" s="13" t="n"/>
    </row>
    <row r="185">
      <c r="A185" s="13" t="n"/>
      <c r="B185" s="13" t="n"/>
      <c r="C185" s="13" t="n"/>
      <c r="D185" s="13" t="n"/>
      <c r="E185" s="13" t="n"/>
      <c r="F185" s="13" t="n"/>
      <c r="G185" s="13" t="n"/>
      <c r="H185" s="13" t="n"/>
    </row>
    <row r="186">
      <c r="A186" s="13" t="n"/>
      <c r="B186" s="13" t="n"/>
      <c r="C186" s="13" t="n"/>
      <c r="D186" s="13" t="n"/>
      <c r="E186" s="13" t="n"/>
      <c r="F186" s="13" t="n"/>
      <c r="G186" s="13" t="n"/>
      <c r="H186" s="13" t="n"/>
    </row>
    <row r="187">
      <c r="A187" s="13" t="n"/>
      <c r="B187" s="13" t="n"/>
      <c r="C187" s="13" t="n"/>
      <c r="D187" s="13" t="n"/>
      <c r="E187" s="13" t="n"/>
      <c r="F187" s="13" t="n"/>
      <c r="G187" s="13" t="n"/>
      <c r="H187" s="13" t="n"/>
    </row>
    <row r="188">
      <c r="A188" s="13" t="n"/>
      <c r="B188" s="13" t="n"/>
      <c r="C188" s="13" t="n"/>
      <c r="D188" s="13" t="n"/>
      <c r="E188" s="13" t="n"/>
      <c r="F188" s="13" t="n"/>
      <c r="G188" s="13" t="n"/>
      <c r="H188" s="13" t="n"/>
    </row>
    <row r="189">
      <c r="A189" s="13" t="n"/>
      <c r="B189" s="13" t="n"/>
      <c r="C189" s="13" t="n"/>
      <c r="D189" s="13" t="n"/>
      <c r="E189" s="13" t="n"/>
      <c r="F189" s="13" t="n"/>
      <c r="G189" s="13" t="n"/>
      <c r="H189" s="13" t="n"/>
    </row>
    <row r="190">
      <c r="A190" s="13" t="n"/>
      <c r="B190" s="13" t="n"/>
      <c r="C190" s="13" t="n"/>
      <c r="D190" s="13" t="n"/>
      <c r="E190" s="13" t="n"/>
      <c r="F190" s="13" t="n"/>
      <c r="G190" s="13" t="n"/>
      <c r="H190" s="13" t="n"/>
    </row>
    <row r="191">
      <c r="A191" s="13" t="n"/>
      <c r="B191" s="13" t="n"/>
      <c r="C191" s="13" t="n"/>
      <c r="D191" s="13" t="n"/>
      <c r="E191" s="13" t="n"/>
      <c r="F191" s="13" t="n"/>
      <c r="G191" s="13" t="n"/>
      <c r="H191" s="13" t="n"/>
    </row>
    <row r="192">
      <c r="A192" s="13" t="n"/>
      <c r="B192" s="13" t="n"/>
      <c r="C192" s="13" t="n"/>
      <c r="D192" s="13" t="n"/>
      <c r="E192" s="13" t="n"/>
      <c r="F192" s="13" t="n"/>
      <c r="G192" s="13" t="n"/>
      <c r="H192" s="13" t="n"/>
    </row>
    <row r="193">
      <c r="A193" s="13" t="n"/>
      <c r="B193" s="13" t="n"/>
      <c r="C193" s="13" t="n"/>
      <c r="D193" s="13" t="n"/>
      <c r="E193" s="13" t="n"/>
      <c r="F193" s="13" t="n"/>
      <c r="G193" s="13" t="n"/>
      <c r="H193" s="13" t="n"/>
    </row>
    <row r="194">
      <c r="A194" s="13" t="n"/>
      <c r="B194" s="13" t="n"/>
      <c r="C194" s="13" t="n"/>
      <c r="D194" s="13" t="n"/>
      <c r="E194" s="13" t="n"/>
      <c r="F194" s="13" t="n"/>
      <c r="G194" s="13" t="n"/>
      <c r="H194" s="13" t="n"/>
    </row>
    <row r="195">
      <c r="A195" s="13" t="n"/>
      <c r="B195" s="13" t="n"/>
      <c r="C195" s="13" t="n"/>
      <c r="D195" s="13" t="n"/>
      <c r="E195" s="13" t="n"/>
      <c r="F195" s="13" t="n"/>
      <c r="G195" s="13" t="n"/>
      <c r="H195" s="13" t="n"/>
    </row>
    <row r="196">
      <c r="A196" s="13" t="n"/>
      <c r="B196" s="13" t="n"/>
      <c r="C196" s="13" t="n"/>
      <c r="D196" s="13" t="n"/>
      <c r="E196" s="13" t="n"/>
      <c r="F196" s="13" t="n"/>
      <c r="G196" s="13" t="n"/>
      <c r="H196" s="13" t="n"/>
    </row>
    <row r="197">
      <c r="A197" s="13" t="n"/>
      <c r="B197" s="13" t="n"/>
      <c r="C197" s="13" t="n"/>
      <c r="D197" s="13" t="n"/>
      <c r="E197" s="13" t="n"/>
      <c r="F197" s="13" t="n"/>
      <c r="G197" s="13" t="n"/>
      <c r="H197" s="13" t="n"/>
    </row>
    <row r="198">
      <c r="A198" s="13" t="n"/>
      <c r="B198" s="13" t="n"/>
      <c r="C198" s="13" t="n"/>
      <c r="D198" s="13" t="n"/>
      <c r="E198" s="13" t="n"/>
      <c r="F198" s="13" t="n"/>
      <c r="G198" s="13" t="n"/>
      <c r="H198" s="13" t="n"/>
    </row>
    <row r="199">
      <c r="A199" s="13" t="n"/>
      <c r="B199" s="13" t="n"/>
      <c r="C199" s="13" t="n"/>
      <c r="D199" s="13" t="n"/>
      <c r="E199" s="13" t="n"/>
      <c r="F199" s="13" t="n"/>
      <c r="G199" s="13" t="n"/>
      <c r="H199" s="13" t="n"/>
    </row>
    <row r="200">
      <c r="A200" s="13" t="n"/>
      <c r="B200" s="13" t="n"/>
      <c r="C200" s="13" t="n"/>
      <c r="D200" s="13" t="n"/>
      <c r="E200" s="13" t="n"/>
      <c r="F200" s="13" t="n"/>
      <c r="G200" s="13" t="n"/>
      <c r="H200" s="13" t="n"/>
    </row>
    <row r="201">
      <c r="A201" s="13" t="n"/>
      <c r="B201" s="13" t="n"/>
      <c r="C201" s="13" t="n"/>
      <c r="D201" s="13" t="n"/>
      <c r="E201" s="13" t="n"/>
      <c r="F201" s="13" t="n"/>
      <c r="G201" s="13" t="n"/>
      <c r="H201" s="13" t="n"/>
    </row>
    <row r="202">
      <c r="A202" s="13" t="n"/>
      <c r="B202" s="13" t="n"/>
      <c r="C202" s="13" t="n"/>
      <c r="D202" s="13" t="n"/>
      <c r="E202" s="13" t="n"/>
      <c r="F202" s="13" t="n"/>
      <c r="G202" s="13" t="n"/>
      <c r="H202" s="13" t="n"/>
    </row>
    <row r="203">
      <c r="A203" s="13" t="n"/>
      <c r="B203" s="13" t="n"/>
      <c r="C203" s="13" t="n"/>
      <c r="D203" s="13" t="n"/>
      <c r="E203" s="13" t="n"/>
      <c r="F203" s="13" t="n"/>
      <c r="G203" s="13" t="n"/>
      <c r="H203" s="13" t="n"/>
    </row>
    <row r="204">
      <c r="A204" s="13" t="n"/>
      <c r="B204" s="13" t="n"/>
      <c r="C204" s="13" t="n"/>
      <c r="D204" s="13" t="n"/>
      <c r="E204" s="13" t="n"/>
      <c r="F204" s="13" t="n"/>
      <c r="G204" s="13" t="n"/>
      <c r="H204" s="13" t="n"/>
    </row>
    <row r="205">
      <c r="A205" s="13" t="n"/>
      <c r="B205" s="13" t="n"/>
      <c r="C205" s="13" t="n"/>
      <c r="D205" s="13" t="n"/>
      <c r="E205" s="13" t="n"/>
      <c r="F205" s="13" t="n"/>
      <c r="G205" s="13" t="n"/>
      <c r="H205" s="13" t="n"/>
    </row>
    <row r="206">
      <c r="A206" s="13" t="n"/>
      <c r="B206" s="13" t="n"/>
      <c r="C206" s="13" t="n"/>
      <c r="D206" s="13" t="n"/>
      <c r="E206" s="13" t="n"/>
      <c r="F206" s="13" t="n"/>
      <c r="G206" s="13" t="n"/>
      <c r="H206" s="13" t="n"/>
    </row>
    <row r="207">
      <c r="A207" s="13" t="n"/>
      <c r="B207" s="13" t="n"/>
      <c r="C207" s="13" t="n"/>
      <c r="D207" s="13" t="n"/>
      <c r="E207" s="13" t="n"/>
      <c r="F207" s="13" t="n"/>
      <c r="G207" s="13" t="n"/>
      <c r="H207" s="13" t="n"/>
    </row>
    <row r="208">
      <c r="A208" s="13" t="n"/>
      <c r="B208" s="13" t="n"/>
      <c r="C208" s="13" t="n"/>
      <c r="D208" s="13" t="n"/>
      <c r="E208" s="13" t="n"/>
      <c r="F208" s="13" t="n"/>
      <c r="G208" s="13" t="n"/>
      <c r="H208" s="13" t="n"/>
    </row>
    <row r="209">
      <c r="A209" s="13" t="n"/>
      <c r="B209" s="13" t="n"/>
      <c r="C209" s="13" t="n"/>
      <c r="D209" s="13" t="n"/>
      <c r="E209" s="13" t="n"/>
      <c r="F209" s="13" t="n"/>
      <c r="G209" s="13" t="n"/>
      <c r="H209" s="13" t="n"/>
    </row>
    <row r="210">
      <c r="A210" s="13" t="n"/>
      <c r="B210" s="13" t="n"/>
      <c r="C210" s="13" t="n"/>
      <c r="D210" s="13" t="n"/>
      <c r="E210" s="13" t="n"/>
      <c r="F210" s="13" t="n"/>
      <c r="G210" s="13" t="n"/>
      <c r="H210" s="13" t="n"/>
    </row>
    <row r="211">
      <c r="A211" s="13" t="n"/>
      <c r="B211" s="13" t="n"/>
      <c r="C211" s="13" t="n"/>
      <c r="D211" s="13" t="n"/>
      <c r="E211" s="13" t="n"/>
      <c r="F211" s="13" t="n"/>
      <c r="G211" s="13" t="n"/>
      <c r="H211" s="13" t="n"/>
    </row>
    <row r="212">
      <c r="A212" s="13" t="n"/>
      <c r="B212" s="13" t="n"/>
      <c r="C212" s="13" t="n"/>
      <c r="D212" s="13" t="n"/>
      <c r="E212" s="13" t="n"/>
      <c r="F212" s="13" t="n"/>
      <c r="G212" s="13" t="n"/>
      <c r="H212" s="13" t="n"/>
    </row>
    <row r="213">
      <c r="A213" s="13" t="n"/>
      <c r="B213" s="13" t="n"/>
      <c r="C213" s="13" t="n"/>
      <c r="D213" s="13" t="n"/>
      <c r="E213" s="13" t="n"/>
      <c r="F213" s="13" t="n"/>
      <c r="G213" s="13" t="n"/>
      <c r="H213" s="13" t="n"/>
    </row>
    <row r="214">
      <c r="A214" s="13" t="n"/>
      <c r="B214" s="13" t="n"/>
      <c r="C214" s="13" t="n"/>
      <c r="D214" s="13" t="n"/>
      <c r="E214" s="13" t="n"/>
      <c r="F214" s="13" t="n"/>
      <c r="G214" s="13" t="n"/>
      <c r="H214" s="13" t="n"/>
    </row>
    <row r="215">
      <c r="A215" s="13" t="n"/>
      <c r="B215" s="13" t="n"/>
      <c r="C215" s="13" t="n"/>
      <c r="D215" s="13" t="n"/>
      <c r="E215" s="13" t="n"/>
      <c r="F215" s="13" t="n"/>
      <c r="G215" s="13" t="n"/>
      <c r="H215" s="13" t="n"/>
    </row>
    <row r="216">
      <c r="A216" s="13" t="n"/>
      <c r="B216" s="13" t="n"/>
      <c r="C216" s="13" t="n"/>
      <c r="D216" s="13" t="n"/>
      <c r="E216" s="13" t="n"/>
      <c r="F216" s="13" t="n"/>
      <c r="G216" s="13" t="n"/>
      <c r="H216" s="13" t="n"/>
    </row>
    <row r="217">
      <c r="A217" s="13" t="n"/>
      <c r="B217" s="13" t="n"/>
      <c r="C217" s="13" t="n"/>
      <c r="D217" s="13" t="n"/>
      <c r="E217" s="13" t="n"/>
      <c r="F217" s="13" t="n"/>
      <c r="G217" s="13" t="n"/>
      <c r="H217" s="13" t="n"/>
    </row>
    <row r="218">
      <c r="A218" s="13" t="n"/>
      <c r="B218" s="13" t="n"/>
      <c r="C218" s="13" t="n"/>
      <c r="D218" s="13" t="n"/>
      <c r="E218" s="13" t="n"/>
      <c r="F218" s="13" t="n"/>
      <c r="G218" s="13" t="n"/>
      <c r="H218" s="13" t="n"/>
    </row>
    <row r="219">
      <c r="A219" s="13" t="n"/>
      <c r="B219" s="13" t="n"/>
      <c r="C219" s="13" t="n"/>
      <c r="D219" s="13" t="n"/>
      <c r="E219" s="13" t="n"/>
      <c r="F219" s="13" t="n"/>
      <c r="G219" s="13" t="n"/>
      <c r="H219" s="13" t="n"/>
    </row>
    <row r="220">
      <c r="A220" s="13" t="n"/>
      <c r="B220" s="13" t="n"/>
      <c r="C220" s="13" t="n"/>
      <c r="D220" s="13" t="n"/>
      <c r="E220" s="13" t="n"/>
      <c r="F220" s="13" t="n"/>
      <c r="G220" s="13" t="n"/>
      <c r="H220" s="13" t="n"/>
    </row>
    <row r="221">
      <c r="A221" s="13" t="n"/>
      <c r="B221" s="13" t="n"/>
      <c r="C221" s="13" t="n"/>
      <c r="D221" s="13" t="n"/>
      <c r="E221" s="13" t="n"/>
      <c r="F221" s="13" t="n"/>
      <c r="G221" s="13" t="n"/>
      <c r="H221" s="13" t="n"/>
    </row>
    <row r="222">
      <c r="A222" s="13" t="n"/>
      <c r="B222" s="13" t="n"/>
      <c r="C222" s="13" t="n"/>
      <c r="D222" s="13" t="n"/>
      <c r="E222" s="13" t="n"/>
      <c r="F222" s="13" t="n"/>
      <c r="G222" s="13" t="n"/>
      <c r="H222" s="13" t="n"/>
    </row>
    <row r="223">
      <c r="A223" s="13" t="n"/>
      <c r="B223" s="13" t="n"/>
      <c r="C223" s="13" t="n"/>
      <c r="D223" s="13" t="n"/>
      <c r="E223" s="13" t="n"/>
      <c r="F223" s="13" t="n"/>
      <c r="G223" s="13" t="n"/>
      <c r="H223" s="13" t="n"/>
    </row>
    <row r="224">
      <c r="A224" s="13" t="n"/>
      <c r="B224" s="13" t="n"/>
      <c r="C224" s="13" t="n"/>
      <c r="D224" s="13" t="n"/>
      <c r="E224" s="13" t="n"/>
      <c r="F224" s="13" t="n"/>
      <c r="G224" s="13" t="n"/>
      <c r="H224" s="13" t="n"/>
    </row>
    <row r="225">
      <c r="A225" s="13" t="n"/>
      <c r="B225" s="13" t="n"/>
      <c r="C225" s="13" t="n"/>
      <c r="D225" s="13" t="n"/>
      <c r="E225" s="13" t="n"/>
      <c r="F225" s="13" t="n"/>
      <c r="G225" s="13" t="n"/>
      <c r="H225" s="13" t="n"/>
    </row>
    <row r="226">
      <c r="A226" s="13" t="n"/>
      <c r="B226" s="13" t="n"/>
      <c r="C226" s="13" t="n"/>
      <c r="D226" s="13" t="n"/>
      <c r="E226" s="13" t="n"/>
      <c r="F226" s="13" t="n"/>
      <c r="G226" s="13" t="n"/>
      <c r="H226" s="13" t="n"/>
    </row>
    <row r="227">
      <c r="A227" s="13" t="n"/>
      <c r="B227" s="13" t="n"/>
      <c r="C227" s="13" t="n"/>
      <c r="D227" s="13" t="n"/>
      <c r="E227" s="13" t="n"/>
      <c r="F227" s="13" t="n"/>
      <c r="G227" s="13" t="n"/>
      <c r="H227" s="13" t="n"/>
    </row>
    <row r="228">
      <c r="A228" s="13" t="n"/>
      <c r="B228" s="13" t="n"/>
      <c r="C228" s="13" t="n"/>
      <c r="D228" s="13" t="n"/>
      <c r="E228" s="13" t="n"/>
      <c r="F228" s="13" t="n"/>
      <c r="G228" s="13" t="n"/>
      <c r="H228" s="13" t="n"/>
    </row>
    <row r="229">
      <c r="A229" s="13" t="n"/>
      <c r="B229" s="13" t="n"/>
      <c r="C229" s="13" t="n"/>
      <c r="D229" s="13" t="n"/>
      <c r="E229" s="13" t="n"/>
      <c r="F229" s="13" t="n"/>
      <c r="G229" s="13" t="n"/>
      <c r="H229" s="13" t="n"/>
    </row>
    <row r="230">
      <c r="A230" s="13" t="n"/>
      <c r="B230" s="13" t="n"/>
      <c r="C230" s="13" t="n"/>
      <c r="D230" s="13" t="n"/>
      <c r="E230" s="13" t="n"/>
      <c r="F230" s="13" t="n"/>
      <c r="G230" s="13" t="n"/>
      <c r="H230" s="13" t="n"/>
    </row>
    <row r="231">
      <c r="A231" s="13" t="n"/>
      <c r="B231" s="13" t="n"/>
      <c r="C231" s="13" t="n"/>
      <c r="D231" s="13" t="n"/>
      <c r="E231" s="13" t="n"/>
      <c r="F231" s="13" t="n"/>
      <c r="G231" s="13" t="n"/>
      <c r="H231" s="13" t="n"/>
    </row>
    <row r="232">
      <c r="A232" s="13" t="n"/>
      <c r="B232" s="13" t="n"/>
      <c r="C232" s="13" t="n"/>
      <c r="D232" s="13" t="n"/>
      <c r="E232" s="13" t="n"/>
      <c r="F232" s="13" t="n"/>
      <c r="G232" s="13" t="n"/>
      <c r="H232" s="13" t="n"/>
    </row>
    <row r="233">
      <c r="A233" s="13" t="n"/>
      <c r="B233" s="13" t="n"/>
      <c r="C233" s="13" t="n"/>
      <c r="D233" s="13" t="n"/>
      <c r="E233" s="13" t="n"/>
      <c r="F233" s="13" t="n"/>
      <c r="G233" s="13" t="n"/>
      <c r="H233" s="13" t="n"/>
    </row>
    <row r="234">
      <c r="A234" s="13" t="n"/>
      <c r="B234" s="13" t="n"/>
      <c r="C234" s="13" t="n"/>
      <c r="D234" s="13" t="n"/>
      <c r="E234" s="13" t="n"/>
      <c r="F234" s="13" t="n"/>
      <c r="G234" s="13" t="n"/>
      <c r="H234" s="13" t="n"/>
    </row>
    <row r="235">
      <c r="A235" s="13" t="n"/>
      <c r="B235" s="13" t="n"/>
      <c r="C235" s="13" t="n"/>
      <c r="D235" s="13" t="n"/>
      <c r="E235" s="13" t="n"/>
      <c r="F235" s="13" t="n"/>
      <c r="G235" s="13" t="n"/>
      <c r="H235" s="13" t="n"/>
    </row>
    <row r="236">
      <c r="A236" s="13" t="n"/>
      <c r="B236" s="13" t="n"/>
      <c r="C236" s="13" t="n"/>
      <c r="D236" s="13" t="n"/>
      <c r="E236" s="13" t="n"/>
      <c r="F236" s="13" t="n"/>
      <c r="G236" s="13" t="n"/>
      <c r="H236" s="13" t="n"/>
    </row>
    <row r="237">
      <c r="A237" s="13" t="n"/>
      <c r="B237" s="13" t="n"/>
      <c r="C237" s="13" t="n"/>
      <c r="D237" s="13" t="n"/>
      <c r="E237" s="13" t="n"/>
      <c r="F237" s="13" t="n"/>
      <c r="G237" s="13" t="n"/>
      <c r="H237" s="13" t="n"/>
    </row>
    <row r="238">
      <c r="A238" s="13" t="n"/>
      <c r="B238" s="13" t="n"/>
      <c r="C238" s="13" t="n"/>
      <c r="D238" s="13" t="n"/>
      <c r="E238" s="13" t="n"/>
      <c r="F238" s="13" t="n"/>
      <c r="G238" s="13" t="n"/>
      <c r="H238" s="13" t="n"/>
    </row>
    <row r="239">
      <c r="A239" s="13" t="n"/>
      <c r="B239" s="13" t="n"/>
      <c r="C239" s="13" t="n"/>
      <c r="D239" s="13" t="n"/>
      <c r="E239" s="13" t="n"/>
      <c r="F239" s="13" t="n"/>
      <c r="G239" s="13" t="n"/>
      <c r="H239" s="13" t="n"/>
    </row>
    <row r="240">
      <c r="A240" s="13" t="n"/>
      <c r="B240" s="13" t="n"/>
      <c r="C240" s="13" t="n"/>
      <c r="D240" s="13" t="n"/>
      <c r="E240" s="13" t="n"/>
      <c r="F240" s="13" t="n"/>
      <c r="G240" s="13" t="n"/>
      <c r="H240" s="13" t="n"/>
    </row>
    <row r="241">
      <c r="A241" s="13" t="n"/>
      <c r="B241" s="13" t="n"/>
      <c r="C241" s="13" t="n"/>
      <c r="D241" s="13" t="n"/>
      <c r="E241" s="13" t="n"/>
      <c r="F241" s="13" t="n"/>
      <c r="G241" s="13" t="n"/>
      <c r="H241" s="13" t="n"/>
    </row>
    <row r="242">
      <c r="A242" s="13" t="n"/>
      <c r="B242" s="13" t="n"/>
      <c r="C242" s="13" t="n"/>
      <c r="D242" s="13" t="n"/>
      <c r="E242" s="13" t="n"/>
      <c r="F242" s="13" t="n"/>
      <c r="G242" s="13" t="n"/>
      <c r="H242" s="13" t="n"/>
    </row>
    <row r="243">
      <c r="A243" s="13" t="n"/>
      <c r="B243" s="13" t="n"/>
      <c r="C243" s="13" t="n"/>
      <c r="D243" s="13" t="n"/>
      <c r="E243" s="13" t="n"/>
      <c r="F243" s="13" t="n"/>
      <c r="G243" s="13" t="n"/>
      <c r="H243" s="13" t="n"/>
    </row>
    <row r="244">
      <c r="A244" s="13" t="n"/>
      <c r="B244" s="13" t="n"/>
      <c r="C244" s="13" t="n"/>
      <c r="D244" s="13" t="n"/>
      <c r="E244" s="13" t="n"/>
      <c r="F244" s="13" t="n"/>
      <c r="G244" s="13" t="n"/>
      <c r="H244" s="13" t="n"/>
    </row>
    <row r="245">
      <c r="A245" s="13" t="n"/>
      <c r="B245" s="13" t="n"/>
      <c r="C245" s="13" t="n"/>
      <c r="D245" s="13" t="n"/>
      <c r="E245" s="13" t="n"/>
      <c r="F245" s="13" t="n"/>
      <c r="G245" s="13" t="n"/>
      <c r="H245" s="13" t="n"/>
    </row>
    <row r="246">
      <c r="A246" s="13" t="n"/>
      <c r="B246" s="13" t="n"/>
      <c r="C246" s="13" t="n"/>
      <c r="D246" s="13" t="n"/>
      <c r="E246" s="13" t="n"/>
      <c r="F246" s="13" t="n"/>
      <c r="G246" s="13" t="n"/>
      <c r="H246" s="13" t="n"/>
    </row>
    <row r="247">
      <c r="A247" s="13" t="n"/>
      <c r="B247" s="13" t="n"/>
      <c r="C247" s="13" t="n"/>
      <c r="D247" s="13" t="n"/>
      <c r="E247" s="13" t="n"/>
      <c r="F247" s="13" t="n"/>
      <c r="G247" s="13" t="n"/>
      <c r="H247" s="13" t="n"/>
    </row>
    <row r="248">
      <c r="A248" s="13" t="n"/>
      <c r="B248" s="13" t="n"/>
      <c r="C248" s="13" t="n"/>
      <c r="D248" s="13" t="n"/>
      <c r="E248" s="13" t="n"/>
      <c r="F248" s="13" t="n"/>
      <c r="G248" s="13" t="n"/>
      <c r="H248" s="13" t="n"/>
    </row>
    <row r="249">
      <c r="A249" s="13" t="n"/>
      <c r="B249" s="13" t="n"/>
      <c r="C249" s="13" t="n"/>
      <c r="D249" s="13" t="n"/>
      <c r="E249" s="13" t="n"/>
      <c r="F249" s="13" t="n"/>
      <c r="G249" s="13" t="n"/>
      <c r="H249" s="13" t="n"/>
    </row>
    <row r="250">
      <c r="A250" s="13" t="n"/>
      <c r="B250" s="13" t="n"/>
      <c r="C250" s="13" t="n"/>
      <c r="D250" s="13" t="n"/>
      <c r="E250" s="13" t="n"/>
      <c r="F250" s="13" t="n"/>
      <c r="G250" s="13" t="n"/>
      <c r="H250" s="13" t="n"/>
    </row>
    <row r="251">
      <c r="A251" s="13" t="n"/>
      <c r="B251" s="13" t="n"/>
      <c r="C251" s="13" t="n"/>
      <c r="D251" s="13" t="n"/>
      <c r="E251" s="13" t="n"/>
      <c r="F251" s="13" t="n"/>
      <c r="G251" s="13" t="n"/>
      <c r="H251" s="13" t="n"/>
    </row>
    <row r="252">
      <c r="A252" s="13" t="n"/>
      <c r="B252" s="13" t="n"/>
      <c r="C252" s="13" t="n"/>
      <c r="D252" s="13" t="n"/>
      <c r="E252" s="13" t="n"/>
      <c r="F252" s="13" t="n"/>
      <c r="G252" s="13" t="n"/>
      <c r="H252" s="13" t="n"/>
    </row>
    <row r="253">
      <c r="A253" s="13" t="n"/>
      <c r="B253" s="13" t="n"/>
      <c r="C253" s="13" t="n"/>
      <c r="D253" s="13" t="n"/>
      <c r="E253" s="13" t="n"/>
      <c r="F253" s="13" t="n"/>
      <c r="G253" s="13" t="n"/>
      <c r="H253" s="13" t="n"/>
    </row>
    <row r="254">
      <c r="A254" s="13" t="n"/>
      <c r="B254" s="13" t="n"/>
      <c r="C254" s="13" t="n"/>
      <c r="D254" s="13" t="n"/>
      <c r="E254" s="13" t="n"/>
      <c r="F254" s="13" t="n"/>
      <c r="G254" s="13" t="n"/>
      <c r="H254" s="13" t="n"/>
    </row>
    <row r="255">
      <c r="A255" s="13" t="n"/>
      <c r="B255" s="13" t="n"/>
      <c r="C255" s="13" t="n"/>
      <c r="D255" s="13" t="n"/>
      <c r="E255" s="13" t="n"/>
      <c r="F255" s="13" t="n"/>
      <c r="G255" s="13" t="n"/>
      <c r="H255" s="13" t="n"/>
    </row>
    <row r="256">
      <c r="A256" s="13" t="n"/>
      <c r="B256" s="13" t="n"/>
      <c r="C256" s="13" t="n"/>
      <c r="D256" s="13" t="n"/>
      <c r="E256" s="13" t="n"/>
      <c r="F256" s="13" t="n"/>
      <c r="G256" s="13" t="n"/>
      <c r="H256" s="13" t="n"/>
    </row>
    <row r="257">
      <c r="A257" s="13" t="n"/>
      <c r="B257" s="13" t="n"/>
      <c r="C257" s="13" t="n"/>
      <c r="D257" s="13" t="n"/>
      <c r="E257" s="13" t="n"/>
      <c r="F257" s="13" t="n"/>
      <c r="G257" s="13" t="n"/>
      <c r="H257" s="13" t="n"/>
    </row>
    <row r="258">
      <c r="A258" s="13" t="n"/>
      <c r="B258" s="13" t="n"/>
      <c r="C258" s="13" t="n"/>
      <c r="D258" s="13" t="n"/>
      <c r="E258" s="13" t="n"/>
      <c r="F258" s="13" t="n"/>
      <c r="G258" s="13" t="n"/>
      <c r="H258" s="13" t="n"/>
    </row>
    <row r="259">
      <c r="A259" s="13" t="n"/>
      <c r="B259" s="13" t="n"/>
      <c r="C259" s="13" t="n"/>
      <c r="D259" s="13" t="n"/>
      <c r="E259" s="13" t="n"/>
      <c r="F259" s="13" t="n"/>
      <c r="G259" s="13" t="n"/>
      <c r="H259" s="13" t="n"/>
    </row>
    <row r="260">
      <c r="A260" s="13" t="n"/>
      <c r="B260" s="13" t="n"/>
      <c r="C260" s="13" t="n"/>
      <c r="D260" s="13" t="n"/>
      <c r="E260" s="13" t="n"/>
      <c r="F260" s="13" t="n"/>
      <c r="G260" s="13" t="n"/>
      <c r="H260" s="13" t="n"/>
    </row>
    <row r="261">
      <c r="A261" s="13" t="n"/>
      <c r="B261" s="13" t="n"/>
      <c r="C261" s="13" t="n"/>
      <c r="D261" s="13" t="n"/>
      <c r="E261" s="13" t="n"/>
      <c r="F261" s="13" t="n"/>
      <c r="G261" s="13" t="n"/>
      <c r="H261" s="13" t="n"/>
    </row>
    <row r="262">
      <c r="A262" s="13" t="n"/>
      <c r="B262" s="13" t="n"/>
      <c r="C262" s="13" t="n"/>
      <c r="D262" s="13" t="n"/>
      <c r="E262" s="13" t="n"/>
      <c r="F262" s="13" t="n"/>
      <c r="G262" s="13" t="n"/>
      <c r="H262" s="13" t="n"/>
    </row>
    <row r="263">
      <c r="A263" s="13" t="n"/>
      <c r="B263" s="13" t="n"/>
      <c r="C263" s="13" t="n"/>
      <c r="D263" s="13" t="n"/>
      <c r="E263" s="13" t="n"/>
      <c r="F263" s="13" t="n"/>
      <c r="G263" s="13" t="n"/>
      <c r="H263" s="13" t="n"/>
    </row>
    <row r="264">
      <c r="A264" s="13" t="n"/>
      <c r="B264" s="13" t="n"/>
      <c r="C264" s="13" t="n"/>
      <c r="D264" s="13" t="n"/>
      <c r="E264" s="13" t="n"/>
      <c r="F264" s="13" t="n"/>
      <c r="G264" s="13" t="n"/>
      <c r="H264" s="13" t="n"/>
    </row>
    <row r="265">
      <c r="A265" s="13" t="n"/>
      <c r="B265" s="13" t="n"/>
      <c r="C265" s="13" t="n"/>
      <c r="D265" s="13" t="n"/>
      <c r="E265" s="13" t="n"/>
      <c r="F265" s="13" t="n"/>
      <c r="G265" s="13" t="n"/>
      <c r="H265" s="13" t="n"/>
    </row>
    <row r="266">
      <c r="A266" s="13" t="n"/>
      <c r="B266" s="13" t="n"/>
      <c r="C266" s="13" t="n"/>
      <c r="D266" s="13" t="n"/>
      <c r="E266" s="13" t="n"/>
      <c r="F266" s="13" t="n"/>
      <c r="G266" s="13" t="n"/>
      <c r="H266" s="13" t="n"/>
    </row>
    <row r="267">
      <c r="A267" s="13" t="n"/>
      <c r="B267" s="13" t="n"/>
      <c r="C267" s="13" t="n"/>
      <c r="D267" s="13" t="n"/>
      <c r="E267" s="13" t="n"/>
      <c r="F267" s="13" t="n"/>
      <c r="G267" s="13" t="n"/>
      <c r="H267" s="13" t="n"/>
    </row>
    <row r="268">
      <c r="A268" s="13" t="n"/>
      <c r="B268" s="13" t="n"/>
      <c r="C268" s="13" t="n"/>
      <c r="D268" s="13" t="n"/>
      <c r="E268" s="13" t="n"/>
      <c r="F268" s="13" t="n"/>
      <c r="G268" s="13" t="n"/>
      <c r="H268" s="13" t="n"/>
    </row>
    <row r="269">
      <c r="A269" s="13" t="n"/>
      <c r="B269" s="13" t="n"/>
      <c r="C269" s="13" t="n"/>
      <c r="D269" s="13" t="n"/>
      <c r="E269" s="13" t="n"/>
      <c r="F269" s="13" t="n"/>
      <c r="G269" s="13" t="n"/>
      <c r="H269" s="13" t="n"/>
    </row>
    <row r="270">
      <c r="A270" s="13" t="n"/>
      <c r="B270" s="13" t="n"/>
      <c r="C270" s="13" t="n"/>
      <c r="D270" s="13" t="n"/>
      <c r="E270" s="13" t="n"/>
      <c r="F270" s="13" t="n"/>
      <c r="G270" s="13" t="n"/>
      <c r="H270" s="13" t="n"/>
    </row>
    <row r="271">
      <c r="A271" s="13" t="n"/>
      <c r="B271" s="13" t="n"/>
      <c r="C271" s="13" t="n"/>
      <c r="D271" s="13" t="n"/>
      <c r="E271" s="13" t="n"/>
      <c r="F271" s="13" t="n"/>
      <c r="G271" s="13" t="n"/>
      <c r="H271" s="13" t="n"/>
    </row>
    <row r="272">
      <c r="A272" s="13" t="n"/>
      <c r="B272" s="13" t="n"/>
      <c r="C272" s="13" t="n"/>
      <c r="D272" s="13" t="n"/>
      <c r="E272" s="13" t="n"/>
      <c r="F272" s="13" t="n"/>
      <c r="G272" s="13" t="n"/>
      <c r="H272" s="13" t="n"/>
    </row>
    <row r="273">
      <c r="A273" s="13" t="n"/>
      <c r="B273" s="13" t="n"/>
      <c r="C273" s="13" t="n"/>
      <c r="D273" s="13" t="n"/>
      <c r="E273" s="13" t="n"/>
      <c r="F273" s="13" t="n"/>
      <c r="G273" s="13" t="n"/>
      <c r="H273" s="13" t="n"/>
    </row>
    <row r="274">
      <c r="A274" s="13" t="n"/>
      <c r="B274" s="13" t="n"/>
      <c r="C274" s="13" t="n"/>
      <c r="D274" s="13" t="n"/>
      <c r="E274" s="13" t="n"/>
      <c r="F274" s="13" t="n"/>
      <c r="G274" s="13" t="n"/>
      <c r="H274" s="13" t="n"/>
    </row>
    <row r="275">
      <c r="A275" s="13" t="n"/>
      <c r="B275" s="13" t="n"/>
      <c r="C275" s="13" t="n"/>
      <c r="D275" s="13" t="n"/>
      <c r="E275" s="13" t="n"/>
      <c r="F275" s="13" t="n"/>
      <c r="G275" s="13" t="n"/>
      <c r="H275" s="13" t="n"/>
    </row>
    <row r="276">
      <c r="A276" s="13" t="n"/>
      <c r="B276" s="13" t="n"/>
      <c r="C276" s="13" t="n"/>
      <c r="D276" s="13" t="n"/>
      <c r="E276" s="13" t="n"/>
      <c r="F276" s="13" t="n"/>
      <c r="G276" s="13" t="n"/>
      <c r="H276" s="13" t="n"/>
    </row>
    <row r="277">
      <c r="A277" s="13" t="n"/>
      <c r="B277" s="13" t="n"/>
      <c r="C277" s="13" t="n"/>
      <c r="D277" s="13" t="n"/>
      <c r="E277" s="13" t="n"/>
      <c r="F277" s="13" t="n"/>
      <c r="G277" s="13" t="n"/>
      <c r="H277" s="13" t="n"/>
    </row>
    <row r="278">
      <c r="A278" s="13" t="n"/>
      <c r="B278" s="13" t="n"/>
      <c r="C278" s="13" t="n"/>
      <c r="D278" s="13" t="n"/>
      <c r="E278" s="13" t="n"/>
      <c r="F278" s="13" t="n"/>
      <c r="G278" s="13" t="n"/>
      <c r="H278" s="13" t="n"/>
    </row>
    <row r="279">
      <c r="A279" s="13" t="n"/>
      <c r="B279" s="13" t="n"/>
      <c r="C279" s="13" t="n"/>
      <c r="D279" s="13" t="n"/>
      <c r="E279" s="13" t="n"/>
      <c r="F279" s="13" t="n"/>
      <c r="G279" s="13" t="n"/>
      <c r="H279" s="13" t="n"/>
    </row>
    <row r="280">
      <c r="A280" s="13" t="n"/>
      <c r="B280" s="13" t="n"/>
      <c r="C280" s="13" t="n"/>
      <c r="D280" s="13" t="n"/>
      <c r="E280" s="13" t="n"/>
      <c r="F280" s="13" t="n"/>
      <c r="G280" s="13" t="n"/>
      <c r="H280" s="13" t="n"/>
    </row>
    <row r="281">
      <c r="A281" s="13" t="n"/>
      <c r="B281" s="13" t="n"/>
      <c r="C281" s="13" t="n"/>
      <c r="D281" s="13" t="n"/>
      <c r="E281" s="13" t="n"/>
      <c r="F281" s="13" t="n"/>
      <c r="G281" s="13" t="n"/>
      <c r="H281" s="13" t="n"/>
    </row>
    <row r="282">
      <c r="A282" s="13" t="n"/>
      <c r="B282" s="13" t="n"/>
      <c r="C282" s="13" t="n"/>
      <c r="D282" s="13" t="n"/>
      <c r="E282" s="13" t="n"/>
      <c r="F282" s="13" t="n"/>
      <c r="G282" s="13" t="n"/>
      <c r="H282" s="13" t="n"/>
    </row>
    <row r="283">
      <c r="A283" s="13" t="n"/>
      <c r="B283" s="13" t="n"/>
      <c r="C283" s="13" t="n"/>
      <c r="D283" s="13" t="n"/>
      <c r="E283" s="13" t="n"/>
      <c r="F283" s="13" t="n"/>
      <c r="G283" s="13" t="n"/>
      <c r="H283" s="13" t="n"/>
    </row>
    <row r="284">
      <c r="A284" s="13" t="n"/>
      <c r="B284" s="13" t="n"/>
      <c r="C284" s="13" t="n"/>
      <c r="D284" s="13" t="n"/>
      <c r="E284" s="13" t="n"/>
      <c r="F284" s="13" t="n"/>
      <c r="G284" s="13" t="n"/>
      <c r="H284" s="13" t="n"/>
    </row>
    <row r="285">
      <c r="A285" s="13" t="n"/>
      <c r="B285" s="13" t="n"/>
      <c r="C285" s="13" t="n"/>
      <c r="D285" s="13" t="n"/>
      <c r="E285" s="13" t="n"/>
      <c r="F285" s="13" t="n"/>
      <c r="G285" s="13" t="n"/>
      <c r="H285" s="13" t="n"/>
    </row>
    <row r="286">
      <c r="A286" s="13" t="n"/>
      <c r="B286" s="13" t="n"/>
      <c r="C286" s="13" t="n"/>
      <c r="D286" s="13" t="n"/>
      <c r="E286" s="13" t="n"/>
      <c r="F286" s="13" t="n"/>
      <c r="G286" s="13" t="n"/>
      <c r="H286" s="13" t="n"/>
    </row>
    <row r="287">
      <c r="A287" s="13" t="n"/>
      <c r="B287" s="13" t="n"/>
      <c r="C287" s="13" t="n"/>
      <c r="D287" s="13" t="n"/>
      <c r="E287" s="13" t="n"/>
      <c r="F287" s="13" t="n"/>
      <c r="G287" s="13" t="n"/>
      <c r="H287" s="13" t="n"/>
    </row>
    <row r="288">
      <c r="A288" s="13" t="n"/>
      <c r="B288" s="13" t="n"/>
      <c r="C288" s="13" t="n"/>
      <c r="D288" s="13" t="n"/>
      <c r="E288" s="13" t="n"/>
      <c r="F288" s="13" t="n"/>
      <c r="G288" s="13" t="n"/>
      <c r="H288" s="13" t="n"/>
    </row>
    <row r="289">
      <c r="A289" s="13" t="n"/>
      <c r="B289" s="13" t="n"/>
      <c r="C289" s="13" t="n"/>
      <c r="D289" s="13" t="n"/>
      <c r="E289" s="13" t="n"/>
      <c r="F289" s="13" t="n"/>
      <c r="G289" s="13" t="n"/>
      <c r="H289" s="13" t="n"/>
    </row>
    <row r="290">
      <c r="A290" s="13" t="n"/>
      <c r="B290" s="13" t="n"/>
      <c r="C290" s="13" t="n"/>
      <c r="D290" s="13" t="n"/>
      <c r="E290" s="13" t="n"/>
      <c r="F290" s="13" t="n"/>
      <c r="G290" s="13" t="n"/>
      <c r="H290" s="13" t="n"/>
    </row>
    <row r="291">
      <c r="A291" s="13" t="n"/>
      <c r="B291" s="13" t="n"/>
      <c r="C291" s="13" t="n"/>
      <c r="D291" s="13" t="n"/>
      <c r="E291" s="13" t="n"/>
      <c r="F291" s="13" t="n"/>
      <c r="G291" s="13" t="n"/>
      <c r="H291" s="13" t="n"/>
    </row>
    <row r="292">
      <c r="A292" s="13" t="n"/>
      <c r="B292" s="13" t="n"/>
      <c r="C292" s="13" t="n"/>
      <c r="D292" s="13" t="n"/>
      <c r="E292" s="13" t="n"/>
      <c r="F292" s="13" t="n"/>
      <c r="G292" s="13" t="n"/>
      <c r="H292" s="13" t="n"/>
    </row>
    <row r="293">
      <c r="A293" s="13" t="n"/>
      <c r="B293" s="13" t="n"/>
      <c r="C293" s="13" t="n"/>
      <c r="D293" s="13" t="n"/>
      <c r="E293" s="13" t="n"/>
      <c r="F293" s="13" t="n"/>
      <c r="G293" s="13" t="n"/>
      <c r="H293" s="13" t="n"/>
    </row>
    <row r="294">
      <c r="A294" s="13" t="n"/>
      <c r="B294" s="13" t="n"/>
      <c r="C294" s="13" t="n"/>
      <c r="D294" s="13" t="n"/>
      <c r="E294" s="13" t="n"/>
      <c r="F294" s="13" t="n"/>
      <c r="G294" s="13" t="n"/>
      <c r="H294" s="13" t="n"/>
    </row>
    <row r="295">
      <c r="A295" s="13" t="n"/>
      <c r="B295" s="13" t="n"/>
      <c r="C295" s="13" t="n"/>
      <c r="D295" s="13" t="n"/>
      <c r="E295" s="13" t="n"/>
      <c r="F295" s="13" t="n"/>
      <c r="G295" s="13" t="n"/>
      <c r="H295" s="13" t="n"/>
    </row>
    <row r="296">
      <c r="A296" s="13" t="n"/>
      <c r="B296" s="13" t="n"/>
      <c r="C296" s="13" t="n"/>
      <c r="D296" s="13" t="n"/>
      <c r="E296" s="13" t="n"/>
      <c r="F296" s="13" t="n"/>
      <c r="G296" s="13" t="n"/>
      <c r="H296" s="13" t="n"/>
    </row>
    <row r="297">
      <c r="A297" s="13" t="n"/>
      <c r="B297" s="13" t="n"/>
      <c r="C297" s="13" t="n"/>
      <c r="D297" s="13" t="n"/>
      <c r="E297" s="13" t="n"/>
      <c r="F297" s="13" t="n"/>
      <c r="G297" s="13" t="n"/>
      <c r="H297" s="13" t="n"/>
    </row>
    <row r="298">
      <c r="A298" s="13" t="n"/>
      <c r="B298" s="13" t="n"/>
      <c r="C298" s="13" t="n"/>
      <c r="D298" s="13" t="n"/>
      <c r="E298" s="13" t="n"/>
      <c r="F298" s="13" t="n"/>
      <c r="G298" s="13" t="n"/>
      <c r="H298" s="13" t="n"/>
    </row>
    <row r="299">
      <c r="A299" s="13" t="n"/>
      <c r="B299" s="13" t="n"/>
      <c r="C299" s="13" t="n"/>
      <c r="D299" s="13" t="n"/>
      <c r="E299" s="13" t="n"/>
      <c r="F299" s="13" t="n"/>
      <c r="G299" s="13" t="n"/>
      <c r="H299" s="13" t="n"/>
    </row>
    <row r="300">
      <c r="A300" s="13" t="n"/>
      <c r="B300" s="13" t="n"/>
      <c r="C300" s="13" t="n"/>
      <c r="D300" s="13" t="n"/>
      <c r="E300" s="13" t="n"/>
      <c r="F300" s="13" t="n"/>
      <c r="G300" s="13" t="n"/>
      <c r="H300" s="13" t="n"/>
    </row>
  </sheetData>
  <dataValidations count="1">
    <dataValidation sqref="A5:A300" showDropDown="0" showInputMessage="0" showErrorMessage="0" allowBlank="1" type="list">
      <formula1>='Măng xông'!$A$5:$A$49</formula1>
    </dataValidation>
  </dataValidations>
  <pageMargins left="0.75" right="0.75" top="1" bottom="1" header="0.5" footer="0.5"/>
  <pageSetup orientation="landscape" fitToHeight="0" fitToWidth="1"/>
</worksheet>
</file>

<file path=xl/worksheets/sheet23.xml><?xml version="1.0" encoding="utf-8"?>
<worksheet xmlns="http://schemas.openxmlformats.org/spreadsheetml/2006/main">
  <sheetPr>
    <outlinePr summaryBelow="1" summaryRight="1"/>
    <pageSetUpPr fitToPage="1"/>
  </sheetPr>
  <dimension ref="A1:D31"/>
  <sheetViews>
    <sheetView showGridLines="0" workbookViewId="0">
      <selection activeCell="A1" sqref="A1"/>
    </sheetView>
  </sheetViews>
  <sheetFormatPr baseColWidth="8" defaultRowHeight="15"/>
  <cols>
    <col width="8" customWidth="1" min="1" max="1"/>
    <col width="8" customWidth="1" min="2" max="2"/>
    <col width="26" customWidth="1" min="3" max="3"/>
    <col width="70" customWidth="1" min="4" max="4"/>
  </cols>
  <sheetData>
    <row r="1">
      <c r="A1" s="1" t="inlineStr">
        <is>
          <t>Đường đi hai lề trục Nguyễn Văn Tạo (người dùng cung cấp)</t>
        </is>
      </c>
    </row>
    <row r="2">
      <c r="A2" s="2" t="inlineStr">
        <is>
          <t>Cáp trục lề trái từ NBE12 qua MX_NVT_01 → 02A → 03A là một cáp dùng chung của R2 và R1 (mỗi link 2 core riêng).</t>
        </is>
      </c>
    </row>
    <row r="4" ht="32" customHeight="1">
      <c r="A4" s="3" t="inlineStr">
        <is>
          <t>Ring</t>
        </is>
      </c>
      <c r="B4" s="3" t="inlineStr">
        <is>
          <t>Thứ tự</t>
        </is>
      </c>
      <c r="C4" s="3" t="inlineStr">
        <is>
          <t>Điểm</t>
        </is>
      </c>
      <c r="D4" s="3" t="inlineStr">
        <is>
          <t>Ghi chú</t>
        </is>
      </c>
    </row>
    <row r="5">
      <c r="A5" s="64" t="inlineStr">
        <is>
          <t>R2</t>
        </is>
      </c>
      <c r="B5" t="n">
        <v>1</v>
      </c>
      <c r="C5" t="inlineStr">
        <is>
          <t>AGG-NBE12 (cáp trục lề trái)</t>
        </is>
      </c>
    </row>
    <row r="6">
      <c r="A6" s="64" t="inlineStr">
        <is>
          <t>R2</t>
        </is>
      </c>
      <c r="B6" t="n">
        <v>2</v>
      </c>
      <c r="C6" t="inlineStr">
        <is>
          <t>MX_NVT_01</t>
        </is>
      </c>
    </row>
    <row r="7">
      <c r="A7" s="64" t="inlineStr">
        <is>
          <t>R2</t>
        </is>
      </c>
      <c r="B7" t="n">
        <v>3</v>
      </c>
      <c r="C7" t="inlineStr">
        <is>
          <t>HNB054</t>
        </is>
      </c>
    </row>
    <row r="8">
      <c r="A8" s="64" t="inlineStr">
        <is>
          <t>R2</t>
        </is>
      </c>
      <c r="B8" t="n">
        <v>4</v>
      </c>
      <c r="C8" t="inlineStr">
        <is>
          <t>MX_NVT_01</t>
        </is>
      </c>
    </row>
    <row r="9">
      <c r="A9" s="64" t="inlineStr">
        <is>
          <t>R2</t>
        </is>
      </c>
      <c r="B9" t="n">
        <v>5</v>
      </c>
      <c r="C9" t="inlineStr">
        <is>
          <t>MX_NVT_02A</t>
        </is>
      </c>
    </row>
    <row r="10">
      <c r="A10" s="64" t="inlineStr">
        <is>
          <t>R2</t>
        </is>
      </c>
      <c r="B10" t="n">
        <v>6</v>
      </c>
      <c r="C10" t="inlineStr">
        <is>
          <t>HNB006</t>
        </is>
      </c>
    </row>
    <row r="11">
      <c r="A11" s="64" t="inlineStr">
        <is>
          <t>R2</t>
        </is>
      </c>
      <c r="B11" t="n">
        <v>7</v>
      </c>
      <c r="C11" t="inlineStr">
        <is>
          <t>MX_NVT_02A</t>
        </is>
      </c>
    </row>
    <row r="12">
      <c r="A12" s="64" t="inlineStr">
        <is>
          <t>R2</t>
        </is>
      </c>
      <c r="B12" t="n">
        <v>8</v>
      </c>
      <c r="C12" s="63" t="inlineStr">
        <is>
          <t>lề trái</t>
        </is>
      </c>
    </row>
    <row r="13">
      <c r="A13" s="64" t="inlineStr">
        <is>
          <t>R2</t>
        </is>
      </c>
      <c r="B13" t="n">
        <v>9</v>
      </c>
      <c r="C13" t="inlineStr">
        <is>
          <t>MX_NVT_03A</t>
        </is>
      </c>
    </row>
    <row r="14">
      <c r="A14" s="64" t="inlineStr">
        <is>
          <t>R2</t>
        </is>
      </c>
      <c r="B14" t="n">
        <v>10</v>
      </c>
      <c r="C14" t="inlineStr">
        <is>
          <t>HNB091</t>
        </is>
      </c>
    </row>
    <row r="15">
      <c r="A15" s="64" t="inlineStr">
        <is>
          <t>R2</t>
        </is>
      </c>
      <c r="B15" t="n">
        <v>11</v>
      </c>
      <c r="C15" t="inlineStr">
        <is>
          <t>MX_NVT_03B</t>
        </is>
      </c>
    </row>
    <row r="16">
      <c r="A16" s="64" t="inlineStr">
        <is>
          <t>R2</t>
        </is>
      </c>
      <c r="B16" t="n">
        <v>12</v>
      </c>
      <c r="C16" s="63" t="inlineStr">
        <is>
          <t>lề phải</t>
        </is>
      </c>
    </row>
    <row r="17">
      <c r="A17" s="64" t="inlineStr">
        <is>
          <t>R2</t>
        </is>
      </c>
      <c r="B17" t="n">
        <v>13</v>
      </c>
      <c r="C17" t="inlineStr">
        <is>
          <t>MX</t>
        </is>
      </c>
    </row>
    <row r="18">
      <c r="A18" s="64" t="inlineStr">
        <is>
          <t>R2</t>
        </is>
      </c>
      <c r="B18" t="n">
        <v>14</v>
      </c>
      <c r="C18" t="inlineStr">
        <is>
          <t>AGG-NBE22</t>
        </is>
      </c>
    </row>
    <row r="20">
      <c r="A20" s="65" t="inlineStr">
        <is>
          <t>R1</t>
        </is>
      </c>
      <c r="B20" t="n">
        <v>1</v>
      </c>
      <c r="C20" t="inlineStr">
        <is>
          <t>AGG-NBE12</t>
        </is>
      </c>
    </row>
    <row r="21">
      <c r="A21" s="65" t="inlineStr">
        <is>
          <t>R1</t>
        </is>
      </c>
      <c r="B21" t="n">
        <v>2</v>
      </c>
      <c r="C21" s="63" t="inlineStr">
        <is>
          <t>lề trái</t>
        </is>
      </c>
    </row>
    <row r="22">
      <c r="A22" s="65" t="inlineStr">
        <is>
          <t>R1</t>
        </is>
      </c>
      <c r="B22" t="n">
        <v>3</v>
      </c>
      <c r="C22" t="inlineStr">
        <is>
          <t>MX_NVT_03A</t>
        </is>
      </c>
    </row>
    <row r="23">
      <c r="A23" s="65" t="inlineStr">
        <is>
          <t>R1</t>
        </is>
      </c>
      <c r="B23" t="n">
        <v>4</v>
      </c>
      <c r="C23" s="63" t="inlineStr">
        <is>
          <t>lề trái</t>
        </is>
      </c>
    </row>
    <row r="24">
      <c r="A24" s="65" t="inlineStr">
        <is>
          <t>R1</t>
        </is>
      </c>
      <c r="B24" t="n">
        <v>5</v>
      </c>
      <c r="C24" t="inlineStr">
        <is>
          <t>HNB059</t>
        </is>
      </c>
    </row>
    <row r="25">
      <c r="A25" s="65" t="inlineStr">
        <is>
          <t>R1</t>
        </is>
      </c>
      <c r="B25" t="n">
        <v>6</v>
      </c>
      <c r="C25" s="63" t="inlineStr">
        <is>
          <t>lề trái</t>
        </is>
      </c>
    </row>
    <row r="26">
      <c r="A26" s="65" t="inlineStr">
        <is>
          <t>R1</t>
        </is>
      </c>
      <c r="B26" t="n">
        <v>7</v>
      </c>
      <c r="C26" t="inlineStr">
        <is>
          <t>HNB060</t>
        </is>
      </c>
    </row>
    <row r="27">
      <c r="A27" s="65" t="inlineStr">
        <is>
          <t>R1</t>
        </is>
      </c>
      <c r="B27" t="n">
        <v>8</v>
      </c>
      <c r="C27" s="63" t="inlineStr">
        <is>
          <t>lề phải</t>
        </is>
      </c>
    </row>
    <row r="28">
      <c r="A28" s="65" t="inlineStr">
        <is>
          <t>R1</t>
        </is>
      </c>
      <c r="B28" t="n">
        <v>9</v>
      </c>
      <c r="C28" t="inlineStr">
        <is>
          <t>HNB048</t>
        </is>
      </c>
    </row>
    <row r="29">
      <c r="A29" s="65" t="inlineStr">
        <is>
          <t>R1</t>
        </is>
      </c>
      <c r="B29" t="n">
        <v>10</v>
      </c>
      <c r="C29" s="63" t="inlineStr">
        <is>
          <t>lề phải</t>
        </is>
      </c>
    </row>
    <row r="30">
      <c r="A30" s="65" t="inlineStr">
        <is>
          <t>R1</t>
        </is>
      </c>
      <c r="B30" t="n">
        <v>11</v>
      </c>
      <c r="C30" t="inlineStr">
        <is>
          <t>MX_NVT_03B</t>
        </is>
      </c>
    </row>
    <row r="31">
      <c r="A31" s="65" t="inlineStr">
        <is>
          <t>R1</t>
        </is>
      </c>
      <c r="B31" t="n">
        <v>12</v>
      </c>
      <c r="C31" t="inlineStr">
        <is>
          <t>AGG-NBE22</t>
        </is>
      </c>
    </row>
  </sheetData>
  <pageMargins left="0.75" right="0.75" top="1" bottom="1" header="0.5" footer="0.5"/>
  <pageSetup orientation="landscape" fitToHeight="0" fitToWidth="1"/>
</worksheet>
</file>

<file path=xl/worksheets/sheet24.xml><?xml version="1.0" encoding="utf-8"?>
<worksheet xmlns="http://schemas.openxmlformats.org/spreadsheetml/2006/main">
  <sheetPr>
    <outlinePr summaryBelow="1" summaryRight="1"/>
    <pageSetUpPr fitToPage="1"/>
  </sheetPr>
  <dimension ref="A1:E6"/>
  <sheetViews>
    <sheetView showGridLines="0" workbookViewId="0">
      <selection activeCell="A1" sqref="A1"/>
    </sheetView>
  </sheetViews>
  <sheetFormatPr baseColWidth="8" defaultRowHeight="15"/>
  <cols>
    <col width="24" customWidth="1" min="1" max="1"/>
    <col width="48" customWidth="1" min="2" max="2"/>
    <col width="50" customWidth="1" min="3" max="3"/>
    <col width="16" customWidth="1" min="4" max="4"/>
    <col width="10" customWidth="1" min="5" max="5"/>
  </cols>
  <sheetData>
    <row r="1">
      <c r="A1" s="1" t="inlineStr">
        <is>
          <t>Core trống cho đối tác (ghi chú DWDM / VNN / TTC trong ODF AGG)</t>
        </is>
      </c>
    </row>
    <row r="2">
      <c r="A2" s="2" t="inlineStr">
        <is>
          <t>Chưa có số core cụ thể: điền từ ODF AGG và bảng hàn.</t>
        </is>
      </c>
    </row>
    <row r="3" ht="32" customHeight="1">
      <c r="A3" s="3" t="inlineStr">
        <is>
          <t>Đối tác</t>
        </is>
      </c>
      <c r="B3" s="3" t="inlineStr">
        <is>
          <t>Vị trí/ODF</t>
        </is>
      </c>
      <c r="C3" s="3" t="inlineStr">
        <is>
          <t>Ghi chú</t>
        </is>
      </c>
      <c r="D3" s="3" t="inlineStr">
        <is>
          <t>Đoạn</t>
        </is>
      </c>
      <c r="E3" s="3" t="inlineStr">
        <is>
          <t>Số core</t>
        </is>
      </c>
    </row>
    <row r="4">
      <c r="A4" s="4" t="inlineStr">
        <is>
          <t>DWDM Vinanet</t>
        </is>
      </c>
      <c r="B4" s="4" t="inlineStr">
        <is>
          <t>ODF-01 NBE22, MX_HTP-03A</t>
        </is>
      </c>
      <c r="C4" s="4" t="inlineStr">
        <is>
          <t>ngưng từ 16/05/2025</t>
        </is>
      </c>
      <c r="D4" s="22" t="n"/>
      <c r="E4" s="22" t="n"/>
    </row>
    <row r="5">
      <c r="A5" s="4" t="inlineStr">
        <is>
          <t>TTC (gói Long An)</t>
        </is>
      </c>
      <c r="B5" s="4" t="inlineStr">
        <is>
          <t>ODF-02 NBE22 / ODF Nguyễn Bình</t>
        </is>
      </c>
      <c r="C5" s="4" t="inlineStr">
        <is>
          <t>CG23; một số cổng ghi "hủy"/"dùng đến MX NB-NVT"</t>
        </is>
      </c>
      <c r="D5" s="22" t="n"/>
      <c r="E5" s="22" t="n"/>
    </row>
    <row r="6">
      <c r="A6" s="4" t="inlineStr">
        <is>
          <t>MTC Vinanet (VNN)</t>
        </is>
      </c>
      <c r="B6" s="4" t="inlineStr">
        <is>
          <t>ODF-01 Nguyễn Bình, phối cáp ngoài MX NB-NVT</t>
        </is>
      </c>
      <c r="C6" s="4" t="inlineStr"/>
      <c r="D6" s="22" t="n"/>
      <c r="E6" s="22" t="n"/>
    </row>
  </sheetData>
  <pageMargins left="0.75" right="0.75" top="1" bottom="1" header="0.5" footer="0.5"/>
  <pageSetup orientation="landscape" fitToHeight="0" fitToWidth="1"/>
</worksheet>
</file>

<file path=xl/worksheets/sheet25.xml><?xml version="1.0" encoding="utf-8"?>
<worksheet xmlns="http://schemas.openxmlformats.org/spreadsheetml/2006/main">
  <sheetPr>
    <outlinePr summaryBelow="1" summaryRight="1"/>
    <pageSetUpPr fitToPage="1"/>
  </sheetPr>
  <dimension ref="A1:E23"/>
  <sheetViews>
    <sheetView showGridLines="0" workbookViewId="0">
      <pane ySplit="3" topLeftCell="A4" activePane="bottomLeft" state="frozen"/>
      <selection pane="bottomLeft" activeCell="A1" sqref="A1"/>
    </sheetView>
  </sheetViews>
  <sheetFormatPr baseColWidth="8" defaultRowHeight="15"/>
  <cols>
    <col width="26" customWidth="1" min="1" max="1"/>
    <col width="14" customWidth="1" min="2" max="2"/>
    <col width="90" customWidth="1" min="3" max="3"/>
    <col width="16" customWidth="1" min="4" max="4"/>
    <col width="30" customWidth="1" min="5" max="5"/>
  </cols>
  <sheetData>
    <row r="1">
      <c r="A1" s="1" t="inlineStr">
        <is>
          <t>Mâu thuẫn / bất thường trong các file nguồn (tự động phát hiện + ghi chú)</t>
        </is>
      </c>
    </row>
    <row r="3" ht="32" customHeight="1">
      <c r="A3" s="3" t="inlineStr">
        <is>
          <t>Đối tượng</t>
        </is>
      </c>
      <c r="B3" s="3" t="inlineStr">
        <is>
          <t>Loại</t>
        </is>
      </c>
      <c r="C3" s="3" t="inlineStr">
        <is>
          <t>Nội dung</t>
        </is>
      </c>
      <c r="D3" s="3" t="inlineStr">
        <is>
          <t>Người xác nhận</t>
        </is>
      </c>
      <c r="E3" s="3" t="inlineStr">
        <is>
          <t>Kết quả</t>
        </is>
      </c>
    </row>
    <row r="4">
      <c r="A4" s="4" t="inlineStr">
        <is>
          <t>R2-02</t>
        </is>
      </c>
      <c r="B4" s="4" t="inlineStr">
        <is>
          <t>lệch core</t>
        </is>
      </c>
      <c r="C4" s="4" t="inlineStr">
        <is>
          <t>chênh 2.023 dB &gt; 2.0 dB</t>
        </is>
      </c>
      <c r="D4" s="22" t="n"/>
      <c r="E4" s="22" t="n"/>
    </row>
    <row r="5">
      <c r="A5" s="4" t="inlineStr">
        <is>
          <t>R2-03</t>
        </is>
      </c>
      <c r="B5" s="4" t="inlineStr">
        <is>
          <t>chiều dài</t>
        </is>
      </c>
      <c r="C5" s="4" t="inlineStr">
        <is>
          <t>BBNT: HĐ 0.962 km vs OTDR 1.607 km (lệch 67%)</t>
        </is>
      </c>
      <c r="D5" s="22" t="n"/>
      <c r="E5" s="22" t="n"/>
    </row>
    <row r="6">
      <c r="A6" s="4" t="inlineStr">
        <is>
          <t>R2-03</t>
        </is>
      </c>
      <c r="B6" s="4" t="inlineStr">
        <is>
          <t>KML</t>
        </is>
      </c>
      <c r="C6" s="4" t="inlineStr">
        <is>
          <t>OTDR/KML = 2.06 (KML 0.779 km, OTDR 1.607 km)</t>
        </is>
      </c>
      <c r="D6" s="22" t="n"/>
      <c r="E6" s="22" t="n"/>
    </row>
    <row r="7">
      <c r="A7" s="4" t="inlineStr">
        <is>
          <t>R3-02</t>
        </is>
      </c>
      <c r="B7" s="4" t="inlineStr">
        <is>
          <t>chiều dài</t>
        </is>
      </c>
      <c r="C7" s="4" t="inlineStr">
        <is>
          <t>BBNT: HĐ 0.827 km vs OTDR 1.018 km (lệch 23%)</t>
        </is>
      </c>
      <c r="D7" s="22" t="n"/>
      <c r="E7" s="22" t="n"/>
    </row>
    <row r="8">
      <c r="A8" s="4" t="inlineStr">
        <is>
          <t>R3-03</t>
        </is>
      </c>
      <c r="B8" s="4" t="inlineStr">
        <is>
          <t>chiều dài</t>
        </is>
      </c>
      <c r="C8" s="4" t="inlineStr">
        <is>
          <t>BBNT: HĐ 1.799 km vs OTDR 2.218 km (lệch 23%)</t>
        </is>
      </c>
      <c r="D8" s="22" t="n"/>
      <c r="E8" s="22" t="n"/>
    </row>
    <row r="9">
      <c r="A9" s="4" t="inlineStr">
        <is>
          <t>R4-02</t>
        </is>
      </c>
      <c r="B9" s="4" t="inlineStr">
        <is>
          <t>chiều dài</t>
        </is>
      </c>
      <c r="C9" s="4" t="inlineStr">
        <is>
          <t>BBNT: HĐ 0.62 km vs OTDR 0.86 km (lệch 39%)</t>
        </is>
      </c>
      <c r="D9" s="22" t="n"/>
      <c r="E9" s="22" t="n"/>
    </row>
    <row r="10">
      <c r="A10" s="4" t="inlineStr">
        <is>
          <t>R4-03</t>
        </is>
      </c>
      <c r="B10" s="4" t="inlineStr">
        <is>
          <t>chiều dài</t>
        </is>
      </c>
      <c r="C10" s="4" t="inlineStr">
        <is>
          <t>BBNT: HĐ 0.827 km vs OTDR 1.325 km (lệch 60%)</t>
        </is>
      </c>
      <c r="D10" s="22" t="n"/>
      <c r="E10" s="22" t="n"/>
    </row>
    <row r="11">
      <c r="A11" s="4" t="inlineStr">
        <is>
          <t>R5-03</t>
        </is>
      </c>
      <c r="B11" s="4" t="inlineStr">
        <is>
          <t>chiều dài</t>
        </is>
      </c>
      <c r="C11" s="4" t="inlineStr">
        <is>
          <t>BBNT: HĐ 0.517 km vs OTDR 0.861 km (lệch 67%)</t>
        </is>
      </c>
      <c r="D11" s="22" t="n"/>
      <c r="E11" s="22" t="n"/>
    </row>
    <row r="12">
      <c r="A12" s="4" t="inlineStr">
        <is>
          <t>R5-03</t>
        </is>
      </c>
      <c r="B12" s="4" t="inlineStr">
        <is>
          <t>KML</t>
        </is>
      </c>
      <c r="C12" s="4" t="inlineStr">
        <is>
          <t>OTDR/KML = 2.08 (KML 0.414 km, OTDR 0.861 km)</t>
        </is>
      </c>
      <c r="D12" s="22" t="n"/>
      <c r="E12" s="22" t="n"/>
    </row>
    <row r="13">
      <c r="A13" s="4" t="inlineStr">
        <is>
          <t>R7-01</t>
        </is>
      </c>
      <c r="B13" s="4" t="inlineStr">
        <is>
          <t>KML</t>
        </is>
      </c>
      <c r="C13" s="4" t="inlineStr">
        <is>
          <t>OTDR/KML = 0.74 (KML 15.047 km, OTDR 11.101 km)</t>
        </is>
      </c>
      <c r="D13" s="22" t="n"/>
      <c r="E13" s="22" t="n"/>
    </row>
    <row r="14">
      <c r="A14" s="4" t="inlineStr">
        <is>
          <t>R7-03</t>
        </is>
      </c>
      <c r="B14" s="4" t="inlineStr">
        <is>
          <t>chiều dài</t>
        </is>
      </c>
      <c r="C14" s="4" t="inlineStr">
        <is>
          <t>BBNT: HĐ 0.827 km vs OTDR 1.035 km (lệch 25%)</t>
        </is>
      </c>
      <c r="D14" s="22" t="n"/>
      <c r="E14" s="22" t="n"/>
    </row>
    <row r="15">
      <c r="A15" s="4" t="inlineStr">
        <is>
          <t>R7-05</t>
        </is>
      </c>
      <c r="B15" s="4" t="inlineStr">
        <is>
          <t>chiều dài</t>
        </is>
      </c>
      <c r="C15" s="4" t="inlineStr">
        <is>
          <t>BBNT: HĐ 0.465 km vs OTDR 0.688 km (lệch 48%)</t>
        </is>
      </c>
      <c r="D15" s="22" t="n"/>
      <c r="E15" s="22" t="n"/>
    </row>
    <row r="16">
      <c r="A16" s="4" t="inlineStr">
        <is>
          <t>R7-05</t>
        </is>
      </c>
      <c r="B16" s="4" t="inlineStr">
        <is>
          <t>KML</t>
        </is>
      </c>
      <c r="C16" s="4" t="inlineStr">
        <is>
          <t>OTDR/KML = 1.60 (KML 0.431 km, OTDR 0.688 km)</t>
        </is>
      </c>
      <c r="D16" s="22" t="n"/>
      <c r="E16" s="22" t="n"/>
    </row>
    <row r="17">
      <c r="A17" s="4" t="inlineStr">
        <is>
          <t>R8-01</t>
        </is>
      </c>
      <c r="B17" s="4" t="inlineStr">
        <is>
          <t>chiều dài</t>
        </is>
      </c>
      <c r="C17" s="4" t="inlineStr">
        <is>
          <t>BBNT: HĐ 10.236 km vs OTDR 15.404 km (lệch 50%)</t>
        </is>
      </c>
      <c r="D17" s="22" t="n"/>
      <c r="E17" s="22" t="n"/>
    </row>
    <row r="18">
      <c r="A18" s="4" t="inlineStr">
        <is>
          <t>R8-02</t>
        </is>
      </c>
      <c r="B18" s="4" t="inlineStr">
        <is>
          <t>KML</t>
        </is>
      </c>
      <c r="C18" s="4" t="inlineStr">
        <is>
          <t>OTDR/KML = 0.72 (KML 0.692 km, OTDR 0.501 km)</t>
        </is>
      </c>
      <c r="D18" s="22" t="n"/>
      <c r="E18" s="22" t="n"/>
    </row>
    <row r="19">
      <c r="A19" s="4" t="inlineStr">
        <is>
          <t>R8-03</t>
        </is>
      </c>
      <c r="B19" s="4" t="inlineStr">
        <is>
          <t>KML</t>
        </is>
      </c>
      <c r="C19" s="4" t="inlineStr">
        <is>
          <t>OTDR/KML = 2.28 (KML 0.271 km, OTDR 0.618 km)</t>
        </is>
      </c>
      <c r="D19" s="22" t="n"/>
      <c r="E19" s="22" t="n"/>
    </row>
    <row r="20">
      <c r="A20" s="4" t="inlineStr">
        <is>
          <t>BBNT</t>
        </is>
      </c>
      <c r="B20" s="4" t="inlineStr">
        <is>
          <t>số liệu</t>
        </is>
      </c>
      <c r="C20" s="4" t="inlineStr">
        <is>
          <t>giá trị HĐ 0.827 km lặp 5 lần: nghi số điền mẫu</t>
        </is>
      </c>
      <c r="D20" s="22" t="n"/>
      <c r="E20" s="22" t="n"/>
    </row>
    <row r="21">
      <c r="A21" s="4" t="inlineStr">
        <is>
          <t>ODF-HNB020</t>
        </is>
      </c>
      <c r="B21" s="4" t="inlineStr">
        <is>
          <t>ghi chú</t>
        </is>
      </c>
      <c r="C21" s="4" t="inlineStr">
        <is>
          <t>ghi "To HNB027" ở cả hai hướng: nghi sai, đúng ra HNB031 và AGG-NBE22</t>
        </is>
      </c>
      <c r="D21" s="22" t="n"/>
      <c r="E21" s="22" t="n"/>
    </row>
    <row r="22">
      <c r="A22" s="4" t="inlineStr">
        <is>
          <t>ODF-HNB014/054/006/091/048/060/059</t>
        </is>
      </c>
      <c r="B22" s="4" t="inlineStr">
        <is>
          <t>thiếu</t>
        </is>
      </c>
      <c r="C22" s="4" t="inlineStr">
        <is>
          <t>chưa ghi đầu cáp/hướng</t>
        </is>
      </c>
      <c r="D22" s="22" t="n"/>
      <c r="E22" s="22" t="n"/>
    </row>
    <row r="23">
      <c r="A23" s="4" t="inlineStr">
        <is>
          <t>MX_NVT_03A</t>
        </is>
      </c>
      <c r="B23" s="4" t="inlineStr">
        <is>
          <t>tên</t>
        </is>
      </c>
      <c r="C23" s="4" t="inlineStr">
        <is>
          <t>hai măng xông cùng tên; người dùng xác nhận là 03A và 03B (hai bên lề)</t>
        </is>
      </c>
      <c r="D23" s="22" t="n"/>
      <c r="E23" s="22" t="n"/>
    </row>
  </sheetData>
  <pageMargins left="0.75" right="0.75" top="1" bottom="1" header="0.5" footer="0.5"/>
  <pageSetup orientation="landscape" fitToHeight="0" fitToWidth="1"/>
</worksheet>
</file>

<file path=xl/worksheets/sheet26.xml><?xml version="1.0" encoding="utf-8"?>
<worksheet xmlns="http://schemas.openxmlformats.org/spreadsheetml/2006/main">
  <sheetPr>
    <outlinePr summaryBelow="1" summaryRight="1"/>
    <pageSetUpPr fitToPage="1"/>
  </sheetPr>
  <dimension ref="A1:D10"/>
  <sheetViews>
    <sheetView showGridLines="0" workbookViewId="0">
      <selection activeCell="A1" sqref="A1"/>
    </sheetView>
  </sheetViews>
  <sheetFormatPr baseColWidth="8" defaultRowHeight="15"/>
  <cols>
    <col width="38" customWidth="1" min="1" max="1"/>
    <col width="50" customWidth="1" min="2" max="2"/>
    <col width="70" customWidth="1" min="3" max="3"/>
    <col width="22" customWidth="1" min="4" max="4"/>
  </cols>
  <sheetData>
    <row r="1">
      <c r="A1" s="1" t="inlineStr">
        <is>
          <t>Triệu chứng → nguyên nhân thường gặp → xử lý (tham khảo, bổ sung theo thực tế)</t>
        </is>
      </c>
    </row>
    <row r="3" ht="32" customHeight="1">
      <c r="A3" s="3" t="inlineStr">
        <is>
          <t>Triệu chứng</t>
        </is>
      </c>
      <c r="B3" s="3" t="inlineStr">
        <is>
          <t>Nguyên nhân thường gặp</t>
        </is>
      </c>
      <c r="C3" s="3" t="inlineStr">
        <is>
          <t>Cách xử lý / kiểm tra</t>
        </is>
      </c>
      <c r="D3" s="3" t="inlineStr">
        <is>
          <t>Dùng sheet</t>
        </is>
      </c>
    </row>
    <row r="4">
      <c r="A4" s="8" t="inlineStr">
        <is>
          <t>CSG mất link một hướng, ring vẫn chạy</t>
        </is>
      </c>
      <c r="B4" s="8" t="inlineStr">
        <is>
          <t>Đứt/hỏng một đoạn kề</t>
        </is>
      </c>
      <c r="C4" s="8" t="inlineStr">
        <is>
          <t>OTDR từ đầu trạm, đổi khoảng cách ra vị trí (MX gần nhất); báo thi công; theo dõi hướng còn lại</t>
        </is>
      </c>
      <c r="D4" s="8" t="inlineStr">
        <is>
          <t>Sự cố đứt cáp</t>
        </is>
      </c>
    </row>
    <row r="5">
      <c r="A5" s="8" t="inlineStr">
        <is>
          <t>CSG mất cả hai hướng</t>
        </is>
      </c>
      <c r="B5" s="8" t="inlineStr">
        <is>
          <t>Hai đoạn cùng ring đứt cùng lúc (chung hành lang) hoặc trạm nhánh cụt</t>
        </is>
      </c>
      <c r="C5" s="8" t="inlineStr">
        <is>
          <t>Kiểm tra cặp đoạn ở sheet Sự cố; ưu tiên khôi phục đoạn có CSG cô lập</t>
        </is>
      </c>
      <c r="D5" s="8" t="inlineStr">
        <is>
          <t>Sự cố đứt cáp</t>
        </is>
      </c>
    </row>
    <row r="6">
      <c r="A6" s="8" t="inlineStr">
        <is>
          <t>Suy hao một đoạn cao bất thường</t>
        </is>
      </c>
      <c r="B6" s="8" t="inlineStr">
        <is>
          <t>Uốn cong, mối hàn xấu, đầu nối bẩn</t>
        </is>
      </c>
      <c r="C6" s="8" t="inlineStr">
        <is>
          <t>OTDR hai chiều; vệ sinh đầu nối ODF; kiểm tra khay hàn MX gần nhất</t>
        </is>
      </c>
      <c r="D6" s="8" t="inlineStr">
        <is>
          <t>Đoạn &amp; quỹ suy hao</t>
        </is>
      </c>
    </row>
    <row r="7">
      <c r="A7" s="8" t="inlineStr">
        <is>
          <t>Hai core lệch suy hao &gt; 2 dB</t>
        </is>
      </c>
      <c r="B7" s="8" t="inlineStr">
        <is>
          <t>Một core có mối hàn/đầu nối xấu</t>
        </is>
      </c>
      <c r="C7" s="8" t="inlineStr">
        <is>
          <t>So sánh OTDR từng core; ví dụ đoạn R2-02 (HNB054→HNB006) chênh 2,02 dB</t>
        </is>
      </c>
      <c r="D7" s="8" t="inlineStr">
        <is>
          <t>Đoạn &amp; quỹ suy hao</t>
        </is>
      </c>
    </row>
    <row r="8">
      <c r="A8" s="8" t="inlineStr">
        <is>
          <t>Chiều dài OTDR khác hẳn hợp đồng/KML</t>
        </is>
      </c>
      <c r="B8" s="8" t="inlineStr">
        <is>
          <t>Đổi tuyến, dự trữ lớn, hoặc số liệu ghi sai</t>
        </is>
      </c>
      <c r="C8" s="8" t="inlineStr">
        <is>
          <t>Đối chiếu KML &amp; sổ cáp; cập nhật tuyến thực tế (HNB066, HNB005 đã đổi tuyến)</t>
        </is>
      </c>
      <c r="D8" s="8" t="inlineStr">
        <is>
          <t>Dữ liệu cần xác nhận</t>
        </is>
      </c>
    </row>
    <row r="9">
      <c r="A9" s="8" t="inlineStr">
        <is>
          <t>Không tìm thấy điểm đứt theo OTDR</t>
        </is>
      </c>
      <c r="B9" s="8" t="inlineStr">
        <is>
          <t>Chỉ số mét (cs) hai đầu cáp thiếu</t>
        </is>
      </c>
      <c r="C9" s="8" t="inlineStr">
        <is>
          <t>Bổ sung chỉ số mét hai đầu từng cáp ở sheet Cáp</t>
        </is>
      </c>
      <c r="D9" s="8" t="inlineStr">
        <is>
          <t>Cáp</t>
        </is>
      </c>
    </row>
    <row r="10">
      <c r="A10" s="8" t="inlineStr">
        <is>
          <t>Cổng ODF ghi "hư"</t>
        </is>
      </c>
      <c r="B10" s="8" t="inlineStr">
        <is>
          <t>Đầu nối/pigtail hỏng</t>
        </is>
      </c>
      <c r="C10" s="8" t="inlineStr">
        <is>
          <t>Chuyển sang cổng dự phòng cùng nhóm, cập nhật trạng thái</t>
        </is>
      </c>
      <c r="D10" s="8" t="inlineStr">
        <is>
          <t>ODF AGG</t>
        </is>
      </c>
    </row>
  </sheetData>
  <pageMargins left="0.75" right="0.75" top="1" bottom="1" header="0.5" footer="0.5"/>
  <pageSetup orientation="landscape" fitToHeight="0" fitToWidth="1"/>
</worksheet>
</file>

<file path=xl/worksheets/sheet27.xml><?xml version="1.0" encoding="utf-8"?>
<worksheet xmlns="http://schemas.openxmlformats.org/spreadsheetml/2006/main">
  <sheetPr>
    <outlinePr summaryBelow="1" summaryRight="1"/>
    <pageSetUpPr fitToPage="1"/>
  </sheetPr>
  <dimension ref="A1:F52"/>
  <sheetViews>
    <sheetView showGridLines="0" workbookViewId="0">
      <selection activeCell="A1" sqref="A1"/>
    </sheetView>
  </sheetViews>
  <sheetFormatPr baseColWidth="8" defaultRowHeight="15"/>
  <cols>
    <col width="14" customWidth="1" min="1" max="1"/>
    <col width="6" customWidth="1" min="2" max="2"/>
    <col width="34" customWidth="1" min="3" max="3"/>
    <col width="10" customWidth="1" min="4" max="4"/>
    <col width="18" customWidth="1" min="5" max="5"/>
    <col width="40" customWidth="1" min="6" max="6"/>
  </cols>
  <sheetData>
    <row r="1">
      <c r="A1" s="1" t="inlineStr">
        <is>
          <t>Vật tư măng xông / ODF theo sổ ghi tay</t>
        </is>
      </c>
    </row>
    <row r="2">
      <c r="A2" s="2" t="inlineStr">
        <is>
          <t>ODF theo dung lượng (6/12/24) và danh sách MX thiết kế / phát sinh.</t>
        </is>
      </c>
    </row>
    <row r="3" ht="32" customHeight="1">
      <c r="A3" s="3" t="inlineStr">
        <is>
          <t>Loại</t>
        </is>
      </c>
      <c r="B3" s="3" t="inlineStr">
        <is>
          <t>STT</t>
        </is>
      </c>
      <c r="C3" s="3" t="inlineStr">
        <is>
          <t>Tên MX</t>
        </is>
      </c>
      <c r="D3" s="3" t="inlineStr">
        <is>
          <t>Đầu cáp</t>
        </is>
      </c>
      <c r="E3" s="3" t="inlineStr">
        <is>
          <t>Thiết kế/Phát sinh (mối hàn)</t>
        </is>
      </c>
      <c r="F3" s="3" t="inlineStr">
        <is>
          <t>Ghi chú</t>
        </is>
      </c>
    </row>
    <row r="4">
      <c r="A4" s="4" t="inlineStr">
        <is>
          <t>mx_thiet_ke</t>
        </is>
      </c>
      <c r="B4" s="4" t="inlineStr">
        <is>
          <t>1</t>
        </is>
      </c>
      <c r="C4" s="4" t="inlineStr">
        <is>
          <t>vào trạm 91 từ Long Thới</t>
        </is>
      </c>
      <c r="D4" s="4" t="n">
        <v>3</v>
      </c>
      <c r="E4" s="4" t="n">
        <v>4</v>
      </c>
      <c r="F4" s="4" t="inlineStr"/>
    </row>
    <row r="5">
      <c r="A5" s="4" t="inlineStr">
        <is>
          <t>mx_thiet_ke</t>
        </is>
      </c>
      <c r="B5" s="4" t="inlineStr">
        <is>
          <t>2</t>
        </is>
      </c>
      <c r="C5" s="4" t="inlineStr">
        <is>
          <t>vào trạm 91 đi NQT</t>
        </is>
      </c>
      <c r="D5" s="4" t="n">
        <v>3</v>
      </c>
      <c r="E5" s="4" t="n">
        <v>4</v>
      </c>
      <c r="F5" s="4" t="inlineStr"/>
    </row>
    <row r="6">
      <c r="A6" s="4" t="inlineStr">
        <is>
          <t>mx_thiet_ke</t>
        </is>
      </c>
      <c r="B6" s="4" t="inlineStr">
        <is>
          <t>3</t>
        </is>
      </c>
      <c r="C6" s="4" t="inlineStr">
        <is>
          <t>bờ sông Đào Sư Tích</t>
        </is>
      </c>
      <c r="D6" s="4" t="n">
        <v>2</v>
      </c>
      <c r="E6" s="4" t="n">
        <v>4</v>
      </c>
      <c r="F6" s="4" t="inlineStr"/>
    </row>
    <row r="7">
      <c r="A7" s="4" t="inlineStr">
        <is>
          <t>mx_thiet_ke</t>
        </is>
      </c>
      <c r="B7" s="4" t="inlineStr">
        <is>
          <t>4</t>
        </is>
      </c>
      <c r="C7" s="4" t="inlineStr">
        <is>
          <t xml:space="preserve">thẳng LVL </t>
        </is>
      </c>
      <c r="D7" s="4" t="n">
        <v>2</v>
      </c>
      <c r="E7" s="4" t="n">
        <v>8</v>
      </c>
      <c r="F7" s="4" t="inlineStr">
        <is>
          <t>hết 950m</t>
        </is>
      </c>
    </row>
    <row r="8">
      <c r="A8" s="4" t="inlineStr">
        <is>
          <t>mx_thiet_ke</t>
        </is>
      </c>
      <c r="B8" s="4" t="inlineStr">
        <is>
          <t>5</t>
        </is>
      </c>
      <c r="C8" s="4" t="inlineStr">
        <is>
          <t>thẳng Ng V.Linh</t>
        </is>
      </c>
      <c r="D8" s="4" t="n">
        <v>2</v>
      </c>
      <c r="E8" s="4" t="n">
        <v>8</v>
      </c>
      <c r="F8" s="4" t="inlineStr">
        <is>
          <t>đầu cầu 1</t>
        </is>
      </c>
    </row>
    <row r="9">
      <c r="A9" s="4" t="inlineStr">
        <is>
          <t>mx_thiet_ke</t>
        </is>
      </c>
      <c r="B9" s="4" t="inlineStr">
        <is>
          <t>6</t>
        </is>
      </c>
      <c r="C9" s="4" t="inlineStr">
        <is>
          <t>thẳng Ng V.Linh</t>
        </is>
      </c>
      <c r="D9" s="4" t="n">
        <v>2</v>
      </c>
      <c r="E9" s="4" t="n">
        <v>8</v>
      </c>
      <c r="F9" s="4" t="inlineStr">
        <is>
          <t>đầu cầu 2</t>
        </is>
      </c>
    </row>
    <row r="10">
      <c r="A10" s="4" t="inlineStr">
        <is>
          <t>mx_thiet_ke</t>
        </is>
      </c>
      <c r="B10" s="4" t="inlineStr">
        <is>
          <t>7</t>
        </is>
      </c>
      <c r="C10" s="4" t="inlineStr">
        <is>
          <t>thẳng Phạm Hùng</t>
        </is>
      </c>
      <c r="D10" s="4" t="n">
        <v>2</v>
      </c>
      <c r="E10" s="4" t="n">
        <v>8</v>
      </c>
      <c r="F10" s="4" t="inlineStr">
        <is>
          <t>hết 2100</t>
        </is>
      </c>
    </row>
    <row r="11">
      <c r="A11" s="4" t="inlineStr">
        <is>
          <t>mx_thiet_ke</t>
        </is>
      </c>
      <c r="B11" s="4" t="inlineStr">
        <is>
          <t>8</t>
        </is>
      </c>
      <c r="C11" s="4" t="inlineStr">
        <is>
          <t>phối Phạm Hùng</t>
        </is>
      </c>
      <c r="D11" s="4" t="n">
        <v>3</v>
      </c>
      <c r="E11" s="4" t="n">
        <v>8</v>
      </c>
      <c r="F11" s="4" t="inlineStr">
        <is>
          <t>phối vào HNB012</t>
        </is>
      </c>
    </row>
    <row r="12">
      <c r="A12" s="4" t="inlineStr">
        <is>
          <t>mx_thiet_ke</t>
        </is>
      </c>
      <c r="B12" s="4" t="inlineStr">
        <is>
          <t>9</t>
        </is>
      </c>
      <c r="C12" s="4" t="inlineStr">
        <is>
          <t>bờ sông Phạm Hùng</t>
        </is>
      </c>
      <c r="D12" s="4" t="n">
        <v>2</v>
      </c>
      <c r="E12" s="4" t="n">
        <v>6</v>
      </c>
      <c r="F12" s="4" t="inlineStr"/>
    </row>
    <row r="13">
      <c r="A13" s="4" t="inlineStr">
        <is>
          <t>mx_thiet_ke</t>
        </is>
      </c>
      <c r="B13" s="4" t="inlineStr">
        <is>
          <t>10</t>
        </is>
      </c>
      <c r="C13" s="4" t="inlineStr">
        <is>
          <t>chân cầu phú xuân</t>
        </is>
      </c>
      <c r="D13" s="4" t="n">
        <v>3</v>
      </c>
      <c r="E13" s="4" t="n">
        <v>12</v>
      </c>
      <c r="F13" s="4" t="inlineStr">
        <is>
          <t>phối vào HNB066</t>
        </is>
      </c>
    </row>
    <row r="14">
      <c r="A14" s="4" t="inlineStr">
        <is>
          <t>mx_thiet_ke</t>
        </is>
      </c>
      <c r="B14" s="4" t="inlineStr">
        <is>
          <t>11</t>
        </is>
      </c>
      <c r="C14" s="4" t="inlineStr">
        <is>
          <t>Ngã ba HTP-PHL</t>
        </is>
      </c>
      <c r="D14" s="4" t="n">
        <v>2</v>
      </c>
      <c r="E14" s="4" t="n">
        <v>12</v>
      </c>
      <c r="F14" s="4" t="inlineStr">
        <is>
          <t>thẳng</t>
        </is>
      </c>
    </row>
    <row r="15">
      <c r="A15" s="4" t="inlineStr">
        <is>
          <t>mx_thiet_ke</t>
        </is>
      </c>
      <c r="B15" s="4" t="inlineStr">
        <is>
          <t>12</t>
        </is>
      </c>
      <c r="C15" s="4" t="inlineStr">
        <is>
          <t>thẳng gần cầu Phước Long PHL</t>
        </is>
      </c>
      <c r="D15" s="4" t="n">
        <v>2</v>
      </c>
      <c r="E15" s="4" t="n">
        <v>12</v>
      </c>
      <c r="F15" s="4" t="inlineStr">
        <is>
          <t>hết cáp 3km</t>
        </is>
      </c>
    </row>
    <row r="16">
      <c r="A16" s="4" t="inlineStr">
        <is>
          <t>mx_thiet_ke</t>
        </is>
      </c>
      <c r="B16" s="4" t="inlineStr">
        <is>
          <t>13</t>
        </is>
      </c>
      <c r="C16" s="4" t="inlineStr">
        <is>
          <t>ngã ba LVL- Đào Sư Tích</t>
        </is>
      </c>
      <c r="D16" s="4" t="n">
        <v>4</v>
      </c>
      <c r="E16" s="4" t="n">
        <v>12</v>
      </c>
      <c r="F16" s="4" t="inlineStr"/>
    </row>
    <row r="17">
      <c r="A17" s="4" t="inlineStr">
        <is>
          <t>mx_thiet_ke</t>
        </is>
      </c>
      <c r="B17" s="4" t="inlineStr">
        <is>
          <t>14</t>
        </is>
      </c>
      <c r="C17" s="4" t="inlineStr">
        <is>
          <t>rẽ băng sông  ĐST</t>
        </is>
      </c>
      <c r="D17" s="4" t="n">
        <v>3</v>
      </c>
      <c r="E17" s="4" t="n">
        <v>12</v>
      </c>
      <c r="F17" s="4" t="inlineStr"/>
    </row>
    <row r="18">
      <c r="A18" s="4" t="inlineStr">
        <is>
          <t>mx_thiet_ke</t>
        </is>
      </c>
      <c r="B18" s="4" t="inlineStr">
        <is>
          <t>15</t>
        </is>
      </c>
      <c r="C18" s="4" t="inlineStr">
        <is>
          <t>đầu hẽm 1534 LVL</t>
        </is>
      </c>
      <c r="D18" s="4" t="n">
        <v>3</v>
      </c>
      <c r="E18" s="4" t="n">
        <v>12</v>
      </c>
      <c r="F18" s="4" t="inlineStr">
        <is>
          <t>phối vào HNB018</t>
        </is>
      </c>
    </row>
    <row r="19">
      <c r="A19" s="4" t="inlineStr">
        <is>
          <t>mx_thiet_ke</t>
        </is>
      </c>
      <c r="B19" s="4" t="inlineStr">
        <is>
          <t>16</t>
        </is>
      </c>
      <c r="C19" s="4" t="inlineStr">
        <is>
          <t>nhập dài Long thới hướng NVT</t>
        </is>
      </c>
      <c r="D19" s="4" t="n">
        <v>2</v>
      </c>
      <c r="E19" s="4" t="n">
        <v>12</v>
      </c>
      <c r="F19" s="4" t="inlineStr"/>
    </row>
    <row r="20">
      <c r="A20" s="4" t="inlineStr">
        <is>
          <t>mx_thiet_ke</t>
        </is>
      </c>
      <c r="B20" s="4" t="inlineStr">
        <is>
          <t>17</t>
        </is>
      </c>
      <c r="C20" s="4" t="inlineStr">
        <is>
          <t>ngã ba NB-Phạm Thị Kỳ</t>
        </is>
      </c>
      <c r="D20" s="4" t="n">
        <v>3</v>
      </c>
      <c r="E20" s="4" t="n">
        <v>12</v>
      </c>
      <c r="F20" s="4" t="inlineStr">
        <is>
          <t>phối vào HNB086</t>
        </is>
      </c>
    </row>
    <row r="21">
      <c r="A21" s="4" t="inlineStr">
        <is>
          <t>mx_thiet_ke</t>
        </is>
      </c>
      <c r="B21" s="4" t="inlineStr">
        <is>
          <t>18</t>
        </is>
      </c>
      <c r="C21" s="4" t="inlineStr">
        <is>
          <t>hẽm 256 NB</t>
        </is>
      </c>
      <c r="D21" s="4" t="n">
        <v>3</v>
      </c>
      <c r="E21" s="4" t="n">
        <v>12</v>
      </c>
      <c r="F21" s="4" t="inlineStr">
        <is>
          <t>phối vào HNB027</t>
        </is>
      </c>
    </row>
    <row r="22">
      <c r="A22" s="4" t="inlineStr">
        <is>
          <t>mx_thiet_ke</t>
        </is>
      </c>
      <c r="B22" s="4" t="inlineStr">
        <is>
          <t>19</t>
        </is>
      </c>
      <c r="C22" s="4" t="inlineStr">
        <is>
          <t>Nhập dài SG mới hướng NB</t>
        </is>
      </c>
      <c r="D22" s="4" t="n">
        <v>2</v>
      </c>
      <c r="E22" s="4" t="n">
        <v>12</v>
      </c>
      <c r="F22" s="4" t="inlineStr"/>
    </row>
    <row r="23">
      <c r="A23" s="4" t="inlineStr">
        <is>
          <t>mx_thiet_ke</t>
        </is>
      </c>
      <c r="B23" s="4" t="inlineStr">
        <is>
          <t>20</t>
        </is>
      </c>
      <c r="C23" s="4" t="inlineStr">
        <is>
          <t>thẳng cầu vượt NVT</t>
        </is>
      </c>
      <c r="D23" s="4" t="n">
        <v>2</v>
      </c>
      <c r="E23" s="4" t="n">
        <v>12</v>
      </c>
      <c r="F23" s="4" t="inlineStr"/>
    </row>
    <row r="24">
      <c r="A24" s="4" t="inlineStr">
        <is>
          <t>mx_thiet_ke</t>
        </is>
      </c>
      <c r="B24" s="4" t="inlineStr">
        <is>
          <t>21</t>
        </is>
      </c>
      <c r="C24" s="4" t="inlineStr">
        <is>
          <t>ngã ba NVT-NQT phía Ủy ban</t>
        </is>
      </c>
      <c r="D24" s="4" t="n">
        <v>4</v>
      </c>
      <c r="E24" s="4" t="n">
        <v>18</v>
      </c>
      <c r="F24" s="4" t="inlineStr">
        <is>
          <t>bẻ ra làm lại 6 core</t>
        </is>
      </c>
    </row>
    <row r="25">
      <c r="A25" s="4" t="inlineStr">
        <is>
          <t>mx_thiet_ke</t>
        </is>
      </c>
      <c r="B25" s="4" t="inlineStr">
        <is>
          <t>22</t>
        </is>
      </c>
      <c r="C25" s="4" t="inlineStr">
        <is>
          <t>ngã ba NVT-NQT phía trường học</t>
        </is>
      </c>
      <c r="D25" s="4" t="n">
        <v>3</v>
      </c>
      <c r="E25" s="4" t="n">
        <v>18</v>
      </c>
      <c r="F25" s="4" t="inlineStr">
        <is>
          <t>bẻ ra làm lại 6 core</t>
        </is>
      </c>
    </row>
    <row r="26">
      <c r="A26" s="4" t="inlineStr">
        <is>
          <t>mx_thiet_ke</t>
        </is>
      </c>
      <c r="B26" s="4" t="inlineStr">
        <is>
          <t>23</t>
        </is>
      </c>
      <c r="C26" s="4" t="inlineStr">
        <is>
          <t>ngã ba LVL- Trần Thị Liền</t>
        </is>
      </c>
      <c r="D26" s="4" t="n">
        <v>5</v>
      </c>
      <c r="E26" s="4" t="n">
        <v>14</v>
      </c>
      <c r="F26" s="4" t="inlineStr"/>
    </row>
    <row r="27">
      <c r="A27" s="4" t="inlineStr">
        <is>
          <t>mx_thiet_ke</t>
        </is>
      </c>
      <c r="B27" s="4" t="inlineStr">
        <is>
          <t>24</t>
        </is>
      </c>
      <c r="C27" s="4" t="inlineStr">
        <is>
          <t>ngã ba HTP-NB</t>
        </is>
      </c>
      <c r="D27" s="4" t="n">
        <v>4</v>
      </c>
      <c r="E27" s="4" t="n">
        <v>14</v>
      </c>
      <c r="F27" s="4" t="inlineStr"/>
    </row>
    <row r="28">
      <c r="A28" s="4" t="inlineStr">
        <is>
          <t>mx_thiet_ke</t>
        </is>
      </c>
      <c r="B28" s="4" t="inlineStr">
        <is>
          <t>25</t>
        </is>
      </c>
      <c r="C28" s="4" t="inlineStr">
        <is>
          <t>chân cầu vượt NVT</t>
        </is>
      </c>
      <c r="D28" s="4" t="n">
        <v>3</v>
      </c>
      <c r="E28" s="4" t="n">
        <v>14</v>
      </c>
      <c r="F28" s="4" t="inlineStr">
        <is>
          <t>phối vào HNB054</t>
        </is>
      </c>
    </row>
    <row r="29">
      <c r="A29" s="4" t="inlineStr">
        <is>
          <t>mx_thiet_ke</t>
        </is>
      </c>
      <c r="B29" s="4" t="inlineStr">
        <is>
          <t>26</t>
        </is>
      </c>
      <c r="C29" s="4" t="inlineStr">
        <is>
          <t>Nhập dài SG mới hướng PHL</t>
        </is>
      </c>
      <c r="D29" s="4" t="n">
        <v>3</v>
      </c>
      <c r="E29" s="4" t="n">
        <v>18</v>
      </c>
      <c r="F29" s="4" t="inlineStr"/>
    </row>
    <row r="30">
      <c r="A30" s="4" t="inlineStr">
        <is>
          <t>mx_thiet_ke</t>
        </is>
      </c>
      <c r="B30" s="4" t="inlineStr">
        <is>
          <t>27</t>
        </is>
      </c>
      <c r="C30" s="4" t="inlineStr">
        <is>
          <t>Đầu hẽm 1806 HTP</t>
        </is>
      </c>
      <c r="D30" s="4" t="n">
        <v>4</v>
      </c>
      <c r="E30" s="4" t="n">
        <v>18</v>
      </c>
      <c r="F30" s="4" t="inlineStr"/>
    </row>
    <row r="31">
      <c r="A31" s="4" t="inlineStr">
        <is>
          <t>mx_thiet_ke</t>
        </is>
      </c>
      <c r="B31" s="4" t="inlineStr">
        <is>
          <t>28</t>
        </is>
      </c>
      <c r="C31" s="4" t="inlineStr">
        <is>
          <t>ngã 4 PHL-LVL</t>
        </is>
      </c>
      <c r="D31" s="4" t="n">
        <v>4</v>
      </c>
      <c r="E31" s="4" t="n">
        <v>20</v>
      </c>
      <c r="F31" s="4" t="inlineStr"/>
    </row>
    <row r="32">
      <c r="A32" s="4" t="inlineStr">
        <is>
          <t>mx_thiet_ke</t>
        </is>
      </c>
      <c r="B32" s="4" t="inlineStr">
        <is>
          <t>29</t>
        </is>
      </c>
      <c r="C32" s="4" t="inlineStr">
        <is>
          <t>ngã 4 NB -LVL</t>
        </is>
      </c>
      <c r="D32" s="4" t="n">
        <v>4</v>
      </c>
      <c r="E32" s="4" t="n">
        <v>30</v>
      </c>
      <c r="F32" s="4" t="inlineStr"/>
    </row>
    <row r="33">
      <c r="A33" s="4" t="inlineStr">
        <is>
          <t>mx_thiet_ke</t>
        </is>
      </c>
      <c r="B33" s="4" t="inlineStr">
        <is>
          <t>30</t>
        </is>
      </c>
      <c r="C33" s="4" t="inlineStr">
        <is>
          <t>nhập dài Long thới hướng NB</t>
        </is>
      </c>
      <c r="D33" s="4" t="n">
        <v>3</v>
      </c>
      <c r="E33" s="4" t="n">
        <v>30</v>
      </c>
      <c r="F33" s="4" t="inlineStr"/>
    </row>
    <row r="34">
      <c r="A34" s="4" t="inlineStr">
        <is>
          <t>mx_thiet_ke</t>
        </is>
      </c>
      <c r="B34" s="4" t="inlineStr">
        <is>
          <t>31</t>
        </is>
      </c>
      <c r="C34" s="4" t="inlineStr">
        <is>
          <t>thẳng trạm 48-60</t>
        </is>
      </c>
      <c r="D34" s="4" t="n">
        <v>2</v>
      </c>
      <c r="E34" s="4" t="n">
        <v>6</v>
      </c>
      <c r="F34" s="4" t="inlineStr">
        <is>
          <t>tuyến 4km</t>
        </is>
      </c>
    </row>
    <row r="35">
      <c r="A35" s="4" t="inlineStr">
        <is>
          <t>mx_thiet_ke</t>
        </is>
      </c>
      <c r="B35" s="4" t="inlineStr">
        <is>
          <t>32</t>
        </is>
      </c>
      <c r="C35" s="4" t="inlineStr">
        <is>
          <t>thẳng trạm 60-59</t>
        </is>
      </c>
      <c r="D35" s="4" t="n">
        <v>2</v>
      </c>
      <c r="E35" s="4" t="n">
        <v>6</v>
      </c>
      <c r="F35" s="4" t="inlineStr">
        <is>
          <t>tuyến 3km</t>
        </is>
      </c>
    </row>
    <row r="36">
      <c r="A36" s="4" t="inlineStr">
        <is>
          <t>mx_thiet_ke</t>
        </is>
      </c>
      <c r="B36" s="4" t="inlineStr">
        <is>
          <t>33</t>
        </is>
      </c>
      <c r="C36" s="4" t="inlineStr">
        <is>
          <t>thẳng Ngô Quang Thắm</t>
        </is>
      </c>
      <c r="D36" s="4" t="n">
        <v>2</v>
      </c>
      <c r="E36" s="4" t="n">
        <v>12</v>
      </c>
      <c r="F36" s="4" t="inlineStr">
        <is>
          <t>hết 3km</t>
        </is>
      </c>
    </row>
    <row r="37">
      <c r="A37" s="4" t="inlineStr">
        <is>
          <t>mx_thiet_ke</t>
        </is>
      </c>
      <c r="B37" s="4" t="inlineStr">
        <is>
          <t>34</t>
        </is>
      </c>
      <c r="C37" s="4" t="inlineStr">
        <is>
          <t>thẳng Ngô Quang Thắm</t>
        </is>
      </c>
      <c r="D37" s="4" t="n">
        <v>2</v>
      </c>
      <c r="E37" s="4" t="n">
        <v>12</v>
      </c>
      <c r="F37" s="4" t="inlineStr">
        <is>
          <t>nối vào ngầm</t>
        </is>
      </c>
    </row>
    <row r="38">
      <c r="A38" s="4" t="inlineStr">
        <is>
          <t>mx_thiet_ke</t>
        </is>
      </c>
      <c r="B38" s="4" t="inlineStr">
        <is>
          <t>35</t>
        </is>
      </c>
      <c r="C38" s="4" t="inlineStr">
        <is>
          <t>nối NQT-LVL</t>
        </is>
      </c>
      <c r="D38" s="4" t="n">
        <v>2</v>
      </c>
      <c r="E38" s="4" t="n">
        <v>12</v>
      </c>
      <c r="F38" s="4" t="inlineStr">
        <is>
          <t>ngầm qua treo</t>
        </is>
      </c>
    </row>
    <row r="39">
      <c r="A39" s="4" t="inlineStr">
        <is>
          <t>mx_phat_sinh</t>
        </is>
      </c>
      <c r="B39" s="4" t="inlineStr">
        <is>
          <t>1</t>
        </is>
      </c>
      <c r="C39" s="4" t="inlineStr">
        <is>
          <t>thẳng trạm 13-21</t>
        </is>
      </c>
      <c r="D39" s="4" t="n">
        <v>2</v>
      </c>
      <c r="E39" s="4" t="n">
        <v>8</v>
      </c>
      <c r="F39" s="4" t="inlineStr">
        <is>
          <t>2 đầu kéo dư về SG mới</t>
        </is>
      </c>
    </row>
    <row r="40">
      <c r="A40" s="4" t="inlineStr">
        <is>
          <t>mx_phat_sinh</t>
        </is>
      </c>
      <c r="B40" s="4" t="inlineStr">
        <is>
          <t>2</t>
        </is>
      </c>
      <c r="C40" s="4" t="inlineStr">
        <is>
          <t>thẳng trạm 62-21</t>
        </is>
      </c>
      <c r="D40" s="4" t="n">
        <v>2</v>
      </c>
      <c r="E40" s="4" t="n">
        <v>8</v>
      </c>
      <c r="F40" s="4" t="inlineStr">
        <is>
          <t>bên hông trường học</t>
        </is>
      </c>
    </row>
    <row r="41">
      <c r="A41" s="4" t="inlineStr">
        <is>
          <t>mx_phat_sinh</t>
        </is>
      </c>
      <c r="B41" s="4" t="inlineStr">
        <is>
          <t>3</t>
        </is>
      </c>
      <c r="C41" s="4" t="inlineStr">
        <is>
          <t>thẳng  trạm 66-16</t>
        </is>
      </c>
      <c r="D41" s="4" t="n">
        <v>2</v>
      </c>
      <c r="E41" s="4" t="n">
        <v>6</v>
      </c>
      <c r="F41" s="4" t="inlineStr">
        <is>
          <t>đầu cầu Phú Xuân để cáp sai</t>
        </is>
      </c>
    </row>
    <row r="42">
      <c r="A42" s="4" t="inlineStr">
        <is>
          <t>mx_phat_sinh</t>
        </is>
      </c>
      <c r="B42" s="4" t="inlineStr">
        <is>
          <t>4</t>
        </is>
      </c>
      <c r="C42" s="4" t="inlineStr">
        <is>
          <t>phủ  PHL xe máng</t>
        </is>
      </c>
      <c r="D42" s="4" t="n">
        <v>2</v>
      </c>
      <c r="E42" s="4" t="n">
        <v>24</v>
      </c>
      <c r="F42" s="4" t="inlineStr">
        <is>
          <t>2x12</t>
        </is>
      </c>
    </row>
    <row r="43">
      <c r="A43" s="4" t="inlineStr">
        <is>
          <t>mx_phat_sinh</t>
        </is>
      </c>
      <c r="B43" s="4" t="inlineStr">
        <is>
          <t>5</t>
        </is>
      </c>
      <c r="C43" s="4" t="inlineStr">
        <is>
          <t>thẳng tiệm nhôm LVL</t>
        </is>
      </c>
      <c r="D43" s="4" t="n">
        <v>2</v>
      </c>
      <c r="E43" s="4" t="n">
        <v>12</v>
      </c>
      <c r="F43" s="4" t="inlineStr">
        <is>
          <t>nối cáp ngắn 878m</t>
        </is>
      </c>
    </row>
    <row r="44">
      <c r="A44" s="4" t="inlineStr">
        <is>
          <t>mx_phat_sinh</t>
        </is>
      </c>
      <c r="B44" s="4" t="inlineStr">
        <is>
          <t>6</t>
        </is>
      </c>
      <c r="C44" s="4" t="inlineStr">
        <is>
          <t>thẳng trạm 11-56</t>
        </is>
      </c>
      <c r="D44" s="4" t="n">
        <v>2</v>
      </c>
      <c r="E44" s="4" t="n">
        <v>6</v>
      </c>
      <c r="F44" s="4" t="inlineStr">
        <is>
          <t>đợi mua cáp, nối 400+480</t>
        </is>
      </c>
    </row>
    <row r="45">
      <c r="A45" s="4" t="inlineStr">
        <is>
          <t>mx_phat_sinh</t>
        </is>
      </c>
      <c r="B45" s="4" t="inlineStr">
        <is>
          <t>7</t>
        </is>
      </c>
      <c r="C45" s="4" t="inlineStr">
        <is>
          <t>thẳng ng bình 12FO</t>
        </is>
      </c>
      <c r="D45" s="4" t="n">
        <v>2</v>
      </c>
      <c r="E45" s="4" t="n">
        <v>12</v>
      </c>
      <c r="F45" s="4" t="inlineStr">
        <is>
          <t>đoạn 12FO đi ĐST</t>
        </is>
      </c>
    </row>
    <row r="46">
      <c r="A46" s="4" t="inlineStr">
        <is>
          <t>mx_phat_sinh</t>
        </is>
      </c>
      <c r="B46" s="4" t="inlineStr">
        <is>
          <t>8</t>
        </is>
      </c>
      <c r="C46" s="4" t="inlineStr">
        <is>
          <t>thẳng ng bình 24FO</t>
        </is>
      </c>
      <c r="D46" s="4" t="n">
        <v>2</v>
      </c>
      <c r="E46" s="4" t="n">
        <v>72</v>
      </c>
      <c r="F46" s="4" t="inlineStr">
        <is>
          <t>3 MX thẳng 24x3</t>
        </is>
      </c>
    </row>
    <row r="47">
      <c r="A47" s="4" t="inlineStr">
        <is>
          <t>mx_phat_sinh</t>
        </is>
      </c>
      <c r="B47" s="4" t="inlineStr">
        <is>
          <t>9</t>
        </is>
      </c>
      <c r="C47" s="4" t="inlineStr">
        <is>
          <t xml:space="preserve">thẳng HTP </t>
        </is>
      </c>
      <c r="D47" s="4" t="n">
        <v>2</v>
      </c>
      <c r="E47" s="4" t="n">
        <v>12</v>
      </c>
      <c r="F47" s="4" t="inlineStr">
        <is>
          <t>từ SG mới đi NB</t>
        </is>
      </c>
    </row>
    <row r="49">
      <c r="C49" s="12" t="inlineStr">
        <is>
          <t>Tổng mối hàn thiết kế</t>
        </is>
      </c>
      <c r="E49">
        <f>SUMIF(A4:A47,"mx_thiet_ke",E4:E47)</f>
        <v/>
      </c>
    </row>
    <row r="50">
      <c r="C50" s="12" t="inlineStr">
        <is>
          <t>Tổng mối hàn phát sinh</t>
        </is>
      </c>
      <c r="E50">
        <f>SUMIF(A4:A47,"mx_phat_sinh",E4:E47)</f>
        <v/>
      </c>
    </row>
    <row r="52">
      <c r="C52" t="inlineStr">
        <is>
          <t>ODF theo dung lượng: 6FO × 2 (HNB018, HNB113), 12FO × 27, 24FO × 4 (AGG12, AGG22) — theo sổ ghi tay</t>
        </is>
      </c>
    </row>
  </sheetData>
  <pageMargins left="0.75" right="0.75" top="1" bottom="1" header="0.5" footer="0.5"/>
  <pageSetup orientation="landscape" fitToHeight="0" fitToWidth="1"/>
</worksheet>
</file>

<file path=xl/worksheets/sheet28.xml><?xml version="1.0" encoding="utf-8"?>
<worksheet xmlns="http://schemas.openxmlformats.org/spreadsheetml/2006/main">
  <sheetPr>
    <outlinePr summaryBelow="1" summaryRight="1"/>
    <pageSetUpPr fitToPage="1"/>
  </sheetPr>
  <dimension ref="A1:B20"/>
  <sheetViews>
    <sheetView showGridLines="0" workbookViewId="0">
      <selection activeCell="A1" sqref="A1"/>
    </sheetView>
  </sheetViews>
  <sheetFormatPr baseColWidth="8" defaultRowHeight="15"/>
  <cols>
    <col width="34" customWidth="1" min="1" max="1"/>
    <col width="18" customWidth="1" min="2" max="2"/>
  </cols>
  <sheetData>
    <row r="1">
      <c r="A1" s="1" t="inlineStr">
        <is>
          <t>Tra cứu theo trạm</t>
        </is>
      </c>
    </row>
    <row r="2">
      <c r="A2" s="2" t="inlineStr">
        <is>
          <t>Chọn trạm ở ô vàng.</t>
        </is>
      </c>
    </row>
    <row r="4">
      <c r="A4" s="12" t="inlineStr">
        <is>
          <t>Trạm</t>
        </is>
      </c>
      <c r="B4" s="13" t="inlineStr">
        <is>
          <t>HNB066</t>
        </is>
      </c>
    </row>
    <row r="6">
      <c r="A6" s="4" t="inlineStr">
        <is>
          <t>Ring</t>
        </is>
      </c>
      <c r="B6" s="4">
        <f>INDEX('Nút'!C5:C36,MATCH(B4,'Nút'!A5:A36,0))</f>
        <v/>
      </c>
    </row>
    <row r="7">
      <c r="A7" s="4" t="inlineStr">
        <is>
          <t>Vai trò</t>
        </is>
      </c>
      <c r="B7" s="4">
        <f>INDEX('Nút'!D5:D36,MATCH(B4,'Nút'!A5:A36,0))</f>
        <v/>
      </c>
    </row>
    <row r="8">
      <c r="A8" s="4" t="inlineStr">
        <is>
          <t>Vĩ độ</t>
        </is>
      </c>
      <c r="B8" s="4">
        <f>INDEX('Nút'!E5:E36,MATCH(B4,'Nút'!A5:A36,0))</f>
        <v/>
      </c>
    </row>
    <row r="9">
      <c r="A9" s="4" t="inlineStr">
        <is>
          <t>Kinh độ</t>
        </is>
      </c>
      <c r="B9" s="4">
        <f>INDEX('Nút'!F5:F36,MATCH(B4,'Nút'!A5:A36,0))</f>
        <v/>
      </c>
    </row>
    <row r="10">
      <c r="A10" s="4" t="inlineStr">
        <is>
          <t>Đoạn đi tới trạm (từ phía NBE12)</t>
        </is>
      </c>
      <c r="B10" s="4">
        <f>IFERROR(INDEX('Đoạn &amp; quỹ suy hao'!$A$5:$A$42,MATCH(B4,'Đoạn &amp; quỹ suy hao'!$D$5:$D$42,0)),"—")</f>
        <v/>
      </c>
    </row>
    <row r="11">
      <c r="A11" s="4" t="inlineStr">
        <is>
          <t xml:space="preserve">  ← từ</t>
        </is>
      </c>
      <c r="B11" s="4">
        <f>IFERROR(INDEX('Đoạn &amp; quỹ suy hao'!$C$5:$C$42,MATCH(B4,'Đoạn &amp; quỹ suy hao'!$D$5:$D$42,0)),"—")</f>
        <v/>
      </c>
    </row>
    <row r="12">
      <c r="A12" s="4" t="inlineStr">
        <is>
          <t xml:space="preserve">  km tính</t>
        </is>
      </c>
      <c r="B12" s="4">
        <f>IFERROR(INDEX('Đoạn &amp; quỹ suy hao'!$K$5:$K$42,MATCH(B4,'Đoạn &amp; quỹ suy hao'!$D$5:$D$42,0)),"—")</f>
        <v/>
      </c>
    </row>
    <row r="13">
      <c r="A13" s="4" t="inlineStr">
        <is>
          <t xml:space="preserve">  dB lớn nhất</t>
        </is>
      </c>
      <c r="B13" s="4">
        <f>IFERROR(INDEX('Đoạn &amp; quỹ suy hao'!$N$5:$N$42,MATCH(B4,'Đoạn &amp; quỹ suy hao'!$D$5:$D$42,0)),"—")</f>
        <v/>
      </c>
    </row>
    <row r="14">
      <c r="A14" s="4" t="inlineStr">
        <is>
          <t xml:space="preserve">  trạng thái</t>
        </is>
      </c>
      <c r="B14" s="4">
        <f>IFERROR(INDEX('Đoạn &amp; quỹ suy hao'!$R$5:$R$42,MATCH(B4,'Đoạn &amp; quỹ suy hao'!$D$5:$D$42,0)),"—")</f>
        <v/>
      </c>
    </row>
    <row r="15">
      <c r="A15" s="4" t="inlineStr">
        <is>
          <t>Đoạn đi ra (phía NBE22)</t>
        </is>
      </c>
      <c r="B15" s="4">
        <f>IFERROR(INDEX('Đoạn &amp; quỹ suy hao'!$A$5:$A$42,MATCH(B4,'Đoạn &amp; quỹ suy hao'!$C$5:$C$42,0)),"—")</f>
        <v/>
      </c>
    </row>
    <row r="16">
      <c r="A16" s="4" t="inlineStr">
        <is>
          <t xml:space="preserve">  → đến</t>
        </is>
      </c>
      <c r="B16" s="4">
        <f>IFERROR(INDEX('Đoạn &amp; quỹ suy hao'!$D$5:$D$42,MATCH(B4,'Đoạn &amp; quỹ suy hao'!$C$5:$C$42,0)),"—")</f>
        <v/>
      </c>
    </row>
    <row r="17">
      <c r="A17" s="4" t="inlineStr">
        <is>
          <t xml:space="preserve">  km tính</t>
        </is>
      </c>
      <c r="B17" s="4">
        <f>IFERROR(INDEX('Đoạn &amp; quỹ suy hao'!$K$5:$K$42,MATCH(B4,'Đoạn &amp; quỹ suy hao'!$C$5:$C$42,0)),"—")</f>
        <v/>
      </c>
    </row>
    <row r="18">
      <c r="A18" s="4" t="inlineStr">
        <is>
          <t xml:space="preserve">  dB lớn nhất</t>
        </is>
      </c>
      <c r="B18" s="4">
        <f>IFERROR(INDEX('Đoạn &amp; quỹ suy hao'!$N$5:$N$42,MATCH(B4,'Đoạn &amp; quỹ suy hao'!$C$5:$C$42,0)),"—")</f>
        <v/>
      </c>
    </row>
    <row r="19">
      <c r="A19" s="4" t="inlineStr">
        <is>
          <t xml:space="preserve">  trạng thái</t>
        </is>
      </c>
      <c r="B19" s="4">
        <f>IFERROR(INDEX('Đoạn &amp; quỹ suy hao'!$R$5:$R$42,MATCH(B4,'Đoạn &amp; quỹ suy hao'!$C$5:$C$42,0)),"—")</f>
        <v/>
      </c>
    </row>
    <row r="20">
      <c r="A20" s="4" t="inlineStr">
        <is>
          <t>Số cổng ODF có ghi hướng</t>
        </is>
      </c>
      <c r="B20" s="4">
        <f>COUNTIFS('ODF chi tiết'!A:A,B4,'ODF chi tiết'!D:D,"&lt;&gt;")</f>
        <v/>
      </c>
    </row>
  </sheetData>
  <dataValidations count="1">
    <dataValidation sqref="B4" showDropDown="0" showInputMessage="0" showErrorMessage="0" allowBlank="0" type="list">
      <formula1>='Nút'!$A$5:$A$36</formula1>
    </dataValidation>
  </dataValidations>
  <pageMargins left="0.75" right="0.75" top="1" bottom="1" header="0.5" footer="0.5"/>
  <pageSetup orientation="landscape" fitToHeight="0" fitToWidth="1"/>
</worksheet>
</file>

<file path=xl/worksheets/sheet29.xml><?xml version="1.0" encoding="utf-8"?>
<worksheet xmlns="http://schemas.openxmlformats.org/spreadsheetml/2006/main">
  <sheetPr>
    <outlinePr summaryBelow="1" summaryRight="1"/>
    <pageSetUpPr fitToPage="1"/>
  </sheetPr>
  <dimension ref="A1:B17"/>
  <sheetViews>
    <sheetView showGridLines="0" workbookViewId="0">
      <selection activeCell="A1" sqref="A1"/>
    </sheetView>
  </sheetViews>
  <sheetFormatPr baseColWidth="8" defaultRowHeight="15"/>
  <cols>
    <col width="62" customWidth="1" min="1" max="1"/>
    <col width="14" customWidth="1" min="2" max="2"/>
  </cols>
  <sheetData>
    <row r="1">
      <c r="A1" s="1" t="inlineStr">
        <is>
          <t>Tham số quy ước (sửa ô vàng, mọi công thức tự cập nhật)</t>
        </is>
      </c>
    </row>
    <row r="3" ht="32" customHeight="1">
      <c r="A3" s="3" t="inlineStr">
        <is>
          <t>Tham số</t>
        </is>
      </c>
      <c r="B3" s="3" t="inlineStr">
        <is>
          <t>Giá trị</t>
        </is>
      </c>
    </row>
    <row r="4">
      <c r="A4" s="4" t="inlineStr">
        <is>
          <t>Ngưỡng suy hao đoạn &lt; 10 km (dB)</t>
        </is>
      </c>
      <c r="B4" s="22" t="n">
        <v>12.1</v>
      </c>
    </row>
    <row r="5">
      <c r="A5" s="4" t="inlineStr">
        <is>
          <t>Ngưỡng suy hao đoạn 10–40 km (dB)</t>
        </is>
      </c>
      <c r="B5" s="22" t="n">
        <v>17</v>
      </c>
    </row>
    <row r="6">
      <c r="A6" s="4" t="inlineStr">
        <is>
          <t>Ngưỡng suy hao đoạn &gt; 40 km (dB)</t>
        </is>
      </c>
      <c r="B6" s="22" t="n">
        <v>27</v>
      </c>
    </row>
    <row r="7">
      <c r="A7" s="4" t="inlineStr">
        <is>
          <t>Mốc chiều dài 1 (km)</t>
        </is>
      </c>
      <c r="B7" s="22" t="n">
        <v>10</v>
      </c>
    </row>
    <row r="8">
      <c r="A8" s="4" t="inlineStr">
        <is>
          <t>Mốc chiều dài 2 (km)</t>
        </is>
      </c>
      <c r="B8" s="22" t="n">
        <v>40</v>
      </c>
    </row>
    <row r="9">
      <c r="A9" s="4" t="inlineStr">
        <is>
          <t>Chênh suy hao tối đa giữa 2 core (dB)</t>
        </is>
      </c>
      <c r="B9" s="22" t="n">
        <v>2</v>
      </c>
    </row>
    <row r="10">
      <c r="A10" s="4" t="inlineStr">
        <is>
          <t>Hệ số cáp dự trữ ước tính (km thực = km KML × hệ số)</t>
        </is>
      </c>
      <c r="B10" s="22" t="n">
        <v>1.08</v>
      </c>
    </row>
    <row r="11">
      <c r="A11" s="4" t="inlineStr">
        <is>
          <t>Cảnh báo OTDR/KML nhỏ hơn</t>
        </is>
      </c>
      <c r="B11" s="22" t="n">
        <v>0.9</v>
      </c>
    </row>
    <row r="12">
      <c r="A12" s="4" t="inlineStr">
        <is>
          <t>Cảnh báo OTDR/KML lớn hơn</t>
        </is>
      </c>
      <c r="B12" s="22" t="n">
        <v>1.5</v>
      </c>
    </row>
    <row r="13">
      <c r="A13" s="4" t="inlineStr">
        <is>
          <t>Cảnh báo lệch OTDR so với hợp đồng (tỷ lệ)</t>
        </is>
      </c>
      <c r="B13" s="22" t="n">
        <v>0.2</v>
      </c>
    </row>
    <row r="16">
      <c r="A16" t="inlineStr">
        <is>
          <t>Quy ước: suy hao tính theo TỪNG đoạn giữa hai trạm liền kề (mỗi trạm có SFP thu/phát riêng), không cộng dồn cả ring. Ngưỡng ứng với SFP 10/40/80 km.</t>
        </is>
      </c>
    </row>
    <row r="17">
      <c r="A17" t="inlineStr">
        <is>
          <t>Nguồn dữ liệu: file ghi tay của người dùng (BBNT, ODF, MX, độ dài cáp, KML). BBNT chỉ là con số thống nhất giữa hai bên.</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2026-10-15T16:32:25Z</dcterms:created>
  <dcterms:modified xmlns:dcterms="http://purl.org/dc/terms/" xmlns:xsi="http://www.w3.org/2001/XMLSchema-instance" xsi:type="dcterms:W3CDTF">2026-10-15T16:32:26Z</dcterms:modified>
</cp:coreProperties>
</file>