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Sơ đồ trục" sheetId="2" state="visible" r:id="rId2"/>
    <sheet xmlns:r="http://schemas.openxmlformats.org/officeDocument/2006/relationships" name="Tủ phối quang" sheetId="3" state="visible" r:id="rId3"/>
    <sheet xmlns:r="http://schemas.openxmlformats.org/officeDocument/2006/relationships" name="Đối chiếu bản vẽ" sheetId="4" state="visible" r:id="rId4"/>
    <sheet xmlns:r="http://schemas.openxmlformats.org/officeDocument/2006/relationships" name="Sợi trục" sheetId="5" state="visible" r:id="rId5"/>
    <sheet xmlns:r="http://schemas.openxmlformats.org/officeDocument/2006/relationships" name="ODF-PM &amp; PON" sheetId="6" state="visible" r:id="rId6"/>
    <sheet xmlns:r="http://schemas.openxmlformats.org/officeDocument/2006/relationships" name="ODF 96FO" sheetId="7" state="visible" r:id="rId7"/>
    <sheet xmlns:r="http://schemas.openxmlformats.org/officeDocument/2006/relationships" name="ODF 48FO" sheetId="8" state="visible" r:id="rId8"/>
    <sheet xmlns:r="http://schemas.openxmlformats.org/officeDocument/2006/relationships" name="Dây nhảy PM" sheetId="9" state="visible" r:id="rId9"/>
    <sheet xmlns:r="http://schemas.openxmlformats.org/officeDocument/2006/relationships" name="Thuê bao" sheetId="10" state="visible" r:id="rId10"/>
    <sheet xmlns:r="http://schemas.openxmlformats.org/officeDocument/2006/relationships" name="Tra cứu" sheetId="11" state="visible" r:id="rId11"/>
    <sheet xmlns:r="http://schemas.openxmlformats.org/officeDocument/2006/relationships" name="Sự cố &amp; khắc phục" sheetId="12" state="visible" r:id="rId12"/>
    <sheet xmlns:r="http://schemas.openxmlformats.org/officeDocument/2006/relationships" name="Quỹ công suất" sheetId="13" state="visible" r:id="rId13"/>
    <sheet xmlns:r="http://schemas.openxmlformats.org/officeDocument/2006/relationships" name="Vật tư" sheetId="14" state="visible" r:id="rId14"/>
    <sheet xmlns:r="http://schemas.openxmlformats.org/officeDocument/2006/relationships" name="Vận hành" sheetId="15" state="visible" r:id="rId15"/>
  </sheets>
  <definedNames>
    <definedName name="_xlnm._FilterDatabase" localSheetId="4" hidden="1">'Sợi trục'!$A$4:$L$148</definedName>
    <definedName name="_xlnm._FilterDatabase" localSheetId="5" hidden="1">'ODF-PM &amp; PON'!$A$4:$P$68</definedName>
    <definedName name="_xlnm._FilterDatabase" localSheetId="8" hidden="1">'Dây nhảy PM'!$A$4:$F$70</definedName>
    <definedName name="_xlnm._FilterDatabase" localSheetId="9" hidden="1">'Thuê bao'!$A$1:$U$677</definedName>
  </definedNames>
  <calcPr calcId="124519" fullCalcOnLoad="1"/>
</workbook>
</file>

<file path=xl/styles.xml><?xml version="1.0" encoding="utf-8"?>
<styleSheet xmlns="http://schemas.openxmlformats.org/spreadsheetml/2006/main">
  <numFmts count="3">
    <numFmt numFmtId="164" formatCode="dd/mm/yyyy"/>
    <numFmt numFmtId="165" formatCode="0.000"/>
    <numFmt numFmtId="166" formatCode="0.0"/>
  </numFmts>
  <fonts count="29">
    <font>
      <name val="Calibri"/>
      <family val="2"/>
      <color theme="1"/>
      <sz val="11"/>
      <scheme val="minor"/>
    </font>
    <font>
      <name val="Arial"/>
      <b val="1"/>
      <color rgb="00FFFFFF"/>
      <sz val="10"/>
    </font>
    <font>
      <name val="Arial"/>
      <color rgb="00000000"/>
      <sz val="10"/>
    </font>
    <font>
      <name val="Arial"/>
      <b val="1"/>
      <color rgb="001F3A5F"/>
      <sz val="16"/>
    </font>
    <font>
      <name val="Arial"/>
      <i val="1"/>
      <color rgb="005B6573"/>
      <sz val="10"/>
    </font>
    <font>
      <name val="Arial"/>
      <b val="1"/>
      <color rgb="00000000"/>
      <sz val="10"/>
    </font>
    <font>
      <name val="Arial"/>
      <i val="1"/>
      <color rgb="005B6573"/>
      <sz val="9"/>
    </font>
    <font>
      <name val="Arial"/>
      <color rgb="007A7A7A"/>
      <sz val="10"/>
    </font>
    <font>
      <name val="Arial"/>
      <b val="1"/>
      <color rgb="00FFFFFF"/>
    </font>
    <font>
      <name val="Arial"/>
      <b val="1"/>
      <sz val="9"/>
    </font>
    <font>
      <name val="Arial"/>
      <color rgb="00000000"/>
      <sz val="7.5"/>
    </font>
    <font>
      <name val="Arial"/>
      <color rgb="008A8A8A"/>
      <sz val="7.5"/>
    </font>
    <font>
      <name val="Arial"/>
      <b val="1"/>
      <color rgb="00000000"/>
      <sz val="7.5"/>
    </font>
    <font>
      <name val="Arial"/>
      <i val="1"/>
      <sz val="8"/>
    </font>
    <font>
      <name val="Arial"/>
      <i val="1"/>
      <sz val="9"/>
    </font>
    <font>
      <name val="Arial"/>
      <b val="1"/>
      <color rgb="00FFFFFF"/>
      <sz val="12"/>
    </font>
    <font>
      <name val="Arial"/>
      <b val="1"/>
      <color rgb="00000000"/>
      <sz val="8"/>
    </font>
    <font>
      <name val="Arial"/>
      <color rgb="008A8A8A"/>
      <sz val="8"/>
    </font>
    <font>
      <name val="Arial"/>
      <b val="1"/>
      <color rgb="00FFFFFF"/>
      <sz val="13"/>
    </font>
    <font>
      <name val="Arial"/>
      <b val="1"/>
      <color rgb="00FFFFFF"/>
      <sz val="11"/>
    </font>
    <font>
      <name val="Arial"/>
      <color rgb="00808080"/>
      <sz val="10"/>
    </font>
    <font>
      <name val="Arial"/>
      <b val="1"/>
      <color rgb="002F6FDE"/>
      <sz val="8"/>
    </font>
    <font>
      <name val="Arial"/>
      <b val="1"/>
      <color rgb="00E8710A"/>
      <sz val="8"/>
    </font>
    <font>
      <name val="Arial"/>
      <b val="1"/>
      <color rgb="001E9E5A"/>
      <sz val="8"/>
    </font>
    <font>
      <name val="Arial"/>
      <color rgb="005B6573"/>
      <sz val="9"/>
    </font>
    <font>
      <name val="Arial"/>
      <b val="1"/>
      <color rgb="001F3A5F"/>
      <sz val="18"/>
    </font>
    <font>
      <name val="Arial"/>
      <b val="1"/>
      <color rgb="001F3A5F"/>
    </font>
    <font>
      <name val="Arial"/>
      <sz val="10"/>
    </font>
    <font>
      <name val="Arial"/>
      <b val="1"/>
      <sz val="10"/>
    </font>
  </fonts>
  <fills count="106">
    <fill>
      <patternFill/>
    </fill>
    <fill>
      <patternFill patternType="gray125"/>
    </fill>
    <fill>
      <patternFill patternType="solid">
        <fgColor rgb="001F3A5F"/>
        <bgColor rgb="001F3A5F"/>
      </patternFill>
    </fill>
    <fill>
      <patternFill patternType="solid">
        <fgColor rgb="00FFFFFF"/>
        <bgColor rgb="00FFFFFF"/>
      </patternFill>
    </fill>
    <fill>
      <patternFill patternType="solid">
        <fgColor rgb="00F2F4F7"/>
        <bgColor rgb="00F2F4F7"/>
      </patternFill>
    </fill>
    <fill>
      <patternFill patternType="solid">
        <fgColor rgb="00EAF1FF"/>
        <bgColor rgb="00EAF1FF"/>
      </patternFill>
    </fill>
    <fill>
      <patternFill patternType="solid">
        <fgColor rgb="0044546A"/>
        <bgColor rgb="0044546A"/>
      </patternFill>
    </fill>
    <fill>
      <patternFill patternType="solid">
        <fgColor rgb="00E8BABA"/>
        <bgColor rgb="00E8BABA"/>
      </patternFill>
    </fill>
    <fill>
      <patternFill patternType="solid">
        <fgColor rgb="00EEEEEE"/>
        <bgColor rgb="00EEEEEE"/>
      </patternFill>
    </fill>
    <fill>
      <patternFill patternType="solid">
        <fgColor rgb="00E8CBBA"/>
        <bgColor rgb="00E8CBBA"/>
      </patternFill>
    </fill>
    <fill>
      <patternFill patternType="solid">
        <fgColor rgb="00E8DCBA"/>
        <bgColor rgb="00E8DCBA"/>
      </patternFill>
    </fill>
    <fill>
      <patternFill patternType="solid">
        <fgColor rgb="00E2E8BA"/>
        <bgColor rgb="00E2E8BA"/>
      </patternFill>
    </fill>
    <fill>
      <patternFill patternType="solid">
        <fgColor rgb="00D1E8BA"/>
        <bgColor rgb="00D1E8BA"/>
      </patternFill>
    </fill>
    <fill>
      <patternFill patternType="solid">
        <fgColor rgb="00BFE8BA"/>
        <bgColor rgb="00BFE8BA"/>
      </patternFill>
    </fill>
    <fill>
      <patternFill patternType="solid">
        <fgColor rgb="00BAE8C5"/>
        <bgColor rgb="00BAE8C5"/>
      </patternFill>
    </fill>
    <fill>
      <patternFill patternType="solid">
        <fgColor rgb="00BAE8D6"/>
        <bgColor rgb="00BAE8D6"/>
      </patternFill>
    </fill>
    <fill>
      <patternFill patternType="solid">
        <fgColor rgb="00F7F7F7"/>
        <bgColor rgb="00F7F7F7"/>
      </patternFill>
    </fill>
    <fill>
      <patternFill patternType="solid">
        <fgColor rgb="00DD5F5F"/>
        <bgColor rgb="00DD5F5F"/>
      </patternFill>
    </fill>
    <fill>
      <patternFill patternType="solid">
        <fgColor rgb="00DD8E5F"/>
        <bgColor rgb="00DD8E5F"/>
      </patternFill>
    </fill>
    <fill>
      <patternFill patternType="solid">
        <fgColor rgb="00DDBD5F"/>
        <bgColor rgb="00DDBD5F"/>
      </patternFill>
    </fill>
    <fill>
      <patternFill patternType="solid">
        <fgColor rgb="00CDDD5F"/>
        <bgColor rgb="00CDDD5F"/>
      </patternFill>
    </fill>
    <fill>
      <patternFill patternType="solid">
        <fgColor rgb="009EDD5F"/>
        <bgColor rgb="009EDD5F"/>
      </patternFill>
    </fill>
    <fill>
      <patternFill patternType="solid">
        <fgColor rgb="006EDD5F"/>
        <bgColor rgb="006EDD5F"/>
      </patternFill>
    </fill>
    <fill>
      <patternFill patternType="solid">
        <fgColor rgb="005FDD7E"/>
        <bgColor rgb="005FDD7E"/>
      </patternFill>
    </fill>
    <fill>
      <patternFill patternType="solid">
        <fgColor rgb="005FDDAD"/>
        <bgColor rgb="005FDDAD"/>
      </patternFill>
    </fill>
    <fill>
      <patternFill patternType="solid">
        <fgColor rgb="00BAE8E8"/>
        <bgColor rgb="00BAE8E8"/>
      </patternFill>
    </fill>
    <fill>
      <patternFill patternType="solid">
        <fgColor rgb="00BAD6E8"/>
        <bgColor rgb="00BAD6E8"/>
      </patternFill>
    </fill>
    <fill>
      <patternFill patternType="solid">
        <fgColor rgb="00BAC5E8"/>
        <bgColor rgb="00BAC5E8"/>
      </patternFill>
    </fill>
    <fill>
      <patternFill patternType="solid">
        <fgColor rgb="00BFBAE8"/>
        <bgColor rgb="00BFBAE8"/>
      </patternFill>
    </fill>
    <fill>
      <patternFill patternType="solid">
        <fgColor rgb="00D1BAE8"/>
        <bgColor rgb="00D1BAE8"/>
      </patternFill>
    </fill>
    <fill>
      <patternFill patternType="solid">
        <fgColor rgb="00E2BAE8"/>
        <bgColor rgb="00E2BAE8"/>
      </patternFill>
    </fill>
    <fill>
      <patternFill patternType="solid">
        <fgColor rgb="00E8BADC"/>
        <bgColor rgb="00E8BADC"/>
      </patternFill>
    </fill>
    <fill>
      <patternFill patternType="solid">
        <fgColor rgb="00E8BACB"/>
        <bgColor rgb="00E8BACB"/>
      </patternFill>
    </fill>
    <fill>
      <patternFill patternType="solid">
        <fgColor rgb="005FDDDD"/>
        <bgColor rgb="005FDDDD"/>
      </patternFill>
    </fill>
    <fill>
      <patternFill patternType="solid">
        <fgColor rgb="005FADDD"/>
        <bgColor rgb="005FADDD"/>
      </patternFill>
    </fill>
    <fill>
      <patternFill patternType="solid">
        <fgColor rgb="005F7EDD"/>
        <bgColor rgb="005F7EDD"/>
      </patternFill>
    </fill>
    <fill>
      <patternFill patternType="solid">
        <fgColor rgb="006E5FDD"/>
        <bgColor rgb="006E5FDD"/>
      </patternFill>
    </fill>
    <fill>
      <patternFill patternType="solid">
        <fgColor rgb="009E5FDD"/>
        <bgColor rgb="009E5FDD"/>
      </patternFill>
    </fill>
    <fill>
      <patternFill patternType="solid">
        <fgColor rgb="00CD5FDD"/>
        <bgColor rgb="00CD5FDD"/>
      </patternFill>
    </fill>
    <fill>
      <patternFill patternType="solid">
        <fgColor rgb="00DD5FBD"/>
        <bgColor rgb="00DD5FBD"/>
      </patternFill>
    </fill>
    <fill>
      <patternFill patternType="solid">
        <fgColor rgb="00DD5F8E"/>
        <bgColor rgb="00DD5F8E"/>
      </patternFill>
    </fill>
    <fill>
      <patternFill patternType="solid">
        <fgColor rgb="00CFE0FB"/>
        <bgColor rgb="00CFE0FB"/>
      </patternFill>
    </fill>
    <fill>
      <patternFill patternType="solid">
        <fgColor rgb="00F4F4F4"/>
        <bgColor rgb="00F4F4F4"/>
      </patternFill>
    </fill>
    <fill>
      <patternFill patternType="solid">
        <fgColor rgb="00FDE3C6"/>
        <bgColor rgb="00FDE3C6"/>
      </patternFill>
    </fill>
    <fill>
      <patternFill patternType="solid">
        <fgColor rgb="00CDEFD6"/>
        <bgColor rgb="00CDEFD6"/>
      </patternFill>
    </fill>
    <fill>
      <patternFill patternType="solid">
        <fgColor rgb="00E6D5C6"/>
        <bgColor rgb="00E6D5C6"/>
      </patternFill>
    </fill>
    <fill>
      <patternFill patternType="solid">
        <fgColor rgb="00DFF3E3"/>
        <bgColor rgb="00DFF3E3"/>
      </patternFill>
    </fill>
    <fill>
      <patternFill patternType="solid">
        <fgColor rgb="00EDEDED"/>
        <bgColor rgb="00EDEDED"/>
      </patternFill>
    </fill>
    <fill>
      <patternFill patternType="solid">
        <fgColor rgb="00F2D8D8"/>
        <bgColor rgb="00F2D8D8"/>
      </patternFill>
    </fill>
    <fill>
      <patternFill patternType="solid">
        <fgColor rgb="00F2E1D8"/>
        <bgColor rgb="00F2E1D8"/>
      </patternFill>
    </fill>
    <fill>
      <patternFill patternType="solid">
        <fgColor rgb="00F2EAD8"/>
        <bgColor rgb="00F2EAD8"/>
      </patternFill>
    </fill>
    <fill>
      <patternFill patternType="solid">
        <fgColor rgb="00F0F2D8"/>
        <bgColor rgb="00F0F2D8"/>
      </patternFill>
    </fill>
    <fill>
      <patternFill patternType="solid">
        <fgColor rgb="00E7F2D8"/>
        <bgColor rgb="00E7F2D8"/>
      </patternFill>
    </fill>
    <fill>
      <patternFill patternType="solid">
        <fgColor rgb="00DEF2D8"/>
        <bgColor rgb="00DEF2D8"/>
      </patternFill>
    </fill>
    <fill>
      <patternFill patternType="solid">
        <fgColor rgb="00D8F2DB"/>
        <bgColor rgb="00D8F2DB"/>
      </patternFill>
    </fill>
    <fill>
      <patternFill patternType="solid">
        <fgColor rgb="00D8F2E4"/>
        <bgColor rgb="00D8F2E4"/>
      </patternFill>
    </fill>
    <fill>
      <patternFill patternType="solid">
        <fgColor rgb="00D8F2ED"/>
        <bgColor rgb="00D8F2ED"/>
      </patternFill>
    </fill>
    <fill>
      <patternFill patternType="solid">
        <fgColor rgb="00D8EDF2"/>
        <bgColor rgb="00D8EDF2"/>
      </patternFill>
    </fill>
    <fill>
      <patternFill patternType="solid">
        <fgColor rgb="00D8E4F2"/>
        <bgColor rgb="00D8E4F2"/>
      </patternFill>
    </fill>
    <fill>
      <patternFill patternType="solid">
        <fgColor rgb="00D8DBF2"/>
        <bgColor rgb="00D8DBF2"/>
      </patternFill>
    </fill>
    <fill>
      <patternFill patternType="solid">
        <fgColor rgb="00DED8F2"/>
        <bgColor rgb="00DED8F2"/>
      </patternFill>
    </fill>
    <fill>
      <patternFill patternType="solid">
        <fgColor rgb="00E7D8F2"/>
        <bgColor rgb="00E7D8F2"/>
      </patternFill>
    </fill>
    <fill>
      <patternFill patternType="solid">
        <fgColor rgb="00F0D8F2"/>
        <bgColor rgb="00F0D8F2"/>
      </patternFill>
    </fill>
    <fill>
      <patternFill patternType="solid">
        <fgColor rgb="00F2D8EA"/>
        <bgColor rgb="00F2D8EA"/>
      </patternFill>
    </fill>
    <fill>
      <patternFill patternType="solid">
        <fgColor rgb="00F2D8E1"/>
        <bgColor rgb="00F2D8E1"/>
      </patternFill>
    </fill>
    <fill>
      <patternFill patternType="solid">
        <fgColor rgb="001E9E5A"/>
        <bgColor rgb="001E9E5A"/>
      </patternFill>
    </fill>
    <fill>
      <patternFill patternType="solid">
        <fgColor rgb="00EEC7C7"/>
        <bgColor rgb="00EEC7C7"/>
      </patternFill>
    </fill>
    <fill>
      <patternFill patternType="solid">
        <fgColor rgb="00F6F3ED"/>
        <bgColor rgb="00F6F3ED"/>
      </patternFill>
    </fill>
    <fill>
      <patternFill patternType="solid">
        <fgColor rgb="00EEE1C7"/>
        <bgColor rgb="00EEE1C7"/>
      </patternFill>
    </fill>
    <fill>
      <patternFill patternType="solid">
        <fgColor rgb="00F3F6ED"/>
        <bgColor rgb="00F3F6ED"/>
      </patternFill>
    </fill>
    <fill>
      <patternFill patternType="solid">
        <fgColor rgb="00E1EEC7"/>
        <bgColor rgb="00E1EEC7"/>
      </patternFill>
    </fill>
    <fill>
      <patternFill patternType="solid">
        <fgColor rgb="00EDF6ED"/>
        <bgColor rgb="00EDF6ED"/>
      </patternFill>
    </fill>
    <fill>
      <patternFill patternType="solid">
        <fgColor rgb="00E8710A"/>
        <bgColor rgb="00E8710A"/>
      </patternFill>
    </fill>
    <fill>
      <patternFill patternType="solid">
        <fgColor rgb="00C7EEC7"/>
        <bgColor rgb="00C7EEC7"/>
      </patternFill>
    </fill>
    <fill>
      <patternFill patternType="solid">
        <fgColor rgb="00EDF6F3"/>
        <bgColor rgb="00EDF6F3"/>
      </patternFill>
    </fill>
    <fill>
      <patternFill patternType="solid">
        <fgColor rgb="00C7EEE1"/>
        <bgColor rgb="00C7EEE1"/>
      </patternFill>
    </fill>
    <fill>
      <patternFill patternType="solid">
        <fgColor rgb="00EDF3F6"/>
        <bgColor rgb="00EDF3F6"/>
      </patternFill>
    </fill>
    <fill>
      <patternFill patternType="solid">
        <fgColor rgb="00C7E1EE"/>
        <bgColor rgb="00C7E1EE"/>
      </patternFill>
    </fill>
    <fill>
      <patternFill patternType="solid">
        <fgColor rgb="002F6FDE"/>
        <bgColor rgb="002F6FDE"/>
      </patternFill>
    </fill>
    <fill>
      <patternFill patternType="solid">
        <fgColor rgb="00C7C7EE"/>
        <bgColor rgb="00C7C7EE"/>
      </patternFill>
    </fill>
    <fill>
      <patternFill patternType="solid">
        <fgColor rgb="00EDEDF6"/>
        <bgColor rgb="00EDEDF6"/>
      </patternFill>
    </fill>
    <fill>
      <patternFill patternType="solid">
        <fgColor rgb="00E1C7EE"/>
        <bgColor rgb="00E1C7EE"/>
      </patternFill>
    </fill>
    <fill>
      <patternFill patternType="solid">
        <fgColor rgb="00F3EDF6"/>
        <bgColor rgb="00F3EDF6"/>
      </patternFill>
    </fill>
    <fill>
      <patternFill patternType="solid">
        <fgColor rgb="00EEC7E1"/>
        <bgColor rgb="00EEC7E1"/>
      </patternFill>
    </fill>
    <fill>
      <patternFill patternType="solid">
        <fgColor rgb="00F6EDF3"/>
        <bgColor rgb="00F6EDF3"/>
      </patternFill>
    </fill>
    <fill>
      <patternFill patternType="solid">
        <fgColor rgb="00F6EDED"/>
        <bgColor rgb="00F6EDED"/>
      </patternFill>
    </fill>
    <fill>
      <patternFill patternType="solid">
        <fgColor rgb="00F6F4ED"/>
        <bgColor rgb="00F6F4ED"/>
      </patternFill>
    </fill>
    <fill>
      <patternFill patternType="solid">
        <fgColor rgb="00EEE5C7"/>
        <bgColor rgb="00EEE5C7"/>
      </patternFill>
    </fill>
    <fill>
      <patternFill patternType="solid">
        <fgColor rgb="00F2F6ED"/>
        <bgColor rgb="00F2F6ED"/>
      </patternFill>
    </fill>
    <fill>
      <patternFill patternType="solid">
        <fgColor rgb="00DBEEC7"/>
        <bgColor rgb="00DBEEC7"/>
      </patternFill>
    </fill>
    <fill>
      <patternFill patternType="solid">
        <fgColor rgb="00EDF6F0"/>
        <bgColor rgb="00EDF6F0"/>
      </patternFill>
    </fill>
    <fill>
      <patternFill patternType="solid">
        <fgColor rgb="00C7EED1"/>
        <bgColor rgb="00C7EED1"/>
      </patternFill>
    </fill>
    <fill>
      <patternFill patternType="solid">
        <fgColor rgb="00EDF6F6"/>
        <bgColor rgb="00EDF6F6"/>
      </patternFill>
    </fill>
    <fill>
      <patternFill patternType="solid">
        <fgColor rgb="00C7EEEE"/>
        <bgColor rgb="00C7EEEE"/>
      </patternFill>
    </fill>
    <fill>
      <patternFill patternType="solid">
        <fgColor rgb="00EDF0F6"/>
        <bgColor rgb="00EDF0F6"/>
      </patternFill>
    </fill>
    <fill>
      <patternFill patternType="solid">
        <fgColor rgb="00C7D1EE"/>
        <bgColor rgb="00C7D1EE"/>
      </patternFill>
    </fill>
    <fill>
      <patternFill patternType="solid">
        <fgColor rgb="00F2EDF6"/>
        <bgColor rgb="00F2EDF6"/>
      </patternFill>
    </fill>
    <fill>
      <patternFill patternType="solid">
        <fgColor rgb="00DBC7EE"/>
        <bgColor rgb="00DBC7EE"/>
      </patternFill>
    </fill>
    <fill>
      <patternFill patternType="solid">
        <fgColor rgb="00F6EDF4"/>
        <bgColor rgb="00F6EDF4"/>
      </patternFill>
    </fill>
    <fill>
      <patternFill patternType="solid">
        <fgColor rgb="00EEC7E5"/>
        <bgColor rgb="00EEC7E5"/>
      </patternFill>
    </fill>
    <fill>
      <patternFill patternType="solid">
        <fgColor rgb="00FFF2A8"/>
        <bgColor rgb="00FFF2A8"/>
      </patternFill>
    </fill>
    <fill>
      <patternFill patternType="solid">
        <fgColor rgb="00FFE4B5"/>
        <bgColor rgb="00FFE4B5"/>
      </patternFill>
    </fill>
    <fill>
      <patternFill patternType="solid">
        <fgColor rgb="00F8B4B4"/>
        <bgColor rgb="00F8B4B4"/>
      </patternFill>
    </fill>
    <fill>
      <patternFill patternType="solid">
        <fgColor rgb="00FAD6A5"/>
        <bgColor rgb="00FAD6A5"/>
      </patternFill>
    </fill>
    <fill>
      <patternFill patternType="solid">
        <fgColor rgb="00FFF0A8"/>
        <bgColor rgb="00FFF0A8"/>
      </patternFill>
    </fill>
    <fill>
      <patternFill patternType="solid">
        <fgColor rgb="00DDEBDD"/>
        <bgColor rgb="00DDEBDD"/>
      </patternFill>
    </fill>
  </fills>
  <borders count="6">
    <border>
      <left/>
      <right/>
      <top/>
      <bottom/>
      <diagonal/>
    </border>
    <border>
      <left style="thin">
        <color rgb="00C8CDD4"/>
      </left>
      <right style="thin">
        <color rgb="00C8CDD4"/>
      </right>
      <top style="thin">
        <color rgb="00C8CDD4"/>
      </top>
      <bottom style="thin">
        <color rgb="00C8CDD4"/>
      </bottom>
    </border>
    <border>
      <left style="thin">
        <color rgb="00FFFFFF"/>
      </left>
      <right style="thin">
        <color rgb="00FFFFFF"/>
      </right>
    </border>
    <border>
      <left/>
      <right/>
      <top style="thin">
        <color rgb="00C8CDD4"/>
      </top>
      <bottom/>
      <diagonal/>
    </border>
    <border>
      <left/>
      <right style="thin">
        <color rgb="00C8CDD4"/>
      </right>
      <top style="thin">
        <color rgb="00C8CDD4"/>
      </top>
      <bottom/>
      <diagonal/>
    </border>
    <border>
      <left/>
      <right style="thin">
        <color rgb="00C8CDD4"/>
      </right>
      <top style="thin">
        <color rgb="00C8CDD4"/>
      </top>
      <bottom style="thin">
        <color rgb="00C8CDD4"/>
      </bottom>
      <diagonal/>
    </border>
  </borders>
  <cellStyleXfs count="1">
    <xf numFmtId="0" fontId="0" fillId="0" borderId="0"/>
  </cellStyleXfs>
  <cellXfs count="176">
    <xf numFmtId="0" fontId="0" fillId="0" borderId="0" pivotButton="0" quotePrefix="0" xfId="0"/>
    <xf numFmtId="0" fontId="3" fillId="0" borderId="0" pivotButton="0" quotePrefix="0" xfId="0"/>
    <xf numFmtId="0" fontId="4" fillId="0" borderId="0" pivotButton="0" quotePrefix="0" xfId="0"/>
    <xf numFmtId="0" fontId="24" fillId="5" borderId="0" applyAlignment="1" pivotButton="0" quotePrefix="0" xfId="0">
      <alignment horizontal="center"/>
    </xf>
    <xf numFmtId="0" fontId="0" fillId="5" borderId="0" pivotButton="0" quotePrefix="0" xfId="0"/>
    <xf numFmtId="0" fontId="25" fillId="5" borderId="0" applyAlignment="1" pivotButton="0" quotePrefix="0" xfId="0">
      <alignment horizontal="center"/>
    </xf>
    <xf numFmtId="166" fontId="25" fillId="5" borderId="0" applyAlignment="1" pivotButton="0" quotePrefix="0" xfId="0">
      <alignment horizontal="center"/>
    </xf>
    <xf numFmtId="0" fontId="1" fillId="2" borderId="1" applyAlignment="1" pivotButton="0" quotePrefix="0" xfId="0">
      <alignment horizontal="center" vertical="center" wrapText="1"/>
    </xf>
    <xf numFmtId="0" fontId="5" fillId="0" borderId="1" applyAlignment="1" pivotButton="0" quotePrefix="0" xfId="0">
      <alignment horizontal="center" vertical="center"/>
    </xf>
    <xf numFmtId="0" fontId="2" fillId="0" borderId="1" applyAlignment="1" pivotButton="0" quotePrefix="0" xfId="0">
      <alignment horizontal="center" vertical="center"/>
    </xf>
    <xf numFmtId="9" fontId="2" fillId="0" borderId="1" applyAlignment="1" pivotButton="0" quotePrefix="0" xfId="0">
      <alignment horizontal="center" vertical="center"/>
    </xf>
    <xf numFmtId="0" fontId="26" fillId="0" borderId="0" pivotButton="0" quotePrefix="0" xfId="0"/>
    <xf numFmtId="0" fontId="27" fillId="0" borderId="0" pivotButton="0" quotePrefix="0" xfId="0"/>
    <xf numFmtId="0" fontId="2" fillId="0" borderId="1" applyAlignment="1" pivotButton="0" quotePrefix="0" xfId="0">
      <alignment horizontal="left" vertical="center"/>
    </xf>
    <xf numFmtId="0" fontId="18" fillId="2" borderId="0" applyAlignment="1" pivotButton="0" quotePrefix="0" xfId="0">
      <alignment horizontal="center"/>
    </xf>
    <xf numFmtId="0" fontId="5" fillId="4" borderId="1" applyAlignment="1" pivotButton="0" quotePrefix="0" xfId="0">
      <alignment horizontal="center" vertical="center"/>
    </xf>
    <xf numFmtId="0" fontId="2" fillId="0" borderId="2" applyAlignment="1" pivotButton="0" quotePrefix="0" xfId="0">
      <alignment horizontal="center" vertical="center"/>
    </xf>
    <xf numFmtId="0" fontId="19" fillId="65" borderId="2" applyAlignment="1" pivotButton="0" quotePrefix="0" xfId="0">
      <alignment horizontal="center" vertical="center"/>
    </xf>
    <xf numFmtId="0" fontId="5" fillId="66" borderId="1" applyAlignment="1" pivotButton="0" quotePrefix="0" xfId="0">
      <alignment horizontal="center" vertical="center"/>
    </xf>
    <xf numFmtId="0" fontId="2" fillId="66" borderId="1" applyAlignment="1" pivotButton="0" quotePrefix="0" xfId="0">
      <alignment horizontal="center" vertical="center"/>
    </xf>
    <xf numFmtId="0" fontId="2" fillId="65" borderId="2" applyAlignment="1" pivotButton="0" quotePrefix="0" xfId="0">
      <alignment horizontal="center" vertical="center"/>
    </xf>
    <xf numFmtId="0" fontId="20" fillId="67" borderId="1" applyAlignment="1" pivotButton="0" quotePrefix="0" xfId="0">
      <alignment horizontal="center" vertical="center"/>
    </xf>
    <xf numFmtId="0" fontId="20" fillId="85" borderId="1" applyAlignment="1" pivotButton="0" quotePrefix="0" xfId="0">
      <alignment horizontal="center" vertical="center"/>
    </xf>
    <xf numFmtId="0" fontId="5" fillId="68" borderId="1" applyAlignment="1" pivotButton="0" quotePrefix="0" xfId="0">
      <alignment horizontal="center" vertical="center"/>
    </xf>
    <xf numFmtId="0" fontId="2" fillId="68" borderId="1" applyAlignment="1" pivotButton="0" quotePrefix="0" xfId="0">
      <alignment horizontal="center" vertical="center"/>
    </xf>
    <xf numFmtId="0" fontId="20" fillId="86" borderId="1" applyAlignment="1" pivotButton="0" quotePrefix="0" xfId="0">
      <alignment horizontal="center" vertical="center"/>
    </xf>
    <xf numFmtId="0" fontId="5" fillId="87" borderId="1" applyAlignment="1" pivotButton="0" quotePrefix="0" xfId="0">
      <alignment horizontal="center" vertical="center"/>
    </xf>
    <xf numFmtId="0" fontId="2" fillId="87" borderId="1" applyAlignment="1" pivotButton="0" quotePrefix="0" xfId="0">
      <alignment horizontal="center" vertical="center"/>
    </xf>
    <xf numFmtId="0" fontId="20" fillId="69" borderId="1" applyAlignment="1" pivotButton="0" quotePrefix="0" xfId="0">
      <alignment horizontal="center" vertical="center"/>
    </xf>
    <xf numFmtId="0" fontId="5" fillId="70" borderId="1" applyAlignment="1" pivotButton="0" quotePrefix="0" xfId="0">
      <alignment horizontal="center" vertical="center"/>
    </xf>
    <xf numFmtId="0" fontId="2" fillId="70" borderId="1" applyAlignment="1" pivotButton="0" quotePrefix="0" xfId="0">
      <alignment horizontal="center" vertical="center"/>
    </xf>
    <xf numFmtId="0" fontId="20" fillId="88" borderId="1" applyAlignment="1" pivotButton="0" quotePrefix="0" xfId="0">
      <alignment horizontal="center" vertical="center"/>
    </xf>
    <xf numFmtId="0" fontId="5" fillId="89" borderId="1" applyAlignment="1" pivotButton="0" quotePrefix="0" xfId="0">
      <alignment horizontal="center" vertical="center"/>
    </xf>
    <xf numFmtId="0" fontId="2" fillId="89" borderId="1" applyAlignment="1" pivotButton="0" quotePrefix="0" xfId="0">
      <alignment horizontal="center" vertical="center"/>
    </xf>
    <xf numFmtId="0" fontId="20" fillId="71" borderId="1" applyAlignment="1" pivotButton="0" quotePrefix="0" xfId="0">
      <alignment horizontal="center" vertical="center"/>
    </xf>
    <xf numFmtId="0" fontId="19" fillId="72" borderId="2" applyAlignment="1" pivotButton="0" quotePrefix="0" xfId="0">
      <alignment horizontal="center" vertical="center"/>
    </xf>
    <xf numFmtId="0" fontId="5" fillId="73" borderId="1" applyAlignment="1" pivotButton="0" quotePrefix="0" xfId="0">
      <alignment horizontal="center" vertical="center"/>
    </xf>
    <xf numFmtId="0" fontId="2" fillId="73" borderId="1" applyAlignment="1" pivotButton="0" quotePrefix="0" xfId="0">
      <alignment horizontal="center" vertical="center"/>
    </xf>
    <xf numFmtId="0" fontId="20" fillId="90" borderId="1" applyAlignment="1" pivotButton="0" quotePrefix="0" xfId="0">
      <alignment horizontal="center" vertical="center"/>
    </xf>
    <xf numFmtId="0" fontId="2" fillId="72" borderId="2" applyAlignment="1" pivotButton="0" quotePrefix="0" xfId="0">
      <alignment horizontal="center" vertical="center"/>
    </xf>
    <xf numFmtId="0" fontId="5" fillId="91" borderId="1" applyAlignment="1" pivotButton="0" quotePrefix="0" xfId="0">
      <alignment horizontal="center" vertical="center"/>
    </xf>
    <xf numFmtId="0" fontId="2" fillId="91" borderId="1" applyAlignment="1" pivotButton="0" quotePrefix="0" xfId="0">
      <alignment horizontal="center" vertical="center"/>
    </xf>
    <xf numFmtId="0" fontId="20" fillId="74" borderId="1" applyAlignment="1" pivotButton="0" quotePrefix="0" xfId="0">
      <alignment horizontal="center" vertical="center"/>
    </xf>
    <xf numFmtId="0" fontId="5" fillId="75" borderId="1" applyAlignment="1" pivotButton="0" quotePrefix="0" xfId="0">
      <alignment horizontal="center" vertical="center"/>
    </xf>
    <xf numFmtId="0" fontId="2" fillId="75" borderId="1" applyAlignment="1" pivotButton="0" quotePrefix="0" xfId="0">
      <alignment horizontal="center" vertical="center"/>
    </xf>
    <xf numFmtId="0" fontId="20" fillId="92" borderId="1" applyAlignment="1" pivotButton="0" quotePrefix="0" xfId="0">
      <alignment horizontal="center" vertical="center"/>
    </xf>
    <xf numFmtId="0" fontId="5" fillId="93" borderId="1" applyAlignment="1" pivotButton="0" quotePrefix="0" xfId="0">
      <alignment horizontal="center" vertical="center"/>
    </xf>
    <xf numFmtId="0" fontId="2" fillId="93" borderId="1" applyAlignment="1" pivotButton="0" quotePrefix="0" xfId="0">
      <alignment horizontal="center" vertical="center"/>
    </xf>
    <xf numFmtId="0" fontId="20" fillId="76" borderId="1" applyAlignment="1" pivotButton="0" quotePrefix="0" xfId="0">
      <alignment horizontal="center" vertical="center"/>
    </xf>
    <xf numFmtId="0" fontId="5" fillId="77" borderId="1" applyAlignment="1" pivotButton="0" quotePrefix="0" xfId="0">
      <alignment horizontal="center" vertical="center"/>
    </xf>
    <xf numFmtId="0" fontId="2" fillId="77" borderId="1" applyAlignment="1" pivotButton="0" quotePrefix="0" xfId="0">
      <alignment horizontal="center" vertical="center"/>
    </xf>
    <xf numFmtId="0" fontId="20" fillId="94" borderId="1" applyAlignment="1" pivotButton="0" quotePrefix="0" xfId="0">
      <alignment horizontal="center" vertical="center"/>
    </xf>
    <xf numFmtId="0" fontId="5" fillId="95" borderId="1" applyAlignment="1" pivotButton="0" quotePrefix="0" xfId="0">
      <alignment horizontal="center" vertical="center"/>
    </xf>
    <xf numFmtId="0" fontId="2" fillId="95" borderId="1" applyAlignment="1" pivotButton="0" quotePrefix="0" xfId="0">
      <alignment horizontal="center" vertical="center"/>
    </xf>
    <xf numFmtId="0" fontId="19" fillId="78" borderId="2" applyAlignment="1" pivotButton="0" quotePrefix="0" xfId="0">
      <alignment horizontal="center" vertical="center"/>
    </xf>
    <xf numFmtId="0" fontId="5" fillId="79" borderId="1" applyAlignment="1" pivotButton="0" quotePrefix="0" xfId="0">
      <alignment horizontal="center" vertical="center"/>
    </xf>
    <xf numFmtId="0" fontId="2" fillId="79" borderId="1" applyAlignment="1" pivotButton="0" quotePrefix="0" xfId="0">
      <alignment horizontal="center" vertical="center"/>
    </xf>
    <xf numFmtId="0" fontId="2" fillId="78" borderId="2" applyAlignment="1" pivotButton="0" quotePrefix="0" xfId="0">
      <alignment horizontal="center" vertical="center"/>
    </xf>
    <xf numFmtId="0" fontId="20" fillId="80" borderId="1" applyAlignment="1" pivotButton="0" quotePrefix="0" xfId="0">
      <alignment horizontal="center" vertical="center"/>
    </xf>
    <xf numFmtId="0" fontId="20" fillId="96" borderId="1" applyAlignment="1" pivotButton="0" quotePrefix="0" xfId="0">
      <alignment horizontal="center" vertical="center"/>
    </xf>
    <xf numFmtId="0" fontId="5" fillId="81" borderId="1" applyAlignment="1" pivotButton="0" quotePrefix="0" xfId="0">
      <alignment horizontal="center" vertical="center"/>
    </xf>
    <xf numFmtId="0" fontId="2" fillId="81" borderId="1" applyAlignment="1" pivotButton="0" quotePrefix="0" xfId="0">
      <alignment horizontal="center" vertical="center"/>
    </xf>
    <xf numFmtId="0" fontId="5" fillId="97" borderId="1" applyAlignment="1" pivotButton="0" quotePrefix="0" xfId="0">
      <alignment horizontal="center" vertical="center"/>
    </xf>
    <xf numFmtId="0" fontId="2" fillId="97" borderId="1" applyAlignment="1" pivotButton="0" quotePrefix="0" xfId="0">
      <alignment horizontal="center" vertical="center"/>
    </xf>
    <xf numFmtId="0" fontId="20" fillId="82" borderId="1" applyAlignment="1" pivotButton="0" quotePrefix="0" xfId="0">
      <alignment horizontal="center" vertical="center"/>
    </xf>
    <xf numFmtId="0" fontId="20" fillId="98" borderId="1" applyAlignment="1" pivotButton="0" quotePrefix="0" xfId="0">
      <alignment horizontal="center" vertical="center"/>
    </xf>
    <xf numFmtId="0" fontId="5" fillId="83" borderId="1" applyAlignment="1" pivotButton="0" quotePrefix="0" xfId="0">
      <alignment horizontal="center" vertical="center"/>
    </xf>
    <xf numFmtId="0" fontId="2" fillId="83" borderId="1" applyAlignment="1" pivotButton="0" quotePrefix="0" xfId="0">
      <alignment horizontal="center" vertical="center"/>
    </xf>
    <xf numFmtId="0" fontId="5" fillId="99" borderId="1" applyAlignment="1" pivotButton="0" quotePrefix="0" xfId="0">
      <alignment horizontal="center" vertical="center"/>
    </xf>
    <xf numFmtId="0" fontId="2" fillId="99" borderId="1" applyAlignment="1" pivotButton="0" quotePrefix="0" xfId="0">
      <alignment horizontal="center" vertical="center"/>
    </xf>
    <xf numFmtId="0" fontId="20" fillId="84" borderId="1" applyAlignment="1" pivotButton="0" quotePrefix="0" xfId="0">
      <alignment horizontal="center" vertical="center"/>
    </xf>
    <xf numFmtId="0" fontId="8" fillId="6" borderId="0" applyAlignment="1" pivotButton="0" quotePrefix="0" xfId="0">
      <alignment horizontal="center"/>
    </xf>
    <xf numFmtId="0" fontId="21" fillId="0" borderId="0" applyAlignment="1" pivotButton="0" quotePrefix="0" xfId="0">
      <alignment horizontal="center"/>
    </xf>
    <xf numFmtId="0" fontId="22" fillId="0" borderId="0" applyAlignment="1" pivotButton="0" quotePrefix="0" xfId="0">
      <alignment horizontal="center"/>
    </xf>
    <xf numFmtId="0" fontId="23" fillId="0" borderId="0" applyAlignment="1" pivotButton="0" quotePrefix="0" xfId="0">
      <alignment horizontal="center"/>
    </xf>
    <xf numFmtId="0" fontId="14" fillId="0" borderId="0" pivotButton="0" quotePrefix="0" xfId="0"/>
    <xf numFmtId="0" fontId="5" fillId="48" borderId="1" applyAlignment="1" pivotButton="0" quotePrefix="0" xfId="0">
      <alignment horizontal="center" vertical="center"/>
    </xf>
    <xf numFmtId="0" fontId="5" fillId="49" borderId="1" applyAlignment="1" pivotButton="0" quotePrefix="0" xfId="0">
      <alignment horizontal="center" vertical="center"/>
    </xf>
    <xf numFmtId="0" fontId="5" fillId="50" borderId="1" applyAlignment="1" pivotButton="0" quotePrefix="0" xfId="0">
      <alignment horizontal="center" vertical="center"/>
    </xf>
    <xf numFmtId="0" fontId="5" fillId="51" borderId="1" applyAlignment="1" pivotButton="0" quotePrefix="0" xfId="0">
      <alignment horizontal="center" vertical="center"/>
    </xf>
    <xf numFmtId="0" fontId="5" fillId="52" borderId="1" applyAlignment="1" pivotButton="0" quotePrefix="0" xfId="0">
      <alignment horizontal="center" vertical="center"/>
    </xf>
    <xf numFmtId="0" fontId="5" fillId="53" borderId="1" applyAlignment="1" pivotButton="0" quotePrefix="0" xfId="0">
      <alignment horizontal="center" vertical="center"/>
    </xf>
    <xf numFmtId="0" fontId="5" fillId="54" borderId="1" applyAlignment="1" pivotButton="0" quotePrefix="0" xfId="0">
      <alignment horizontal="center" vertical="center"/>
    </xf>
    <xf numFmtId="0" fontId="5" fillId="55" borderId="1" applyAlignment="1" pivotButton="0" quotePrefix="0" xfId="0">
      <alignment horizontal="center" vertical="center"/>
    </xf>
    <xf numFmtId="0" fontId="5" fillId="56" borderId="1" applyAlignment="1" pivotButton="0" quotePrefix="0" xfId="0">
      <alignment horizontal="center" vertical="center"/>
    </xf>
    <xf numFmtId="0" fontId="5" fillId="57" borderId="1" applyAlignment="1" pivotButton="0" quotePrefix="0" xfId="0">
      <alignment horizontal="center" vertical="center"/>
    </xf>
    <xf numFmtId="0" fontId="5" fillId="58" borderId="1" applyAlignment="1" pivotButton="0" quotePrefix="0" xfId="0">
      <alignment horizontal="center" vertical="center"/>
    </xf>
    <xf numFmtId="0" fontId="5" fillId="59" borderId="1" applyAlignment="1" pivotButton="0" quotePrefix="0" xfId="0">
      <alignment horizontal="center" vertical="center"/>
    </xf>
    <xf numFmtId="0" fontId="5" fillId="60" borderId="1" applyAlignment="1" pivotButton="0" quotePrefix="0" xfId="0">
      <alignment horizontal="center" vertical="center"/>
    </xf>
    <xf numFmtId="0" fontId="5" fillId="61" borderId="1" applyAlignment="1" pivotButton="0" quotePrefix="0" xfId="0">
      <alignment horizontal="center" vertical="center"/>
    </xf>
    <xf numFmtId="0" fontId="5" fillId="62" borderId="1" applyAlignment="1" pivotButton="0" quotePrefix="0" xfId="0">
      <alignment horizontal="center" vertical="center"/>
    </xf>
    <xf numFmtId="0" fontId="5" fillId="63" borderId="1" applyAlignment="1" pivotButton="0" quotePrefix="0" xfId="0">
      <alignment horizontal="center" vertical="center"/>
    </xf>
    <xf numFmtId="0" fontId="5" fillId="64" borderId="1" applyAlignment="1" pivotButton="0" quotePrefix="0" xfId="0">
      <alignment horizontal="center" vertical="center"/>
    </xf>
    <xf numFmtId="9" fontId="5" fillId="0" borderId="1" applyAlignment="1" pivotButton="0" quotePrefix="0" xfId="0">
      <alignment horizontal="center" vertical="center"/>
    </xf>
    <xf numFmtId="0" fontId="2" fillId="101" borderId="1" applyAlignment="1" pivotButton="0" quotePrefix="0" xfId="0">
      <alignment horizontal="center" vertical="center"/>
    </xf>
    <xf numFmtId="0" fontId="5" fillId="101" borderId="1" applyAlignment="1" pivotButton="0" quotePrefix="0" xfId="0">
      <alignment horizontal="center" vertical="center"/>
    </xf>
    <xf numFmtId="0" fontId="2" fillId="101" borderId="1" applyAlignment="1" pivotButton="0" quotePrefix="0" xfId="0">
      <alignment horizontal="left" vertical="center"/>
    </xf>
    <xf numFmtId="0" fontId="8" fillId="2" borderId="0" applyAlignment="1" pivotButton="0" quotePrefix="0" xfId="0">
      <alignment vertical="top" wrapText="1"/>
    </xf>
    <xf numFmtId="0" fontId="27" fillId="0" borderId="0" applyAlignment="1" pivotButton="0" quotePrefix="0" xfId="0">
      <alignment vertical="top" wrapText="1"/>
    </xf>
    <xf numFmtId="0" fontId="2" fillId="3" borderId="1" applyAlignment="1" pivotButton="0" quotePrefix="0" xfId="0">
      <alignment horizontal="center" vertical="center"/>
    </xf>
    <xf numFmtId="0" fontId="2" fillId="46" borderId="1" applyAlignment="1" pivotButton="0" quotePrefix="0" xfId="0">
      <alignment horizontal="center" vertical="center"/>
    </xf>
    <xf numFmtId="0" fontId="7" fillId="47" borderId="1" applyAlignment="1" pivotButton="0" quotePrefix="0" xfId="0">
      <alignment horizontal="center" vertical="center"/>
    </xf>
    <xf numFmtId="0" fontId="2" fillId="4" borderId="1" applyAlignment="1" pivotButton="0" quotePrefix="0" xfId="0">
      <alignment horizontal="center" vertical="center"/>
    </xf>
    <xf numFmtId="0" fontId="5" fillId="3" borderId="1" applyAlignment="1" pivotButton="0" quotePrefix="0" xfId="0">
      <alignment horizontal="center" vertical="center"/>
    </xf>
    <xf numFmtId="0" fontId="7" fillId="3" borderId="1" applyAlignment="1" pivotButton="0" quotePrefix="0" xfId="0">
      <alignment horizontal="center" vertical="center"/>
    </xf>
    <xf numFmtId="0" fontId="7" fillId="4" borderId="1" applyAlignment="1" pivotButton="0" quotePrefix="0" xfId="0">
      <alignment horizontal="center" vertical="center"/>
    </xf>
    <xf numFmtId="0" fontId="9" fillId="0" borderId="0" applyAlignment="1" pivotButton="0" quotePrefix="0" xfId="0">
      <alignment vertical="center"/>
    </xf>
    <xf numFmtId="0" fontId="12" fillId="17" borderId="1" applyAlignment="1" pivotButton="0" quotePrefix="0" xfId="0">
      <alignment horizontal="center" vertical="center" wrapText="1"/>
    </xf>
    <xf numFmtId="0" fontId="12" fillId="18" borderId="1" applyAlignment="1" pivotButton="0" quotePrefix="0" xfId="0">
      <alignment horizontal="center" vertical="center" wrapText="1"/>
    </xf>
    <xf numFmtId="0" fontId="12" fillId="19" borderId="1" applyAlignment="1" pivotButton="0" quotePrefix="0" xfId="0">
      <alignment horizontal="center" vertical="center" wrapText="1"/>
    </xf>
    <xf numFmtId="0" fontId="12" fillId="20" borderId="1" applyAlignment="1" pivotButton="0" quotePrefix="0" xfId="0">
      <alignment horizontal="center" vertical="center" wrapText="1"/>
    </xf>
    <xf numFmtId="0" fontId="12" fillId="21" borderId="1" applyAlignment="1" pivotButton="0" quotePrefix="0" xfId="0">
      <alignment horizontal="center" vertical="center" wrapText="1"/>
    </xf>
    <xf numFmtId="0" fontId="12" fillId="22" borderId="1" applyAlignment="1" pivotButton="0" quotePrefix="0" xfId="0">
      <alignment horizontal="center" vertical="center" wrapText="1"/>
    </xf>
    <xf numFmtId="0" fontId="12" fillId="23" borderId="1" applyAlignment="1" pivotButton="0" quotePrefix="0" xfId="0">
      <alignment horizontal="center" vertical="center" wrapText="1"/>
    </xf>
    <xf numFmtId="0" fontId="12" fillId="24" borderId="1" applyAlignment="1" pivotButton="0" quotePrefix="0" xfId="0">
      <alignment horizontal="center" vertical="center" wrapText="1"/>
    </xf>
    <xf numFmtId="0" fontId="11" fillId="16" borderId="1" applyAlignment="1" pivotButton="0" quotePrefix="0" xfId="0">
      <alignment horizontal="center" vertical="center" wrapText="1"/>
    </xf>
    <xf numFmtId="0" fontId="12" fillId="33" borderId="1" applyAlignment="1" pivotButton="0" quotePrefix="0" xfId="0">
      <alignment horizontal="center" vertical="center" wrapText="1"/>
    </xf>
    <xf numFmtId="0" fontId="12" fillId="34" borderId="1" applyAlignment="1" pivotButton="0" quotePrefix="0" xfId="0">
      <alignment horizontal="center" vertical="center" wrapText="1"/>
    </xf>
    <xf numFmtId="0" fontId="12" fillId="35" borderId="1" applyAlignment="1" pivotButton="0" quotePrefix="0" xfId="0">
      <alignment horizontal="center" vertical="center" wrapText="1"/>
    </xf>
    <xf numFmtId="0" fontId="12" fillId="36" borderId="1" applyAlignment="1" pivotButton="0" quotePrefix="0" xfId="0">
      <alignment horizontal="center" vertical="center" wrapText="1"/>
    </xf>
    <xf numFmtId="0" fontId="12" fillId="37" borderId="1" applyAlignment="1" pivotButton="0" quotePrefix="0" xfId="0">
      <alignment horizontal="center" vertical="center" wrapText="1"/>
    </xf>
    <xf numFmtId="0" fontId="12" fillId="38" borderId="1" applyAlignment="1" pivotButton="0" quotePrefix="0" xfId="0">
      <alignment horizontal="center" vertical="center" wrapText="1"/>
    </xf>
    <xf numFmtId="0" fontId="12" fillId="39" borderId="1" applyAlignment="1" pivotButton="0" quotePrefix="0" xfId="0">
      <alignment horizontal="center" vertical="center" wrapText="1"/>
    </xf>
    <xf numFmtId="0" fontId="12" fillId="40" borderId="1" applyAlignment="1" pivotButton="0" quotePrefix="0" xfId="0">
      <alignment horizontal="center" vertical="center" wrapText="1"/>
    </xf>
    <xf numFmtId="0" fontId="10" fillId="14" borderId="1" applyAlignment="1" pivotButton="0" quotePrefix="0" xfId="0">
      <alignment horizontal="center" vertical="center" wrapText="1"/>
    </xf>
    <xf numFmtId="0" fontId="11" fillId="8"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31" borderId="1" applyAlignment="1" pivotButton="0" quotePrefix="0" xfId="0">
      <alignment horizontal="center" vertical="center" wrapText="1"/>
    </xf>
    <xf numFmtId="0" fontId="10" fillId="32"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3" borderId="1" applyAlignment="1" pivotButton="0" quotePrefix="0" xfId="0">
      <alignment horizontal="center" vertical="center" wrapText="1"/>
    </xf>
    <xf numFmtId="0" fontId="10" fillId="28" borderId="1" applyAlignment="1" pivotButton="0" quotePrefix="0" xfId="0">
      <alignment horizontal="center" vertical="center" wrapText="1"/>
    </xf>
    <xf numFmtId="0" fontId="10" fillId="29" borderId="1" applyAlignment="1" pivotButton="0" quotePrefix="0" xfId="0">
      <alignment horizontal="center" vertical="center" wrapText="1"/>
    </xf>
    <xf numFmtId="0" fontId="10" fillId="30"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25" borderId="1" applyAlignment="1" pivotButton="0" quotePrefix="0" xfId="0">
      <alignment horizontal="center" vertical="center" wrapText="1"/>
    </xf>
    <xf numFmtId="0" fontId="10" fillId="26" borderId="1" applyAlignment="1" pivotButton="0" quotePrefix="0" xfId="0">
      <alignment horizontal="center" vertical="center" wrapText="1"/>
    </xf>
    <xf numFmtId="0" fontId="10" fillId="27" borderId="1" applyAlignment="1" pivotButton="0" quotePrefix="0" xfId="0">
      <alignment horizontal="center" vertical="center" wrapText="1"/>
    </xf>
    <xf numFmtId="0" fontId="13" fillId="0" borderId="0" applyAlignment="1" pivotButton="0" quotePrefix="0" xfId="0">
      <alignment horizontal="center"/>
    </xf>
    <xf numFmtId="0" fontId="15" fillId="2" borderId="0" pivotButton="0" quotePrefix="0" xfId="0"/>
    <xf numFmtId="0" fontId="9" fillId="0" borderId="0" applyAlignment="1" pivotButton="0" quotePrefix="0" xfId="0">
      <alignment vertical="center" wrapText="1"/>
    </xf>
    <xf numFmtId="0" fontId="16" fillId="45" borderId="1" applyAlignment="1" pivotButton="0" quotePrefix="0" xfId="0">
      <alignment horizontal="center" vertical="center" wrapText="1"/>
    </xf>
    <xf numFmtId="0" fontId="17" fillId="42" borderId="1" applyAlignment="1" pivotButton="0" quotePrefix="0" xfId="0">
      <alignment horizontal="center" vertical="center" wrapText="1"/>
    </xf>
    <xf numFmtId="0" fontId="16" fillId="44" borderId="1" applyAlignment="1" pivotButton="0" quotePrefix="0" xfId="0">
      <alignment horizontal="center" vertical="center" wrapText="1"/>
    </xf>
    <xf numFmtId="0" fontId="16" fillId="43" borderId="1" applyAlignment="1" pivotButton="0" quotePrefix="0" xfId="0">
      <alignment horizontal="center" vertical="center" wrapText="1"/>
    </xf>
    <xf numFmtId="0" fontId="16" fillId="41" borderId="1" applyAlignment="1" pivotButton="0" quotePrefix="0" xfId="0">
      <alignment horizontal="center" vertical="center" wrapText="1"/>
    </xf>
    <xf numFmtId="0" fontId="2" fillId="3" borderId="1" applyAlignment="1" pivotButton="0" quotePrefix="0" xfId="0">
      <alignment horizontal="left" vertical="center"/>
    </xf>
    <xf numFmtId="164" fontId="2" fillId="3" borderId="1" applyAlignment="1" pivotButton="0" quotePrefix="0" xfId="0">
      <alignment horizontal="center" vertical="center"/>
    </xf>
    <xf numFmtId="0" fontId="2" fillId="4" borderId="1" applyAlignment="1" pivotButton="0" quotePrefix="0" xfId="0">
      <alignment horizontal="left" vertical="center"/>
    </xf>
    <xf numFmtId="164" fontId="2" fillId="4" borderId="1" applyAlignment="1" pivotButton="0" quotePrefix="0" xfId="0">
      <alignment horizontal="center" vertical="center"/>
    </xf>
    <xf numFmtId="0" fontId="5" fillId="0" borderId="1" applyAlignment="1" pivotButton="0" quotePrefix="0" xfId="0">
      <alignment horizontal="left" vertical="center"/>
    </xf>
    <xf numFmtId="0" fontId="5" fillId="100" borderId="1" applyAlignment="1" pivotButton="0" quotePrefix="0" xfId="0">
      <alignment horizontal="center" vertical="center"/>
    </xf>
    <xf numFmtId="0" fontId="8" fillId="2" borderId="0" applyAlignment="1" pivotButton="0" quotePrefix="0" xfId="0">
      <alignment horizontal="center"/>
    </xf>
    <xf numFmtId="0" fontId="5" fillId="0"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102" borderId="1" applyAlignment="1" pivotButton="0" quotePrefix="0" xfId="0">
      <alignment horizontal="center" vertical="top" wrapText="1"/>
    </xf>
    <xf numFmtId="0" fontId="2" fillId="103" borderId="1" applyAlignment="1" pivotButton="0" quotePrefix="0" xfId="0">
      <alignment horizontal="center" vertical="top" wrapText="1"/>
    </xf>
    <xf numFmtId="0" fontId="2" fillId="104" borderId="1" applyAlignment="1" pivotButton="0" quotePrefix="0" xfId="0">
      <alignment horizontal="center" vertical="top" wrapText="1"/>
    </xf>
    <xf numFmtId="0" fontId="2" fillId="105" borderId="1" applyAlignment="1" pivotButton="0" quotePrefix="0" xfId="0">
      <alignment horizontal="center" vertical="top" wrapText="1"/>
    </xf>
    <xf numFmtId="0" fontId="19" fillId="2" borderId="0" pivotButton="0" quotePrefix="0" xfId="0"/>
    <xf numFmtId="0" fontId="0" fillId="0" borderId="5" pivotButton="0" quotePrefix="0" xfId="0"/>
    <xf numFmtId="0" fontId="27" fillId="0" borderId="1" applyAlignment="1" pivotButton="0" quotePrefix="0" xfId="0">
      <alignment vertical="top" wrapText="1"/>
    </xf>
    <xf numFmtId="0" fontId="28" fillId="0" borderId="0" applyAlignment="1" pivotButton="0" quotePrefix="0" xfId="0">
      <alignment vertical="top" wrapText="1"/>
    </xf>
    <xf numFmtId="0" fontId="2" fillId="5" borderId="1" applyAlignment="1" pivotButton="0" quotePrefix="0" xfId="0">
      <alignment horizontal="center" vertical="center"/>
    </xf>
    <xf numFmtId="2" fontId="2" fillId="0" borderId="1" applyAlignment="1" pivotButton="0" quotePrefix="0" xfId="0">
      <alignment horizontal="center" vertical="center"/>
    </xf>
    <xf numFmtId="165" fontId="2" fillId="0" borderId="1" applyAlignment="1" pivotButton="0" quotePrefix="0" xfId="0">
      <alignment horizontal="center" vertical="center"/>
    </xf>
    <xf numFmtId="2" fontId="5" fillId="0" borderId="1" applyAlignment="1" pivotButton="0" quotePrefix="0" xfId="0">
      <alignment horizontal="center" vertical="center"/>
    </xf>
    <xf numFmtId="0" fontId="6" fillId="0" borderId="0" applyAlignment="1" pivotButton="0" quotePrefix="0" xfId="0">
      <alignment vertical="top" wrapText="1"/>
    </xf>
    <xf numFmtId="9" fontId="2" fillId="5" borderId="1" applyAlignment="1" pivotButton="0" quotePrefix="0" xfId="0">
      <alignment horizontal="center" vertical="center"/>
    </xf>
    <xf numFmtId="3" fontId="2" fillId="0" borderId="1" applyAlignment="1" pivotButton="0" quotePrefix="0" xfId="0">
      <alignment horizontal="center" vertical="center"/>
    </xf>
    <xf numFmtId="0" fontId="8" fillId="2" borderId="0" pivotButton="0" quotePrefix="0" xfId="0"/>
  </cellXfs>
  <cellStyles count="1">
    <cellStyle name="Normal" xfId="0" builtinId="0" hidden="0"/>
  </cellStyles>
  <dxfs count="5">
    <dxf>
      <fill>
        <patternFill patternType="solid">
          <fgColor rgb="00FFC7CE"/>
          <bgColor rgb="00FFC7CE"/>
        </patternFill>
      </fill>
    </dxf>
    <dxf>
      <fill>
        <patternFill patternType="solid">
          <fgColor rgb="00EDEDED"/>
          <bgColor rgb="00EDEDED"/>
        </patternFill>
      </fill>
    </dxf>
    <dxf>
      <font>
        <b val="1"/>
        <color rgb="00C00000"/>
      </font>
    </dxf>
    <dxf>
      <fill>
        <patternFill patternType="solid">
          <fgColor rgb="00C6EFCE"/>
          <bgColor rgb="00C6EF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A5F"/>
    <outlinePr summaryBelow="1" summaryRight="1"/>
    <pageSetUpPr fitToPage="1"/>
  </sheetPr>
  <dimension ref="A1:L28"/>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26" customWidth="1" min="10" max="10"/>
    <col width="14" customWidth="1" min="11" max="11"/>
    <col width="12" customWidth="1" min="12" max="12"/>
  </cols>
  <sheetData>
    <row r="1">
      <c r="A1" s="1" t="inlineStr">
        <is>
          <t>Hệ thống phối quang FTTH – Chung cư Phố Đông (Tháp A + B)</t>
        </is>
      </c>
    </row>
    <row r="2">
      <c r="A2" s="2" t="inlineStr">
        <is>
          <t>Kiến trúc: ONU căn hộ ─1FO─ Splitter 1:16 (tủ) ─ cáp trục 24FO (8FO/tủ) ─ ODF PM ─ Splitter 1:4 ─ PON  ⇒  1:64 / PON</t>
        </is>
      </c>
    </row>
    <row r="4">
      <c r="B4" s="3" t="inlineStr">
        <is>
          <t>Tổng căn hộ</t>
        </is>
      </c>
      <c r="C4" s="4" t="n"/>
      <c r="D4" s="3" t="inlineStr">
        <is>
          <t>Hoạt động</t>
        </is>
      </c>
      <c r="E4" s="4" t="n"/>
      <c r="F4" s="3" t="inlineStr">
        <is>
          <t>Đã đấu nối</t>
        </is>
      </c>
      <c r="G4" s="4" t="n"/>
      <c r="H4" s="3" t="inlineStr">
        <is>
          <t>Sự cố</t>
        </is>
      </c>
      <c r="I4" s="4" t="n"/>
    </row>
    <row r="5" ht="30" customHeight="1">
      <c r="B5" s="5">
        <f>COUNTA('Thuê bao'!$A$2:$A$677)</f>
        <v/>
      </c>
      <c r="C5" s="4" t="n"/>
      <c r="D5" s="5">
        <f>COUNTIF('Thuê bao'!$N$2:$N$677,"Hoạt động")</f>
        <v/>
      </c>
      <c r="E5" s="4" t="n"/>
      <c r="F5" s="5">
        <f>COUNTIF('Thuê bao'!$N$2:$N$677,"Đã đấu nối")</f>
        <v/>
      </c>
      <c r="G5" s="4" t="n"/>
      <c r="H5" s="5">
        <f>COUNTIF('Thuê bao'!$N$2:$N$677,"Sự cố")</f>
        <v/>
      </c>
      <c r="I5" s="4" t="n"/>
    </row>
    <row r="7">
      <c r="B7" s="3" t="inlineStr">
        <is>
          <t>Số tủ</t>
        </is>
      </c>
      <c r="C7" s="4" t="n"/>
      <c r="D7" s="3" t="inlineStr">
        <is>
          <t>Splitter 1:16</t>
        </is>
      </c>
      <c r="E7" s="4" t="n"/>
      <c r="F7" s="3" t="inlineStr">
        <is>
          <t>Cổng 1:4 dùng / 64</t>
        </is>
      </c>
      <c r="G7" s="4" t="n"/>
      <c r="H7" s="3" t="inlineStr">
        <is>
          <t>Margin quang (dB)</t>
        </is>
      </c>
      <c r="I7" s="4" t="n"/>
    </row>
    <row r="8" ht="30" customHeight="1">
      <c r="B8" s="5">
        <f>COUNTA('Tủ phối quang'!A5:A21)</f>
        <v/>
      </c>
      <c r="C8" s="4" t="n"/>
      <c r="D8" s="5">
        <f>'Tủ phối quang'!F22</f>
        <v/>
      </c>
      <c r="E8" s="4" t="n"/>
      <c r="F8" s="5">
        <f>COUNTIF('ODF-PM &amp; PON'!$D$5:$D$68,"Đã dùng")</f>
        <v/>
      </c>
      <c r="G8" s="4" t="n"/>
      <c r="H8" s="6">
        <f>'Quỹ công suất'!E27</f>
        <v/>
      </c>
      <c r="I8" s="4" t="n"/>
    </row>
    <row r="11" ht="30" customHeight="1">
      <c r="B11" s="7" t="inlineStr">
        <is>
          <t>PON</t>
        </is>
      </c>
      <c r="C11" s="7" t="inlineStr">
        <is>
          <t>Splitter 1:4</t>
        </is>
      </c>
      <c r="D11" s="7" t="inlineStr">
        <is>
          <t>Nhánh dùng</t>
        </is>
      </c>
      <c r="E11" s="7" t="inlineStr">
        <is>
          <t>Căn hộ</t>
        </is>
      </c>
      <c r="F11" s="7" t="inlineStr">
        <is>
          <t>Hoạt động</t>
        </is>
      </c>
      <c r="G11" s="7" t="inlineStr">
        <is>
          <t>Tải / 64 hộ</t>
        </is>
      </c>
      <c r="H11" s="7" t="inlineStr">
        <is>
          <t>Cảnh báo</t>
        </is>
      </c>
      <c r="J11" s="7" t="inlineStr">
        <is>
          <t>Tháp</t>
        </is>
      </c>
      <c r="K11" s="7" t="inlineStr">
        <is>
          <t>Căn hộ</t>
        </is>
      </c>
      <c r="L11" s="7" t="inlineStr">
        <is>
          <t>Hoạt động</t>
        </is>
      </c>
    </row>
    <row r="12">
      <c r="B12" s="8" t="inlineStr">
        <is>
          <t>PON-01</t>
        </is>
      </c>
      <c r="C12" s="9" t="inlineStr">
        <is>
          <t>S4-01</t>
        </is>
      </c>
      <c r="D12" s="9">
        <f>COUNTIFS('ODF-PM &amp; PON'!$A$5:$A$68,B12,'ODF-PM &amp; PON'!$D$5:$D$68,"Đã dùng")</f>
        <v/>
      </c>
      <c r="E12" s="9">
        <f>COUNTIF('Thuê bao'!$M$2:$M$677,B12)</f>
        <v/>
      </c>
      <c r="F12" s="9">
        <f>COUNTIFS('Thuê bao'!$M$2:$M$677,B12,'Thuê bao'!$N$2:$N$677,"Hoạt động")</f>
        <v/>
      </c>
      <c r="G12" s="10">
        <f>E12/'Quỹ công suất'!$C$6</f>
        <v/>
      </c>
      <c r="H12" s="9">
        <f>IF(E12=0,"Trống",IF(G12&gt;0.9,"Gần đầy","OK"))</f>
        <v/>
      </c>
      <c r="J12" s="8" t="inlineStr">
        <is>
          <t>Tháp A</t>
        </is>
      </c>
      <c r="K12" s="9">
        <f>COUNTIF('Thuê bao'!$B$2:$B$677,"A")</f>
        <v/>
      </c>
      <c r="L12" s="9">
        <f>COUNTIFS('Thuê bao'!$B$2:$B$677,"A",'Thuê bao'!$N$2:$N$677,"Hoạt động")</f>
        <v/>
      </c>
    </row>
    <row r="13">
      <c r="B13" s="8" t="inlineStr">
        <is>
          <t>PON-02</t>
        </is>
      </c>
      <c r="C13" s="9" t="inlineStr">
        <is>
          <t>S4-02</t>
        </is>
      </c>
      <c r="D13" s="9">
        <f>COUNTIFS('ODF-PM &amp; PON'!$A$5:$A$68,B13,'ODF-PM &amp; PON'!$D$5:$D$68,"Đã dùng")</f>
        <v/>
      </c>
      <c r="E13" s="9">
        <f>COUNTIF('Thuê bao'!$M$2:$M$677,B13)</f>
        <v/>
      </c>
      <c r="F13" s="9">
        <f>COUNTIFS('Thuê bao'!$M$2:$M$677,B13,'Thuê bao'!$N$2:$N$677,"Hoạt động")</f>
        <v/>
      </c>
      <c r="G13" s="10">
        <f>E13/'Quỹ công suất'!$C$6</f>
        <v/>
      </c>
      <c r="H13" s="9">
        <f>IF(E13=0,"Trống",IF(G13&gt;0.9,"Gần đầy","OK"))</f>
        <v/>
      </c>
      <c r="J13" s="8" t="inlineStr">
        <is>
          <t>Tháp B</t>
        </is>
      </c>
      <c r="K13" s="9">
        <f>COUNTIF('Thuê bao'!$B$2:$B$677,"B")</f>
        <v/>
      </c>
      <c r="L13" s="9">
        <f>COUNTIFS('Thuê bao'!$B$2:$B$677,"B",'Thuê bao'!$N$2:$N$677,"Hoạt động")</f>
        <v/>
      </c>
    </row>
    <row r="14">
      <c r="B14" s="8" t="inlineStr">
        <is>
          <t>PON-03</t>
        </is>
      </c>
      <c r="C14" s="9" t="inlineStr">
        <is>
          <t>S4-03</t>
        </is>
      </c>
      <c r="D14" s="9">
        <f>COUNTIFS('ODF-PM &amp; PON'!$A$5:$A$68,B14,'ODF-PM &amp; PON'!$D$5:$D$68,"Đã dùng")</f>
        <v/>
      </c>
      <c r="E14" s="9">
        <f>COUNTIF('Thuê bao'!$M$2:$M$677,B14)</f>
        <v/>
      </c>
      <c r="F14" s="9">
        <f>COUNTIFS('Thuê bao'!$M$2:$M$677,B14,'Thuê bao'!$N$2:$N$677,"Hoạt động")</f>
        <v/>
      </c>
      <c r="G14" s="10">
        <f>E14/'Quỹ công suất'!$C$6</f>
        <v/>
      </c>
      <c r="H14" s="9">
        <f>IF(E14=0,"Trống",IF(G14&gt;0.9,"Gần đầy","OK"))</f>
        <v/>
      </c>
    </row>
    <row r="15">
      <c r="B15" s="8" t="inlineStr">
        <is>
          <t>PON-04</t>
        </is>
      </c>
      <c r="C15" s="9" t="inlineStr">
        <is>
          <t>S4-04</t>
        </is>
      </c>
      <c r="D15" s="9">
        <f>COUNTIFS('ODF-PM &amp; PON'!$A$5:$A$68,B15,'ODF-PM &amp; PON'!$D$5:$D$68,"Đã dùng")</f>
        <v/>
      </c>
      <c r="E15" s="9">
        <f>COUNTIF('Thuê bao'!$M$2:$M$677,B15)</f>
        <v/>
      </c>
      <c r="F15" s="9">
        <f>COUNTIFS('Thuê bao'!$M$2:$M$677,B15,'Thuê bao'!$N$2:$N$677,"Hoạt động")</f>
        <v/>
      </c>
      <c r="G15" s="10">
        <f>E15/'Quỹ công suất'!$C$6</f>
        <v/>
      </c>
      <c r="H15" s="9">
        <f>IF(E15=0,"Trống",IF(G15&gt;0.9,"Gần đầy","OK"))</f>
        <v/>
      </c>
    </row>
    <row r="16">
      <c r="B16" s="8" t="inlineStr">
        <is>
          <t>PON-05</t>
        </is>
      </c>
      <c r="C16" s="9" t="inlineStr">
        <is>
          <t>S4-05</t>
        </is>
      </c>
      <c r="D16" s="9">
        <f>COUNTIFS('ODF-PM &amp; PON'!$A$5:$A$68,B16,'ODF-PM &amp; PON'!$D$5:$D$68,"Đã dùng")</f>
        <v/>
      </c>
      <c r="E16" s="9">
        <f>COUNTIF('Thuê bao'!$M$2:$M$677,B16)</f>
        <v/>
      </c>
      <c r="F16" s="9">
        <f>COUNTIFS('Thuê bao'!$M$2:$M$677,B16,'Thuê bao'!$N$2:$N$677,"Hoạt động")</f>
        <v/>
      </c>
      <c r="G16" s="10">
        <f>E16/'Quỹ công suất'!$C$6</f>
        <v/>
      </c>
      <c r="H16" s="9">
        <f>IF(E16=0,"Trống",IF(G16&gt;0.9,"Gần đầy","OK"))</f>
        <v/>
      </c>
      <c r="J16" s="11" t="inlineStr">
        <is>
          <t>Cách dùng nhanh</t>
        </is>
      </c>
    </row>
    <row r="17">
      <c r="B17" s="8" t="inlineStr">
        <is>
          <t>PON-06</t>
        </is>
      </c>
      <c r="C17" s="9" t="inlineStr">
        <is>
          <t>S4-06</t>
        </is>
      </c>
      <c r="D17" s="9">
        <f>COUNTIFS('ODF-PM &amp; PON'!$A$5:$A$68,B17,'ODF-PM &amp; PON'!$D$5:$D$68,"Đã dùng")</f>
        <v/>
      </c>
      <c r="E17" s="9">
        <f>COUNTIF('Thuê bao'!$M$2:$M$677,B17)</f>
        <v/>
      </c>
      <c r="F17" s="9">
        <f>COUNTIFS('Thuê bao'!$M$2:$M$677,B17,'Thuê bao'!$N$2:$N$677,"Hoạt động")</f>
        <v/>
      </c>
      <c r="G17" s="10">
        <f>E17/'Quỹ công suất'!$C$6</f>
        <v/>
      </c>
      <c r="H17" s="9">
        <f>IF(E17=0,"Trống",IF(G17&gt;0.9,"Gần đầy","OK"))</f>
        <v/>
      </c>
      <c r="J17" s="12" t="inlineStr">
        <is>
          <t>1. Tra đường quang 1 căn hộ → sheet "Tra cứu".</t>
        </is>
      </c>
    </row>
    <row r="18">
      <c r="B18" s="8" t="inlineStr">
        <is>
          <t>PON-07</t>
        </is>
      </c>
      <c r="C18" s="9" t="inlineStr">
        <is>
          <t>S4-07</t>
        </is>
      </c>
      <c r="D18" s="9">
        <f>COUNTIFS('ODF-PM &amp; PON'!$A$5:$A$68,B18,'ODF-PM &amp; PON'!$D$5:$D$68,"Đã dùng")</f>
        <v/>
      </c>
      <c r="E18" s="9">
        <f>COUNTIF('Thuê bao'!$M$2:$M$677,B18)</f>
        <v/>
      </c>
      <c r="F18" s="9">
        <f>COUNTIFS('Thuê bao'!$M$2:$M$677,B18,'Thuê bao'!$N$2:$N$677,"Hoạt động")</f>
        <v/>
      </c>
      <c r="G18" s="10">
        <f>E18/'Quỹ công suất'!$C$6</f>
        <v/>
      </c>
      <c r="H18" s="9">
        <f>IF(E18=0,"Trống",IF(G18&gt;0.9,"Gần đầy","OK"))</f>
        <v/>
      </c>
      <c r="J18" s="12" t="inlineStr">
        <is>
          <t>2. Khách mới: tìm căn hộ ở "Thuê bao", đổi Trạng thái,</t>
        </is>
      </c>
    </row>
    <row r="19">
      <c r="B19" s="8" t="inlineStr">
        <is>
          <t>PON-08</t>
        </is>
      </c>
      <c r="C19" s="9" t="inlineStr">
        <is>
          <t>S4-08</t>
        </is>
      </c>
      <c r="D19" s="9">
        <f>COUNTIFS('ODF-PM &amp; PON'!$A$5:$A$68,B19,'ODF-PM &amp; PON'!$D$5:$D$68,"Đã dùng")</f>
        <v/>
      </c>
      <c r="E19" s="9">
        <f>COUNTIF('Thuê bao'!$M$2:$M$677,B19)</f>
        <v/>
      </c>
      <c r="F19" s="9">
        <f>COUNTIFS('Thuê bao'!$M$2:$M$677,B19,'Thuê bao'!$N$2:$N$677,"Hoạt động")</f>
        <v/>
      </c>
      <c r="G19" s="10">
        <f>E19/'Quỹ công suất'!$C$6</f>
        <v/>
      </c>
      <c r="H19" s="9">
        <f>IF(E19=0,"Trống",IF(G19&gt;0.9,"Gần đầy","OK"))</f>
        <v/>
      </c>
      <c r="J19" s="12" t="inlineStr">
        <is>
          <t xml:space="preserve">    ghi serial ONU. Dashboard tự cập nhật.</t>
        </is>
      </c>
    </row>
    <row r="20">
      <c r="B20" s="8" t="inlineStr">
        <is>
          <t>PON-09</t>
        </is>
      </c>
      <c r="C20" s="9" t="inlineStr">
        <is>
          <t>S4-09</t>
        </is>
      </c>
      <c r="D20" s="9">
        <f>COUNTIFS('ODF-PM &amp; PON'!$A$5:$A$68,B20,'ODF-PM &amp; PON'!$D$5:$D$68,"Đã dùng")</f>
        <v/>
      </c>
      <c r="E20" s="9">
        <f>COUNTIF('Thuê bao'!$M$2:$M$677,B20)</f>
        <v/>
      </c>
      <c r="F20" s="9">
        <f>COUNTIFS('Thuê bao'!$M$2:$M$677,B20,'Thuê bao'!$N$2:$N$677,"Hoạt động")</f>
        <v/>
      </c>
      <c r="G20" s="10">
        <f>E20/'Quỹ công suất'!$C$6</f>
        <v/>
      </c>
      <c r="H20" s="9">
        <f>IF(E20=0,"Trống",IF(G20&gt;0.9,"Gần đầy","OK"))</f>
        <v/>
      </c>
      <c r="J20" s="12" t="inlineStr">
        <is>
          <t>3. Mất tín hiệu hàng loạt → xem "Vận hành" (cây xử lý sự cố).</t>
        </is>
      </c>
    </row>
    <row r="21">
      <c r="B21" s="8" t="inlineStr">
        <is>
          <t>PON-10</t>
        </is>
      </c>
      <c r="C21" s="9" t="inlineStr">
        <is>
          <t>S4-10</t>
        </is>
      </c>
      <c r="D21" s="9">
        <f>COUNTIFS('ODF-PM &amp; PON'!$A$5:$A$68,B21,'ODF-PM &amp; PON'!$D$5:$D$68,"Đã dùng")</f>
        <v/>
      </c>
      <c r="E21" s="9">
        <f>COUNTIF('Thuê bao'!$M$2:$M$677,B21)</f>
        <v/>
      </c>
      <c r="F21" s="9">
        <f>COUNTIFS('Thuê bao'!$M$2:$M$677,B21,'Thuê bao'!$N$2:$N$677,"Hoạt động")</f>
        <v/>
      </c>
      <c r="G21" s="10">
        <f>E21/'Quỹ công suất'!$C$6</f>
        <v/>
      </c>
      <c r="H21" s="9">
        <f>IF(E21=0,"Trống",IF(G21&gt;0.9,"Gần đầy","OK"))</f>
        <v/>
      </c>
      <c r="J21" s="12" t="inlineStr">
        <is>
          <t>4. Đấu nối ODF → "ODF 48FO"; sự cố → "Sự cố &amp; khắc phục".</t>
        </is>
      </c>
    </row>
    <row r="22">
      <c r="B22" s="8" t="inlineStr">
        <is>
          <t>PON-11</t>
        </is>
      </c>
      <c r="C22" s="9" t="inlineStr">
        <is>
          <t>S4-11</t>
        </is>
      </c>
      <c r="D22" s="9">
        <f>COUNTIFS('ODF-PM &amp; PON'!$A$5:$A$68,B22,'ODF-PM &amp; PON'!$D$5:$D$68,"Đã dùng")</f>
        <v/>
      </c>
      <c r="E22" s="9">
        <f>COUNTIF('Thuê bao'!$M$2:$M$677,B22)</f>
        <v/>
      </c>
      <c r="F22" s="9">
        <f>COUNTIFS('Thuê bao'!$M$2:$M$677,B22,'Thuê bao'!$N$2:$N$677,"Hoạt động")</f>
        <v/>
      </c>
      <c r="G22" s="10">
        <f>E22/'Quỹ công suất'!$C$6</f>
        <v/>
      </c>
      <c r="H22" s="9">
        <f>IF(E22=0,"Trống",IF(G22&gt;0.9,"Gần đầy","OK"))</f>
        <v/>
      </c>
    </row>
    <row r="23">
      <c r="B23" s="8" t="inlineStr">
        <is>
          <t>PON-12</t>
        </is>
      </c>
      <c r="C23" s="9" t="inlineStr">
        <is>
          <t>S4-12</t>
        </is>
      </c>
      <c r="D23" s="9">
        <f>COUNTIFS('ODF-PM &amp; PON'!$A$5:$A$68,B23,'ODF-PM &amp; PON'!$D$5:$D$68,"Đã dùng")</f>
        <v/>
      </c>
      <c r="E23" s="9">
        <f>COUNTIF('Thuê bao'!$M$2:$M$677,B23)</f>
        <v/>
      </c>
      <c r="F23" s="9">
        <f>COUNTIFS('Thuê bao'!$M$2:$M$677,B23,'Thuê bao'!$N$2:$N$677,"Hoạt động")</f>
        <v/>
      </c>
      <c r="G23" s="10">
        <f>E23/'Quỹ công suất'!$C$6</f>
        <v/>
      </c>
      <c r="H23" s="9">
        <f>IF(E23=0,"Trống",IF(G23&gt;0.9,"Gần đầy","OK"))</f>
        <v/>
      </c>
    </row>
    <row r="24">
      <c r="B24" s="8" t="inlineStr">
        <is>
          <t>PON-13</t>
        </is>
      </c>
      <c r="C24" s="9" t="inlineStr">
        <is>
          <t>S4-13</t>
        </is>
      </c>
      <c r="D24" s="9">
        <f>COUNTIFS('ODF-PM &amp; PON'!$A$5:$A$68,B24,'ODF-PM &amp; PON'!$D$5:$D$68,"Đã dùng")</f>
        <v/>
      </c>
      <c r="E24" s="9">
        <f>COUNTIF('Thuê bao'!$M$2:$M$677,B24)</f>
        <v/>
      </c>
      <c r="F24" s="9">
        <f>COUNTIFS('Thuê bao'!$M$2:$M$677,B24,'Thuê bao'!$N$2:$N$677,"Hoạt động")</f>
        <v/>
      </c>
      <c r="G24" s="10">
        <f>E24/'Quỹ công suất'!$C$6</f>
        <v/>
      </c>
      <c r="H24" s="9">
        <f>IF(E24=0,"Trống",IF(G24&gt;0.9,"Gần đầy","OK"))</f>
        <v/>
      </c>
    </row>
    <row r="25">
      <c r="B25" s="8" t="inlineStr">
        <is>
          <t>PON-14</t>
        </is>
      </c>
      <c r="C25" s="9" t="inlineStr">
        <is>
          <t>S4-14</t>
        </is>
      </c>
      <c r="D25" s="9">
        <f>COUNTIFS('ODF-PM &amp; PON'!$A$5:$A$68,B25,'ODF-PM &amp; PON'!$D$5:$D$68,"Đã dùng")</f>
        <v/>
      </c>
      <c r="E25" s="9">
        <f>COUNTIF('Thuê bao'!$M$2:$M$677,B25)</f>
        <v/>
      </c>
      <c r="F25" s="9">
        <f>COUNTIFS('Thuê bao'!$M$2:$M$677,B25,'Thuê bao'!$N$2:$N$677,"Hoạt động")</f>
        <v/>
      </c>
      <c r="G25" s="10">
        <f>E25/'Quỹ công suất'!$C$6</f>
        <v/>
      </c>
      <c r="H25" s="9">
        <f>IF(E25=0,"Trống",IF(G25&gt;0.9,"Gần đầy","OK"))</f>
        <v/>
      </c>
    </row>
    <row r="26">
      <c r="B26" s="8" t="inlineStr">
        <is>
          <t>PON-15</t>
        </is>
      </c>
      <c r="C26" s="9" t="inlineStr">
        <is>
          <t>S4-15</t>
        </is>
      </c>
      <c r="D26" s="9">
        <f>COUNTIFS('ODF-PM &amp; PON'!$A$5:$A$68,B26,'ODF-PM &amp; PON'!$D$5:$D$68,"Đã dùng")</f>
        <v/>
      </c>
      <c r="E26" s="9">
        <f>COUNTIF('Thuê bao'!$M$2:$M$677,B26)</f>
        <v/>
      </c>
      <c r="F26" s="9">
        <f>COUNTIFS('Thuê bao'!$M$2:$M$677,B26,'Thuê bao'!$N$2:$N$677,"Hoạt động")</f>
        <v/>
      </c>
      <c r="G26" s="10">
        <f>E26/'Quỹ công suất'!$C$6</f>
        <v/>
      </c>
      <c r="H26" s="9">
        <f>IF(E26=0,"Trống",IF(G26&gt;0.9,"Gần đầy","OK"))</f>
        <v/>
      </c>
    </row>
    <row r="27">
      <c r="B27" s="8" t="inlineStr">
        <is>
          <t>PON-16</t>
        </is>
      </c>
      <c r="C27" s="9" t="inlineStr">
        <is>
          <t>S4-16</t>
        </is>
      </c>
      <c r="D27" s="9">
        <f>COUNTIFS('ODF-PM &amp; PON'!$A$5:$A$68,B27,'ODF-PM &amp; PON'!$D$5:$D$68,"Đã dùng")</f>
        <v/>
      </c>
      <c r="E27" s="9">
        <f>COUNTIF('Thuê bao'!$M$2:$M$677,B27)</f>
        <v/>
      </c>
      <c r="F27" s="9">
        <f>COUNTIFS('Thuê bao'!$M$2:$M$677,B27,'Thuê bao'!$N$2:$N$677,"Hoạt động")</f>
        <v/>
      </c>
      <c r="G27" s="10">
        <f>E27/'Quỹ công suất'!$C$6</f>
        <v/>
      </c>
      <c r="H27" s="9">
        <f>IF(E27=0,"Trống",IF(G27&gt;0.9,"Gần đầy","OK"))</f>
        <v/>
      </c>
    </row>
    <row r="28">
      <c r="B28" s="8" t="inlineStr">
        <is>
          <t>Tổng</t>
        </is>
      </c>
      <c r="C28" s="13" t="n"/>
      <c r="D28" s="8">
        <f>SUM(D12:D27)</f>
        <v/>
      </c>
      <c r="E28" s="8">
        <f>SUM(E12:E27)</f>
        <v/>
      </c>
      <c r="F28" s="8">
        <f>SUM(F12:F27)</f>
        <v/>
      </c>
      <c r="G28" s="13" t="n"/>
      <c r="H28" s="13" t="n"/>
    </row>
  </sheetData>
  <mergeCells count="16">
    <mergeCell ref="D8:E8"/>
    <mergeCell ref="F4:G4"/>
    <mergeCell ref="D7:E7"/>
    <mergeCell ref="B7:C7"/>
    <mergeCell ref="B5:C5"/>
    <mergeCell ref="H7:I7"/>
    <mergeCell ref="F5:G5"/>
    <mergeCell ref="D5:E5"/>
    <mergeCell ref="H5:I5"/>
    <mergeCell ref="D4:E4"/>
    <mergeCell ref="H4:I4"/>
    <mergeCell ref="H8:I8"/>
    <mergeCell ref="B8:C8"/>
    <mergeCell ref="B4:C4"/>
    <mergeCell ref="F7:G7"/>
    <mergeCell ref="F8:G8"/>
  </mergeCells>
  <conditionalFormatting sqref="G12:G27">
    <cfRule type="dataBar" priority="1">
      <dataBar>
        <cfvo type="num" val="0"/>
        <cfvo type="num" val="1"/>
        <color rgb="005B9BD5"/>
      </dataBar>
    </cfRule>
  </conditionalFormatting>
  <conditionalFormatting sqref="H12:H27">
    <cfRule type="cellIs" priority="2" operator="equal" dxfId="0">
      <formula>"Gần đầy"</formula>
    </cfRule>
    <cfRule type="cellIs" priority="3" operator="equal" dxfId="1">
      <formula>"Trống"</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tabColor rgb="002F6FDE"/>
    <outlinePr summaryBelow="1" summaryRight="1"/>
    <pageSetUpPr fitToPage="1"/>
  </sheetPr>
  <dimension ref="A1:S32"/>
  <sheetViews>
    <sheetView showGridLines="0" zoomScale="90" workbookViewId="0">
      <selection activeCell="A1" sqref="A1"/>
    </sheetView>
  </sheetViews>
  <sheetFormatPr baseColWidth="8" defaultRowHeight="15"/>
  <cols>
    <col width="2" customWidth="1" min="1" max="1"/>
    <col width="7" customWidth="1" min="2" max="2"/>
    <col width="6" customWidth="1" min="3" max="3"/>
    <col width="6" customWidth="1" min="4" max="4"/>
    <col width="6" customWidth="1" min="5" max="5"/>
    <col width="18" customWidth="1" min="6" max="6"/>
    <col width="7" customWidth="1" min="7" max="7"/>
    <col width="12" customWidth="1" min="8" max="8"/>
    <col width="9" customWidth="1" min="9" max="9"/>
    <col width="7" customWidth="1" min="12" max="12"/>
    <col width="6" customWidth="1" min="13" max="13"/>
    <col width="6" customWidth="1" min="14" max="14"/>
    <col width="6" customWidth="1" min="15" max="15"/>
    <col width="18" customWidth="1" min="16" max="16"/>
    <col width="7" customWidth="1" min="17" max="17"/>
    <col width="12" customWidth="1" min="18" max="18"/>
    <col width="9" customWidth="1" min="19" max="19"/>
  </cols>
  <sheetData>
    <row r="1">
      <c r="A1" s="1" t="inlineStr">
        <is>
          <t>Sơ đồ trục thông tầng – Tháp A &amp; Tháp B (số hoá từ sổ tay)</t>
        </is>
      </c>
    </row>
    <row r="2">
      <c r="A2" s="2" t="inlineStr">
        <is>
          <t>Ô đậm = tủ đặt tại tầng đó (ghi "gom nT/số hộ": gom n tầng); các hàng "│ TU-xx" là tầng thuộc cụm tủ đó. ⚠ = tủ đặt khác tầng gom (xem sheet "Đối chiếu bản vẽ"). Cột Trục 1-3 = cáp trục 24FO TR-x1 (thấp) … TR-x3 (cao).</t>
        </is>
      </c>
    </row>
    <row r="4">
      <c r="B4" s="14" t="inlineStr">
        <is>
          <t>THÁP A</t>
        </is>
      </c>
      <c r="L4" s="14" t="inlineStr">
        <is>
          <t>THÁP B</t>
        </is>
      </c>
    </row>
    <row r="5" ht="22" customHeight="1">
      <c r="B5" s="7" t="inlineStr">
        <is>
          <t>Tầng</t>
        </is>
      </c>
      <c r="C5" s="7" t="inlineStr">
        <is>
          <t>Trục 1</t>
        </is>
      </c>
      <c r="D5" s="7" t="inlineStr">
        <is>
          <t>Trục 2</t>
        </is>
      </c>
      <c r="E5" s="7" t="inlineStr">
        <is>
          <t>Trục 3</t>
        </is>
      </c>
      <c r="F5" s="7" t="inlineStr">
        <is>
          <t>Tủ</t>
        </is>
      </c>
      <c r="G5" s="7" t="inlineStr">
        <is>
          <t>Số hộ</t>
        </is>
      </c>
      <c r="H5" s="7" t="inlineStr">
        <is>
          <t>PON</t>
        </is>
      </c>
      <c r="I5" s="7" t="inlineStr">
        <is>
          <t>Splitter</t>
        </is>
      </c>
      <c r="L5" s="7" t="inlineStr">
        <is>
          <t>Tầng</t>
        </is>
      </c>
      <c r="M5" s="7" t="inlineStr">
        <is>
          <t>Trục 1</t>
        </is>
      </c>
      <c r="N5" s="7" t="inlineStr">
        <is>
          <t>Trục 2</t>
        </is>
      </c>
      <c r="O5" s="7" t="inlineStr">
        <is>
          <t>Trục 3</t>
        </is>
      </c>
      <c r="P5" s="7" t="inlineStr">
        <is>
          <t>Tủ</t>
        </is>
      </c>
      <c r="Q5" s="7" t="inlineStr">
        <is>
          <t>Số hộ</t>
        </is>
      </c>
      <c r="R5" s="7" t="inlineStr">
        <is>
          <t>PON</t>
        </is>
      </c>
      <c r="S5" s="7" t="inlineStr">
        <is>
          <t>Splitter</t>
        </is>
      </c>
    </row>
    <row r="6" ht="18" customHeight="1">
      <c r="B6" s="15" t="inlineStr">
        <is>
          <t>23F</t>
        </is>
      </c>
      <c r="C6" s="16" t="n"/>
      <c r="D6" s="16" t="n"/>
      <c r="E6" s="17" t="inlineStr">
        <is>
          <t>●</t>
        </is>
      </c>
      <c r="F6" s="18" t="inlineStr">
        <is>
          <t>TU-A23  (1×1:16)</t>
        </is>
      </c>
      <c r="G6" s="9" t="n">
        <v>14</v>
      </c>
      <c r="H6" s="19" t="inlineStr">
        <is>
          <t>PON-08</t>
        </is>
      </c>
      <c r="I6" s="19" t="inlineStr">
        <is>
          <t>gom 1T/14</t>
        </is>
      </c>
      <c r="L6" s="15" t="inlineStr">
        <is>
          <t>23F</t>
        </is>
      </c>
      <c r="M6" s="16" t="n"/>
      <c r="N6" s="16" t="n"/>
      <c r="O6" s="17" t="inlineStr">
        <is>
          <t>●</t>
        </is>
      </c>
      <c r="P6" s="18" t="inlineStr">
        <is>
          <t>TU-B23  (2×1:16)</t>
        </is>
      </c>
      <c r="Q6" s="9" t="n">
        <v>14</v>
      </c>
      <c r="R6" s="19" t="inlineStr">
        <is>
          <t>PON-16</t>
        </is>
      </c>
      <c r="S6" s="19" t="inlineStr">
        <is>
          <t>gom 2T/28</t>
        </is>
      </c>
    </row>
    <row r="7" ht="18" customHeight="1">
      <c r="B7" s="15" t="inlineStr">
        <is>
          <t>22F</t>
        </is>
      </c>
      <c r="C7" s="16" t="n"/>
      <c r="D7" s="16" t="n"/>
      <c r="E7" s="20" t="n"/>
      <c r="F7" s="21" t="inlineStr">
        <is>
          <t>│ TU-A21</t>
        </is>
      </c>
      <c r="G7" s="9" t="n">
        <v>14</v>
      </c>
      <c r="H7" s="9" t="inlineStr"/>
      <c r="I7" s="9" t="inlineStr"/>
      <c r="L7" s="15" t="inlineStr">
        <is>
          <t>22F</t>
        </is>
      </c>
      <c r="M7" s="16" t="n"/>
      <c r="N7" s="16" t="n"/>
      <c r="O7" s="20" t="n"/>
      <c r="P7" s="22" t="inlineStr">
        <is>
          <t>│ TU-B23</t>
        </is>
      </c>
      <c r="Q7" s="9" t="n">
        <v>14</v>
      </c>
      <c r="R7" s="9" t="inlineStr"/>
      <c r="S7" s="9" t="inlineStr"/>
    </row>
    <row r="8" ht="18" customHeight="1">
      <c r="B8" s="15" t="inlineStr">
        <is>
          <t>21F</t>
        </is>
      </c>
      <c r="C8" s="16" t="n"/>
      <c r="D8" s="16" t="n"/>
      <c r="E8" s="17" t="inlineStr">
        <is>
          <t>●</t>
        </is>
      </c>
      <c r="F8" s="23" t="inlineStr">
        <is>
          <t>TU-A21  (3×1:16)</t>
        </is>
      </c>
      <c r="G8" s="9" t="n">
        <v>14</v>
      </c>
      <c r="H8" s="24" t="inlineStr">
        <is>
          <t>PON-08</t>
        </is>
      </c>
      <c r="I8" s="24" t="inlineStr">
        <is>
          <t>gom 3T/42</t>
        </is>
      </c>
      <c r="L8" s="15" t="inlineStr">
        <is>
          <t>21F</t>
        </is>
      </c>
      <c r="M8" s="16" t="n"/>
      <c r="N8" s="16" t="n"/>
      <c r="O8" s="20" t="n"/>
      <c r="P8" s="25" t="inlineStr">
        <is>
          <t>│ TU-B20</t>
        </is>
      </c>
      <c r="Q8" s="9" t="n">
        <v>14</v>
      </c>
      <c r="R8" s="9" t="inlineStr"/>
      <c r="S8" s="9" t="inlineStr"/>
    </row>
    <row r="9" ht="18" customHeight="1">
      <c r="B9" s="15" t="inlineStr">
        <is>
          <t>20F</t>
        </is>
      </c>
      <c r="C9" s="16" t="n"/>
      <c r="D9" s="16" t="n"/>
      <c r="E9" s="20" t="n"/>
      <c r="F9" s="21" t="inlineStr">
        <is>
          <t>│ TU-A21</t>
        </is>
      </c>
      <c r="G9" s="9" t="n">
        <v>14</v>
      </c>
      <c r="H9" s="9" t="inlineStr"/>
      <c r="I9" s="9" t="inlineStr"/>
      <c r="L9" s="15" t="inlineStr">
        <is>
          <t>20F</t>
        </is>
      </c>
      <c r="M9" s="16" t="n"/>
      <c r="N9" s="16" t="n"/>
      <c r="O9" s="17" t="inlineStr">
        <is>
          <t>●</t>
        </is>
      </c>
      <c r="P9" s="26" t="inlineStr">
        <is>
          <t>TU-B20  (3×1:16)</t>
        </is>
      </c>
      <c r="Q9" s="9" t="n">
        <v>14</v>
      </c>
      <c r="R9" s="27" t="inlineStr">
        <is>
          <t>PON-15,16</t>
        </is>
      </c>
      <c r="S9" s="27" t="inlineStr">
        <is>
          <t>gom 3T/42</t>
        </is>
      </c>
    </row>
    <row r="10" ht="18" customHeight="1">
      <c r="B10" s="15" t="inlineStr">
        <is>
          <t>19F</t>
        </is>
      </c>
      <c r="C10" s="16" t="n"/>
      <c r="D10" s="16" t="n"/>
      <c r="E10" s="20" t="n"/>
      <c r="F10" s="28" t="inlineStr">
        <is>
          <t>│ TU-A18</t>
        </is>
      </c>
      <c r="G10" s="9" t="n">
        <v>14</v>
      </c>
      <c r="H10" s="9" t="inlineStr"/>
      <c r="I10" s="9" t="inlineStr"/>
      <c r="L10" s="15" t="inlineStr">
        <is>
          <t>19F</t>
        </is>
      </c>
      <c r="M10" s="16" t="n"/>
      <c r="N10" s="16" t="n"/>
      <c r="O10" s="20" t="n"/>
      <c r="P10" s="25" t="inlineStr">
        <is>
          <t>│ TU-B20</t>
        </is>
      </c>
      <c r="Q10" s="9" t="n">
        <v>14</v>
      </c>
      <c r="R10" s="9" t="inlineStr"/>
      <c r="S10" s="9" t="inlineStr"/>
    </row>
    <row r="11" ht="18" customHeight="1">
      <c r="B11" s="15" t="inlineStr">
        <is>
          <t>18F</t>
        </is>
      </c>
      <c r="C11" s="16" t="n"/>
      <c r="D11" s="16" t="n"/>
      <c r="E11" s="17" t="inlineStr">
        <is>
          <t>●</t>
        </is>
      </c>
      <c r="F11" s="29" t="inlineStr">
        <is>
          <t>TU-A18  (3×1:16)</t>
        </is>
      </c>
      <c r="G11" s="9" t="n">
        <v>14</v>
      </c>
      <c r="H11" s="30" t="inlineStr">
        <is>
          <t>PON-07</t>
        </is>
      </c>
      <c r="I11" s="30" t="inlineStr">
        <is>
          <t>gom 3T/42</t>
        </is>
      </c>
      <c r="L11" s="15" t="inlineStr">
        <is>
          <t>18F</t>
        </is>
      </c>
      <c r="M11" s="16" t="n"/>
      <c r="N11" s="16" t="n"/>
      <c r="O11" s="20" t="n"/>
      <c r="P11" s="31" t="inlineStr">
        <is>
          <t>│ TU-B17</t>
        </is>
      </c>
      <c r="Q11" s="9" t="n">
        <v>14</v>
      </c>
      <c r="R11" s="9" t="inlineStr"/>
      <c r="S11" s="9" t="inlineStr"/>
    </row>
    <row r="12" ht="18" customHeight="1">
      <c r="B12" s="15" t="inlineStr">
        <is>
          <t>17F</t>
        </is>
      </c>
      <c r="C12" s="16" t="n"/>
      <c r="D12" s="16" t="n"/>
      <c r="E12" s="20" t="n"/>
      <c r="F12" s="28" t="inlineStr">
        <is>
          <t>│ TU-A18</t>
        </is>
      </c>
      <c r="G12" s="9" t="n">
        <v>14</v>
      </c>
      <c r="H12" s="9" t="inlineStr"/>
      <c r="I12" s="9" t="inlineStr"/>
      <c r="L12" s="15" t="inlineStr">
        <is>
          <t>17F</t>
        </is>
      </c>
      <c r="M12" s="16" t="n"/>
      <c r="N12" s="16" t="n"/>
      <c r="O12" s="17" t="inlineStr">
        <is>
          <t>●</t>
        </is>
      </c>
      <c r="P12" s="32" t="inlineStr">
        <is>
          <t>TU-B17  (3×1:16)</t>
        </is>
      </c>
      <c r="Q12" s="9" t="n">
        <v>14</v>
      </c>
      <c r="R12" s="33" t="inlineStr">
        <is>
          <t>PON-14,15</t>
        </is>
      </c>
      <c r="S12" s="33" t="inlineStr">
        <is>
          <t>gom 3T/42</t>
        </is>
      </c>
    </row>
    <row r="13" ht="18" customHeight="1">
      <c r="B13" s="15" t="inlineStr">
        <is>
          <t>16F</t>
        </is>
      </c>
      <c r="C13" s="16" t="n"/>
      <c r="D13" s="16" t="n"/>
      <c r="E13" s="20" t="n"/>
      <c r="F13" s="34" t="inlineStr">
        <is>
          <t>│ TU-A15</t>
        </is>
      </c>
      <c r="G13" s="9" t="n">
        <v>14</v>
      </c>
      <c r="H13" s="9" t="inlineStr"/>
      <c r="I13" s="9" t="inlineStr"/>
      <c r="L13" s="15" t="inlineStr">
        <is>
          <t>16F</t>
        </is>
      </c>
      <c r="M13" s="16" t="n"/>
      <c r="N13" s="16" t="n"/>
      <c r="O13" s="20" t="n"/>
      <c r="P13" s="31" t="inlineStr">
        <is>
          <t>│ TU-B17</t>
        </is>
      </c>
      <c r="Q13" s="9" t="n">
        <v>14</v>
      </c>
      <c r="R13" s="9" t="inlineStr"/>
      <c r="S13" s="9" t="inlineStr"/>
    </row>
    <row r="14" ht="18" customHeight="1">
      <c r="B14" s="15" t="inlineStr">
        <is>
          <t>15F</t>
        </is>
      </c>
      <c r="C14" s="16" t="n"/>
      <c r="D14" s="35" t="inlineStr">
        <is>
          <t>●</t>
        </is>
      </c>
      <c r="E14" s="20" t="n"/>
      <c r="F14" s="36" t="inlineStr">
        <is>
          <t>TU-A15  (3×1:16)</t>
        </is>
      </c>
      <c r="G14" s="9" t="n">
        <v>14</v>
      </c>
      <c r="H14" s="37" t="inlineStr">
        <is>
          <t>PON-06</t>
        </is>
      </c>
      <c r="I14" s="37" t="inlineStr">
        <is>
          <t>gom 3T/42</t>
        </is>
      </c>
      <c r="L14" s="15" t="inlineStr">
        <is>
          <t>15F</t>
        </is>
      </c>
      <c r="M14" s="16" t="n"/>
      <c r="N14" s="16" t="n"/>
      <c r="O14" s="20" t="n"/>
      <c r="P14" s="38" t="inlineStr">
        <is>
          <t>│ TU-B14</t>
        </is>
      </c>
      <c r="Q14" s="9" t="n">
        <v>14</v>
      </c>
      <c r="R14" s="9" t="inlineStr"/>
      <c r="S14" s="9" t="inlineStr"/>
    </row>
    <row r="15" ht="18" customHeight="1">
      <c r="B15" s="15" t="inlineStr">
        <is>
          <t>14F</t>
        </is>
      </c>
      <c r="C15" s="16" t="n"/>
      <c r="D15" s="39" t="n"/>
      <c r="E15" s="20" t="n"/>
      <c r="F15" s="34" t="inlineStr">
        <is>
          <t>│ TU-A15</t>
        </is>
      </c>
      <c r="G15" s="9" t="n">
        <v>14</v>
      </c>
      <c r="H15" s="9" t="inlineStr"/>
      <c r="I15" s="9" t="inlineStr"/>
      <c r="L15" s="15" t="inlineStr">
        <is>
          <t>14F</t>
        </is>
      </c>
      <c r="M15" s="16" t="n"/>
      <c r="N15" s="35" t="inlineStr">
        <is>
          <t>●</t>
        </is>
      </c>
      <c r="O15" s="20" t="n"/>
      <c r="P15" s="40" t="inlineStr">
        <is>
          <t>TU-B14  (3×1:16)</t>
        </is>
      </c>
      <c r="Q15" s="9" t="n">
        <v>14</v>
      </c>
      <c r="R15" s="41" t="inlineStr">
        <is>
          <t>PON-13,14</t>
        </is>
      </c>
      <c r="S15" s="41" t="inlineStr">
        <is>
          <t>gom 3T/42</t>
        </is>
      </c>
    </row>
    <row r="16" ht="18" customHeight="1">
      <c r="B16" s="15" t="inlineStr">
        <is>
          <t>12AF</t>
        </is>
      </c>
      <c r="C16" s="16" t="n"/>
      <c r="D16" s="39" t="n"/>
      <c r="E16" s="20" t="n"/>
      <c r="F16" s="42" t="inlineStr">
        <is>
          <t>│ TU-A12</t>
        </is>
      </c>
      <c r="G16" s="9" t="n">
        <v>14</v>
      </c>
      <c r="H16" s="9" t="inlineStr"/>
      <c r="I16" s="9" t="inlineStr"/>
      <c r="L16" s="15" t="inlineStr">
        <is>
          <t>12AF</t>
        </is>
      </c>
      <c r="M16" s="16" t="n"/>
      <c r="N16" s="39" t="n"/>
      <c r="O16" s="20" t="n"/>
      <c r="P16" s="38" t="inlineStr">
        <is>
          <t>│ TU-B14</t>
        </is>
      </c>
      <c r="Q16" s="9" t="n">
        <v>14</v>
      </c>
      <c r="R16" s="9" t="inlineStr"/>
      <c r="S16" s="9" t="inlineStr"/>
    </row>
    <row r="17" ht="18" customHeight="1">
      <c r="B17" s="15" t="inlineStr">
        <is>
          <t>12F</t>
        </is>
      </c>
      <c r="C17" s="16" t="n"/>
      <c r="D17" s="35" t="inlineStr">
        <is>
          <t>●</t>
        </is>
      </c>
      <c r="E17" s="20" t="n"/>
      <c r="F17" s="43" t="inlineStr">
        <is>
          <t>TU-A12  (3×1:16)</t>
        </is>
      </c>
      <c r="G17" s="9" t="n">
        <v>15</v>
      </c>
      <c r="H17" s="44" t="inlineStr">
        <is>
          <t>PON-05</t>
        </is>
      </c>
      <c r="I17" s="44" t="inlineStr">
        <is>
          <t>gom 3T/44</t>
        </is>
      </c>
      <c r="L17" s="15" t="inlineStr">
        <is>
          <t>12F</t>
        </is>
      </c>
      <c r="M17" s="16" t="n"/>
      <c r="N17" s="39" t="n"/>
      <c r="O17" s="20" t="n"/>
      <c r="P17" s="45" t="inlineStr">
        <is>
          <t>│ TU-B11</t>
        </is>
      </c>
      <c r="Q17" s="9" t="n">
        <v>14</v>
      </c>
      <c r="R17" s="9" t="inlineStr"/>
      <c r="S17" s="9" t="inlineStr"/>
    </row>
    <row r="18" ht="18" customHeight="1">
      <c r="B18" s="15" t="inlineStr">
        <is>
          <t>11F</t>
        </is>
      </c>
      <c r="C18" s="16" t="n"/>
      <c r="D18" s="39" t="n"/>
      <c r="E18" s="20" t="n"/>
      <c r="F18" s="42" t="inlineStr">
        <is>
          <t>│ TU-A12</t>
        </is>
      </c>
      <c r="G18" s="9" t="n">
        <v>15</v>
      </c>
      <c r="H18" s="9" t="inlineStr"/>
      <c r="I18" s="9" t="inlineStr"/>
      <c r="L18" s="15" t="inlineStr">
        <is>
          <t>11F</t>
        </is>
      </c>
      <c r="M18" s="16" t="n"/>
      <c r="N18" s="35" t="inlineStr">
        <is>
          <t>●</t>
        </is>
      </c>
      <c r="O18" s="20" t="n"/>
      <c r="P18" s="46" t="inlineStr">
        <is>
          <t>TU-B11  (3×1:16)</t>
        </is>
      </c>
      <c r="Q18" s="9" t="n">
        <v>14</v>
      </c>
      <c r="R18" s="47" t="inlineStr">
        <is>
          <t>PON-12,13</t>
        </is>
      </c>
      <c r="S18" s="47" t="inlineStr">
        <is>
          <t>gom 3T/42</t>
        </is>
      </c>
    </row>
    <row r="19" ht="18" customHeight="1">
      <c r="B19" s="15" t="inlineStr">
        <is>
          <t>10F</t>
        </is>
      </c>
      <c r="C19" s="16" t="n"/>
      <c r="D19" s="39" t="n"/>
      <c r="E19" s="20" t="n"/>
      <c r="F19" s="48" t="inlineStr">
        <is>
          <t>│ TU-A9</t>
        </is>
      </c>
      <c r="G19" s="9" t="n">
        <v>15</v>
      </c>
      <c r="H19" s="9" t="inlineStr"/>
      <c r="I19" s="9" t="inlineStr"/>
      <c r="L19" s="15" t="inlineStr">
        <is>
          <t>10F</t>
        </is>
      </c>
      <c r="M19" s="16" t="n"/>
      <c r="N19" s="39" t="n"/>
      <c r="O19" s="20" t="n"/>
      <c r="P19" s="45" t="inlineStr">
        <is>
          <t>│ TU-B11</t>
        </is>
      </c>
      <c r="Q19" s="9" t="n">
        <v>14</v>
      </c>
      <c r="R19" s="9" t="inlineStr"/>
      <c r="S19" s="9" t="inlineStr"/>
    </row>
    <row r="20" ht="18" customHeight="1">
      <c r="B20" s="15" t="inlineStr">
        <is>
          <t>9F</t>
        </is>
      </c>
      <c r="C20" s="16" t="n"/>
      <c r="D20" s="35" t="inlineStr">
        <is>
          <t>●</t>
        </is>
      </c>
      <c r="E20" s="20" t="n"/>
      <c r="F20" s="49" t="inlineStr">
        <is>
          <t>TU-A9  (3×1:16)</t>
        </is>
      </c>
      <c r="G20" s="9" t="n">
        <v>15</v>
      </c>
      <c r="H20" s="50" t="inlineStr">
        <is>
          <t>PON-04</t>
        </is>
      </c>
      <c r="I20" s="50" t="inlineStr">
        <is>
          <t>gom 3T/45</t>
        </is>
      </c>
      <c r="L20" s="15" t="inlineStr">
        <is>
          <t>9F</t>
        </is>
      </c>
      <c r="M20" s="16" t="n"/>
      <c r="N20" s="39" t="n"/>
      <c r="O20" s="20" t="n"/>
      <c r="P20" s="51" t="inlineStr">
        <is>
          <t>│ TU-B8</t>
        </is>
      </c>
      <c r="Q20" s="9" t="n">
        <v>14</v>
      </c>
      <c r="R20" s="9" t="inlineStr"/>
      <c r="S20" s="9" t="inlineStr"/>
    </row>
    <row r="21" ht="18" customHeight="1">
      <c r="B21" s="15" t="inlineStr">
        <is>
          <t>8F</t>
        </is>
      </c>
      <c r="C21" s="16" t="n"/>
      <c r="D21" s="39" t="n"/>
      <c r="E21" s="20" t="n"/>
      <c r="F21" s="48" t="inlineStr">
        <is>
          <t>│ TU-A9</t>
        </is>
      </c>
      <c r="G21" s="9" t="n">
        <v>15</v>
      </c>
      <c r="H21" s="9" t="inlineStr"/>
      <c r="I21" s="9" t="inlineStr"/>
      <c r="L21" s="15" t="inlineStr">
        <is>
          <t>8F</t>
        </is>
      </c>
      <c r="M21" s="16" t="n"/>
      <c r="N21" s="35" t="inlineStr">
        <is>
          <t>●</t>
        </is>
      </c>
      <c r="O21" s="20" t="n"/>
      <c r="P21" s="52" t="inlineStr">
        <is>
          <t>TU-B8  (3×1:16)</t>
        </is>
      </c>
      <c r="Q21" s="9" t="n">
        <v>14</v>
      </c>
      <c r="R21" s="53" t="inlineStr">
        <is>
          <t>PON-11,12</t>
        </is>
      </c>
      <c r="S21" s="53" t="inlineStr">
        <is>
          <t>gom 3T/42</t>
        </is>
      </c>
    </row>
    <row r="22" ht="18" customHeight="1">
      <c r="B22" s="15" t="inlineStr">
        <is>
          <t>7F</t>
        </is>
      </c>
      <c r="C22" s="54" t="inlineStr">
        <is>
          <t>●</t>
        </is>
      </c>
      <c r="D22" s="39" t="n"/>
      <c r="E22" s="20" t="n"/>
      <c r="F22" s="55" t="inlineStr">
        <is>
          <t>TU-A7  (3×1:16)</t>
        </is>
      </c>
      <c r="G22" s="9" t="n">
        <v>15</v>
      </c>
      <c r="H22" s="56" t="inlineStr">
        <is>
          <t>PON-03</t>
        </is>
      </c>
      <c r="I22" s="56" t="inlineStr">
        <is>
          <t>gom 3T/45</t>
        </is>
      </c>
      <c r="L22" s="15" t="inlineStr">
        <is>
          <t>7F</t>
        </is>
      </c>
      <c r="M22" s="16" t="n"/>
      <c r="N22" s="39" t="n"/>
      <c r="O22" s="20" t="n"/>
      <c r="P22" s="51" t="inlineStr">
        <is>
          <t>│ TU-B8</t>
        </is>
      </c>
      <c r="Q22" s="9" t="n">
        <v>14</v>
      </c>
      <c r="R22" s="9" t="inlineStr"/>
      <c r="S22" s="9" t="inlineStr"/>
    </row>
    <row r="23" ht="18" customHeight="1">
      <c r="B23" s="15" t="inlineStr">
        <is>
          <t>6F</t>
        </is>
      </c>
      <c r="C23" s="57" t="n"/>
      <c r="D23" s="39" t="n"/>
      <c r="E23" s="20" t="n"/>
      <c r="F23" s="58" t="inlineStr">
        <is>
          <t>│ TU-A7</t>
        </is>
      </c>
      <c r="G23" s="9" t="n">
        <v>15</v>
      </c>
      <c r="H23" s="9" t="inlineStr"/>
      <c r="I23" s="9" t="inlineStr"/>
      <c r="L23" s="15" t="inlineStr">
        <is>
          <t>6F</t>
        </is>
      </c>
      <c r="M23" s="16" t="n"/>
      <c r="N23" s="39" t="n"/>
      <c r="O23" s="20" t="n"/>
      <c r="P23" s="59" t="inlineStr">
        <is>
          <t>│ TU-B5</t>
        </is>
      </c>
      <c r="Q23" s="9" t="n">
        <v>14</v>
      </c>
      <c r="R23" s="9" t="inlineStr"/>
      <c r="S23" s="9" t="inlineStr"/>
    </row>
    <row r="24" ht="18" customHeight="1">
      <c r="B24" s="15" t="inlineStr">
        <is>
          <t>5F</t>
        </is>
      </c>
      <c r="C24" s="54" t="inlineStr">
        <is>
          <t>●</t>
        </is>
      </c>
      <c r="D24" s="39" t="n"/>
      <c r="E24" s="20" t="n"/>
      <c r="F24" s="60" t="inlineStr">
        <is>
          <t>TU-A5  (3×1:16)  ⚠</t>
        </is>
      </c>
      <c r="G24" s="9" t="n">
        <v>15</v>
      </c>
      <c r="H24" s="61" t="inlineStr">
        <is>
          <t>PON-02</t>
        </is>
      </c>
      <c r="I24" s="61" t="inlineStr">
        <is>
          <t>gom 2T/35</t>
        </is>
      </c>
      <c r="L24" s="15" t="inlineStr">
        <is>
          <t>5F</t>
        </is>
      </c>
      <c r="M24" s="54" t="inlineStr">
        <is>
          <t>●</t>
        </is>
      </c>
      <c r="N24" s="39" t="n"/>
      <c r="O24" s="20" t="n"/>
      <c r="P24" s="62" t="inlineStr">
        <is>
          <t>TU-B5  (3×1:16)</t>
        </is>
      </c>
      <c r="Q24" s="9" t="n">
        <v>14</v>
      </c>
      <c r="R24" s="63" t="inlineStr">
        <is>
          <t>PON-10,11</t>
        </is>
      </c>
      <c r="S24" s="63" t="inlineStr">
        <is>
          <t>gom 3T/42</t>
        </is>
      </c>
    </row>
    <row r="25" ht="18" customHeight="1">
      <c r="B25" s="15" t="inlineStr">
        <is>
          <t>4F</t>
        </is>
      </c>
      <c r="C25" s="57" t="n"/>
      <c r="D25" s="39" t="n"/>
      <c r="E25" s="20" t="n"/>
      <c r="F25" s="64" t="inlineStr">
        <is>
          <t>│ TU-A5</t>
        </is>
      </c>
      <c r="G25" s="9" t="n">
        <v>15</v>
      </c>
      <c r="H25" s="9" t="inlineStr"/>
      <c r="I25" s="9" t="inlineStr"/>
      <c r="L25" s="15" t="inlineStr">
        <is>
          <t>4F</t>
        </is>
      </c>
      <c r="M25" s="57" t="n"/>
      <c r="N25" s="39" t="n"/>
      <c r="O25" s="20" t="n"/>
      <c r="P25" s="59" t="inlineStr">
        <is>
          <t>│ TU-B5</t>
        </is>
      </c>
      <c r="Q25" s="9" t="n">
        <v>14</v>
      </c>
      <c r="R25" s="9" t="inlineStr"/>
      <c r="S25" s="9" t="inlineStr"/>
    </row>
    <row r="26" ht="18" customHeight="1">
      <c r="B26" s="15" t="inlineStr">
        <is>
          <t>3F</t>
        </is>
      </c>
      <c r="C26" s="57" t="n"/>
      <c r="D26" s="39" t="n"/>
      <c r="E26" s="20" t="n"/>
      <c r="F26" s="64" t="inlineStr">
        <is>
          <t>│ TU-A5</t>
        </is>
      </c>
      <c r="G26" s="9" t="n">
        <v>20</v>
      </c>
      <c r="H26" s="9" t="inlineStr"/>
      <c r="I26" s="9" t="inlineStr"/>
      <c r="L26" s="15" t="inlineStr">
        <is>
          <t>3F</t>
        </is>
      </c>
      <c r="M26" s="57" t="n"/>
      <c r="N26" s="39" t="n"/>
      <c r="O26" s="20" t="n"/>
      <c r="P26" s="65" t="inlineStr">
        <is>
          <t>│ TU-B2</t>
        </is>
      </c>
      <c r="Q26" s="9" t="n">
        <v>17</v>
      </c>
      <c r="R26" s="9" t="inlineStr"/>
      <c r="S26" s="9" t="inlineStr"/>
    </row>
    <row r="27" ht="18" customHeight="1">
      <c r="B27" s="15" t="inlineStr">
        <is>
          <t>2F</t>
        </is>
      </c>
      <c r="C27" s="54" t="inlineStr">
        <is>
          <t>●</t>
        </is>
      </c>
      <c r="D27" s="39" t="n"/>
      <c r="E27" s="20" t="n"/>
      <c r="F27" s="66" t="inlineStr">
        <is>
          <t>TU-A2  (3×1:16)</t>
        </is>
      </c>
      <c r="G27" s="9" t="n">
        <v>27</v>
      </c>
      <c r="H27" s="67" t="inlineStr">
        <is>
          <t>PON-01</t>
        </is>
      </c>
      <c r="I27" s="67" t="inlineStr">
        <is>
          <t>gom 2T/39</t>
        </is>
      </c>
      <c r="L27" s="15" t="inlineStr">
        <is>
          <t>2F</t>
        </is>
      </c>
      <c r="M27" s="54" t="inlineStr">
        <is>
          <t>●</t>
        </is>
      </c>
      <c r="N27" s="39" t="n"/>
      <c r="O27" s="20" t="n"/>
      <c r="P27" s="68" t="inlineStr">
        <is>
          <t>TU-B2  (5×1:16)</t>
        </is>
      </c>
      <c r="Q27" s="9" t="n">
        <v>22</v>
      </c>
      <c r="R27" s="69" t="inlineStr">
        <is>
          <t>PON-09,10</t>
        </is>
      </c>
      <c r="S27" s="69" t="inlineStr">
        <is>
          <t>gom 3T/48</t>
        </is>
      </c>
    </row>
    <row r="28" ht="18" customHeight="1">
      <c r="B28" s="15" t="inlineStr">
        <is>
          <t>1F</t>
        </is>
      </c>
      <c r="C28" s="57" t="n"/>
      <c r="D28" s="39" t="n"/>
      <c r="E28" s="20" t="n"/>
      <c r="F28" s="70" t="inlineStr">
        <is>
          <t>│ TU-A2</t>
        </is>
      </c>
      <c r="G28" s="9" t="n">
        <v>12</v>
      </c>
      <c r="H28" s="9" t="inlineStr"/>
      <c r="I28" s="9" t="inlineStr"/>
      <c r="L28" s="15" t="inlineStr">
        <is>
          <t>1F</t>
        </is>
      </c>
      <c r="M28" s="57" t="n"/>
      <c r="N28" s="39" t="n"/>
      <c r="O28" s="20" t="n"/>
      <c r="P28" s="65" t="inlineStr">
        <is>
          <t>│ TU-B2</t>
        </is>
      </c>
      <c r="Q28" s="9" t="n">
        <v>9</v>
      </c>
      <c r="R28" s="9" t="inlineStr"/>
      <c r="S28" s="9" t="inlineStr"/>
    </row>
    <row r="29">
      <c r="B29" s="71" t="inlineStr">
        <is>
          <t>▼ PHÒNG MÁY (hầm B1): ODF 48FO + 16 splitter 1:4 + OLT 16 PON</t>
        </is>
      </c>
      <c r="L29" s="71" t="inlineStr">
        <is>
          <t>▼ PHÒNG MÁY (hầm B1): ODF 48FO + 16 splitter 1:4 + OLT 16 PON</t>
        </is>
      </c>
    </row>
    <row r="30">
      <c r="C30" s="72" t="inlineStr">
        <is>
          <t>A1</t>
        </is>
      </c>
      <c r="D30" s="73" t="inlineStr">
        <is>
          <t>A2</t>
        </is>
      </c>
      <c r="E30" s="74" t="inlineStr">
        <is>
          <t>A3</t>
        </is>
      </c>
      <c r="M30" s="72" t="inlineStr">
        <is>
          <t>B1</t>
        </is>
      </c>
      <c r="N30" s="73" t="inlineStr">
        <is>
          <t>B2</t>
        </is>
      </c>
      <c r="O30" s="74" t="inlineStr">
        <is>
          <t>B3</t>
        </is>
      </c>
    </row>
    <row r="32">
      <c r="B32" s="75" t="inlineStr">
        <is>
          <t>Chú giải: ● = tủ trên trục; 3 màu xanh/cam/lục = 3 cáp trục 24FO của mỗi tháp (TR-x1 = cụm tầng thấp; mỗi cáp chia 8FO/tủ). Tầng 13 không có (12A thay thế).</t>
        </is>
      </c>
    </row>
  </sheetData>
  <mergeCells count="4">
    <mergeCell ref="L4:S4"/>
    <mergeCell ref="L29:S29"/>
    <mergeCell ref="B4:I4"/>
    <mergeCell ref="B29:I29"/>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2F6FDE"/>
    <outlinePr summaryBelow="1" summaryRight="1"/>
    <pageSetUpPr fitToPage="1"/>
  </sheetPr>
  <dimension ref="A1:P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9" customWidth="1" min="3" max="3"/>
    <col width="20" customWidth="1" min="4" max="4"/>
    <col width="10" customWidth="1" min="5" max="5"/>
    <col width="12" customWidth="1" min="6" max="6"/>
    <col width="9" customWidth="1" min="7" max="7"/>
    <col width="11" customWidth="1" min="8" max="8"/>
    <col width="11" customWidth="1" min="9" max="9"/>
    <col width="10" customWidth="1" min="10" max="10"/>
    <col width="10" customWidth="1" min="11" max="11"/>
    <col width="12" customWidth="1" min="12" max="12"/>
    <col width="28" customWidth="1" min="13" max="13"/>
    <col width="18" customWidth="1" min="14" max="14"/>
    <col width="10" customWidth="1" min="15" max="15"/>
    <col width="46" customWidth="1" min="16" max="16"/>
  </cols>
  <sheetData>
    <row r="1">
      <c r="A1" s="1" t="inlineStr">
        <is>
          <t>Danh mục tủ phối quang (17 tủ)</t>
        </is>
      </c>
    </row>
    <row r="2">
      <c r="A2" s="2" t="inlineStr">
        <is>
          <t>Số hộ / sử dụng / hoạt động tự cập nhật từ sheet "Thuê bao".</t>
        </is>
      </c>
    </row>
    <row r="4" ht="36" customHeight="1">
      <c r="A4" s="7" t="inlineStr">
        <is>
          <t>Mã tủ</t>
        </is>
      </c>
      <c r="B4" s="7" t="inlineStr">
        <is>
          <t>Tháp</t>
        </is>
      </c>
      <c r="C4" s="7" t="inlineStr">
        <is>
          <t>Tầng đặt</t>
        </is>
      </c>
      <c r="D4" s="7" t="inlineStr">
        <is>
          <t>Các tầng phục vụ</t>
        </is>
      </c>
      <c r="E4" s="7" t="inlineStr">
        <is>
          <t>Số căn hộ</t>
        </is>
      </c>
      <c r="F4" s="7" t="inlineStr">
        <is>
          <t>Splitter 1:16 lắp</t>
        </is>
      </c>
      <c r="G4" s="7" t="inlineStr">
        <is>
          <t>Vị trí trống</t>
        </is>
      </c>
      <c r="H4" s="7" t="inlineStr">
        <is>
          <t>Số cổng khả dụng</t>
        </is>
      </c>
      <c r="I4" s="7" t="inlineStr">
        <is>
          <t>% sử dụng cổng</t>
        </is>
      </c>
      <c r="J4" s="7" t="inlineStr">
        <is>
          <t>Hoạt động</t>
        </is>
      </c>
      <c r="K4" s="7" t="inlineStr">
        <is>
          <t>Cáp trục</t>
        </is>
      </c>
      <c r="L4" s="7" t="inlineStr">
        <is>
          <t>Dải sợi (8FO)</t>
        </is>
      </c>
      <c r="M4" s="7" t="inlineStr">
        <is>
          <t>Vai trò</t>
        </is>
      </c>
      <c r="N4" s="7" t="inlineStr">
        <is>
          <t>PON cấp nguồn</t>
        </is>
      </c>
      <c r="O4" s="7" t="inlineStr">
        <is>
          <t>Số tầng gom</t>
        </is>
      </c>
      <c r="P4" s="7" t="inlineStr">
        <is>
          <t>Đối chiếu bản vẽ gốc</t>
        </is>
      </c>
    </row>
    <row r="5">
      <c r="A5" s="76" t="inlineStr">
        <is>
          <t>TU-A23</t>
        </is>
      </c>
      <c r="B5" s="9" t="inlineStr">
        <is>
          <t>A</t>
        </is>
      </c>
      <c r="C5" s="9" t="inlineStr">
        <is>
          <t>23</t>
        </is>
      </c>
      <c r="D5" s="13" t="inlineStr">
        <is>
          <t>23</t>
        </is>
      </c>
      <c r="E5" s="9">
        <f>COUNTIF('Thuê bao'!$E$2:$E$677,A5)</f>
        <v/>
      </c>
      <c r="F5" s="9" t="n">
        <v>1</v>
      </c>
      <c r="G5" s="9" t="n">
        <v>3</v>
      </c>
      <c r="H5" s="9">
        <f>F5*16</f>
        <v/>
      </c>
      <c r="I5" s="10">
        <f>E5/H5</f>
        <v/>
      </c>
      <c r="J5" s="9">
        <f>COUNTIFS('Thuê bao'!$E$2:$E$677,A5,'Thuê bao'!$N$2:$N$677,"Hoạt động")</f>
        <v/>
      </c>
      <c r="K5" s="9" t="inlineStr">
        <is>
          <t>TR-A3</t>
        </is>
      </c>
      <c r="L5" s="9" t="inlineStr">
        <is>
          <t>17-24</t>
        </is>
      </c>
      <c r="M5" s="13" t="inlineStr">
        <is>
          <t>Tủ nhánh (cáp 8FO xuống hub)</t>
        </is>
      </c>
      <c r="N5" s="13" t="inlineStr">
        <is>
          <t>PON-08</t>
        </is>
      </c>
      <c r="O5" s="9" t="n">
        <v>1</v>
      </c>
      <c r="P5" s="13" t="inlineStr">
        <is>
          <t>Khớp (ODF24FO-09 @ tầng 23)</t>
        </is>
      </c>
    </row>
    <row r="6">
      <c r="A6" s="77" t="inlineStr">
        <is>
          <t>TU-A21</t>
        </is>
      </c>
      <c r="B6" s="9" t="inlineStr">
        <is>
          <t>A</t>
        </is>
      </c>
      <c r="C6" s="9" t="inlineStr">
        <is>
          <t>21</t>
        </is>
      </c>
      <c r="D6" s="13" t="inlineStr">
        <is>
          <t>22, 21, 20</t>
        </is>
      </c>
      <c r="E6" s="9">
        <f>COUNTIF('Thuê bao'!$E$2:$E$677,A6)</f>
        <v/>
      </c>
      <c r="F6" s="9" t="n">
        <v>3</v>
      </c>
      <c r="G6" s="9" t="n">
        <v>1</v>
      </c>
      <c r="H6" s="9">
        <f>F6*16</f>
        <v/>
      </c>
      <c r="I6" s="10">
        <f>E6/H6</f>
        <v/>
      </c>
      <c r="J6" s="9">
        <f>COUNTIFS('Thuê bao'!$E$2:$E$677,A6,'Thuê bao'!$N$2:$N$677,"Hoạt động")</f>
        <v/>
      </c>
      <c r="K6" s="9" t="inlineStr">
        <is>
          <t>TR-A3</t>
        </is>
      </c>
      <c r="L6" s="9" t="inlineStr">
        <is>
          <t>9-16</t>
        </is>
      </c>
      <c r="M6" s="13" t="inlineStr">
        <is>
          <t>Tủ nhánh (cáp 8FO xuống hub)</t>
        </is>
      </c>
      <c r="N6" s="13" t="inlineStr">
        <is>
          <t>PON-08</t>
        </is>
      </c>
      <c r="O6" s="9" t="n">
        <v>3</v>
      </c>
      <c r="P6" s="13" t="inlineStr">
        <is>
          <t>Khớp (ODF96FO-08 @ tầng 21)</t>
        </is>
      </c>
    </row>
    <row r="7">
      <c r="A7" s="78" t="inlineStr">
        <is>
          <t>TU-A18</t>
        </is>
      </c>
      <c r="B7" s="9" t="inlineStr">
        <is>
          <t>A</t>
        </is>
      </c>
      <c r="C7" s="9" t="inlineStr">
        <is>
          <t>18</t>
        </is>
      </c>
      <c r="D7" s="13" t="inlineStr">
        <is>
          <t>19, 18, 17</t>
        </is>
      </c>
      <c r="E7" s="9">
        <f>COUNTIF('Thuê bao'!$E$2:$E$677,A7)</f>
        <v/>
      </c>
      <c r="F7" s="9" t="n">
        <v>3</v>
      </c>
      <c r="G7" s="9" t="n">
        <v>1</v>
      </c>
      <c r="H7" s="9">
        <f>F7*16</f>
        <v/>
      </c>
      <c r="I7" s="10">
        <f>E7/H7</f>
        <v/>
      </c>
      <c r="J7" s="9">
        <f>COUNTIFS('Thuê bao'!$E$2:$E$677,A7,'Thuê bao'!$N$2:$N$677,"Hoạt động")</f>
        <v/>
      </c>
      <c r="K7" s="9" t="inlineStr">
        <is>
          <t>TR-A3</t>
        </is>
      </c>
      <c r="L7" s="9" t="inlineStr">
        <is>
          <t>1-8</t>
        </is>
      </c>
      <c r="M7" s="13" t="inlineStr">
        <is>
          <t>HUB (cáp trục 24FO về PM)</t>
        </is>
      </c>
      <c r="N7" s="13" t="inlineStr">
        <is>
          <t>PON-07</t>
        </is>
      </c>
      <c r="O7" s="9" t="n">
        <v>3</v>
      </c>
      <c r="P7" s="13" t="inlineStr">
        <is>
          <t>Khớp (ODF96FO-07 @ tầng 18)</t>
        </is>
      </c>
    </row>
    <row r="8">
      <c r="A8" s="79" t="inlineStr">
        <is>
          <t>TU-A15</t>
        </is>
      </c>
      <c r="B8" s="9" t="inlineStr">
        <is>
          <t>A</t>
        </is>
      </c>
      <c r="C8" s="9" t="inlineStr">
        <is>
          <t>15</t>
        </is>
      </c>
      <c r="D8" s="13" t="inlineStr">
        <is>
          <t>16, 15, 14</t>
        </is>
      </c>
      <c r="E8" s="9">
        <f>COUNTIF('Thuê bao'!$E$2:$E$677,A8)</f>
        <v/>
      </c>
      <c r="F8" s="9" t="n">
        <v>3</v>
      </c>
      <c r="G8" s="9" t="n">
        <v>1</v>
      </c>
      <c r="H8" s="9">
        <f>F8*16</f>
        <v/>
      </c>
      <c r="I8" s="10">
        <f>E8/H8</f>
        <v/>
      </c>
      <c r="J8" s="9">
        <f>COUNTIFS('Thuê bao'!$E$2:$E$677,A8,'Thuê bao'!$N$2:$N$677,"Hoạt động")</f>
        <v/>
      </c>
      <c r="K8" s="9" t="inlineStr">
        <is>
          <t>TR-A2</t>
        </is>
      </c>
      <c r="L8" s="9" t="inlineStr">
        <is>
          <t>17-24</t>
        </is>
      </c>
      <c r="M8" s="13" t="inlineStr">
        <is>
          <t>Tủ nhánh (cáp 8FO xuống hub)</t>
        </is>
      </c>
      <c r="N8" s="13" t="inlineStr">
        <is>
          <t>PON-06</t>
        </is>
      </c>
      <c r="O8" s="9" t="n">
        <v>3</v>
      </c>
      <c r="P8" s="13" t="inlineStr">
        <is>
          <t>Khớp (ODF96FO-06 @ tầng 15)</t>
        </is>
      </c>
    </row>
    <row r="9">
      <c r="A9" s="80" t="inlineStr">
        <is>
          <t>TU-A12</t>
        </is>
      </c>
      <c r="B9" s="9" t="inlineStr">
        <is>
          <t>A</t>
        </is>
      </c>
      <c r="C9" s="9" t="inlineStr">
        <is>
          <t>12</t>
        </is>
      </c>
      <c r="D9" s="13" t="inlineStr">
        <is>
          <t>12A, 12, 11</t>
        </is>
      </c>
      <c r="E9" s="9">
        <f>COUNTIF('Thuê bao'!$E$2:$E$677,A9)</f>
        <v/>
      </c>
      <c r="F9" s="9" t="n">
        <v>3</v>
      </c>
      <c r="G9" s="9" t="n">
        <v>1</v>
      </c>
      <c r="H9" s="9">
        <f>F9*16</f>
        <v/>
      </c>
      <c r="I9" s="10">
        <f>E9/H9</f>
        <v/>
      </c>
      <c r="J9" s="9">
        <f>COUNTIFS('Thuê bao'!$E$2:$E$677,A9,'Thuê bao'!$N$2:$N$677,"Hoạt động")</f>
        <v/>
      </c>
      <c r="K9" s="9" t="inlineStr">
        <is>
          <t>TR-A2</t>
        </is>
      </c>
      <c r="L9" s="9" t="inlineStr">
        <is>
          <t>9-16</t>
        </is>
      </c>
      <c r="M9" s="13" t="inlineStr">
        <is>
          <t>Tủ nhánh (cáp 8FO xuống hub)</t>
        </is>
      </c>
      <c r="N9" s="13" t="inlineStr">
        <is>
          <t>PON-05</t>
        </is>
      </c>
      <c r="O9" s="9" t="n">
        <v>3</v>
      </c>
      <c r="P9" s="13" t="inlineStr">
        <is>
          <t>Khớp (ODF96FO-05 @ tầng 12)</t>
        </is>
      </c>
    </row>
    <row r="10">
      <c r="A10" s="81" t="inlineStr">
        <is>
          <t>TU-A9</t>
        </is>
      </c>
      <c r="B10" s="9" t="inlineStr">
        <is>
          <t>A</t>
        </is>
      </c>
      <c r="C10" s="9" t="inlineStr">
        <is>
          <t>9</t>
        </is>
      </c>
      <c r="D10" s="13" t="inlineStr">
        <is>
          <t>10, 9, 8</t>
        </is>
      </c>
      <c r="E10" s="9">
        <f>COUNTIF('Thuê bao'!$E$2:$E$677,A10)</f>
        <v/>
      </c>
      <c r="F10" s="9" t="n">
        <v>3</v>
      </c>
      <c r="G10" s="9" t="n">
        <v>1</v>
      </c>
      <c r="H10" s="9">
        <f>F10*16</f>
        <v/>
      </c>
      <c r="I10" s="10">
        <f>E10/H10</f>
        <v/>
      </c>
      <c r="J10" s="9">
        <f>COUNTIFS('Thuê bao'!$E$2:$E$677,A10,'Thuê bao'!$N$2:$N$677,"Hoạt động")</f>
        <v/>
      </c>
      <c r="K10" s="9" t="inlineStr">
        <is>
          <t>TR-A2</t>
        </is>
      </c>
      <c r="L10" s="9" t="inlineStr">
        <is>
          <t>1-8</t>
        </is>
      </c>
      <c r="M10" s="13" t="inlineStr">
        <is>
          <t>HUB (cáp trục 24FO về PM)</t>
        </is>
      </c>
      <c r="N10" s="13" t="inlineStr">
        <is>
          <t>PON-04</t>
        </is>
      </c>
      <c r="O10" s="9" t="n">
        <v>3</v>
      </c>
      <c r="P10" s="13" t="inlineStr">
        <is>
          <t>Khớp (ODF96FO-04 @ tầng 9)</t>
        </is>
      </c>
    </row>
    <row r="11">
      <c r="A11" s="82" t="inlineStr">
        <is>
          <t>TU-A7</t>
        </is>
      </c>
      <c r="B11" s="9" t="inlineStr">
        <is>
          <t>A</t>
        </is>
      </c>
      <c r="C11" s="9" t="inlineStr">
        <is>
          <t>7</t>
        </is>
      </c>
      <c r="D11" s="13" t="inlineStr">
        <is>
          <t>7, 6, 5</t>
        </is>
      </c>
      <c r="E11" s="9">
        <f>COUNTIF('Thuê bao'!$E$2:$E$677,A11)</f>
        <v/>
      </c>
      <c r="F11" s="9" t="n">
        <v>3</v>
      </c>
      <c r="G11" s="9" t="n">
        <v>1</v>
      </c>
      <c r="H11" s="9">
        <f>F11*16</f>
        <v/>
      </c>
      <c r="I11" s="10">
        <f>E11/H11</f>
        <v/>
      </c>
      <c r="J11" s="9">
        <f>COUNTIFS('Thuê bao'!$E$2:$E$677,A11,'Thuê bao'!$N$2:$N$677,"Hoạt động")</f>
        <v/>
      </c>
      <c r="K11" s="9" t="inlineStr">
        <is>
          <t>TR-A1</t>
        </is>
      </c>
      <c r="L11" s="9" t="inlineStr">
        <is>
          <t>17-24</t>
        </is>
      </c>
      <c r="M11" s="13" t="inlineStr">
        <is>
          <t>Tủ nhánh (cáp 8FO xuống hub)</t>
        </is>
      </c>
      <c r="N11" s="13" t="inlineStr">
        <is>
          <t>PON-03</t>
        </is>
      </c>
      <c r="O11" s="9" t="n">
        <v>3</v>
      </c>
      <c r="P11" s="13" t="inlineStr">
        <is>
          <t>LỆCH tầng đặt: sổ tay 7F, bản vẽ 6F (ODF96FO-03)</t>
        </is>
      </c>
    </row>
    <row r="12">
      <c r="A12" s="83" t="inlineStr">
        <is>
          <t>TU-A5</t>
        </is>
      </c>
      <c r="B12" s="9" t="inlineStr">
        <is>
          <t>A</t>
        </is>
      </c>
      <c r="C12" s="9" t="inlineStr">
        <is>
          <t>5</t>
        </is>
      </c>
      <c r="D12" s="13" t="inlineStr">
        <is>
          <t>4, 3</t>
        </is>
      </c>
      <c r="E12" s="9">
        <f>COUNTIF('Thuê bao'!$E$2:$E$677,A12)</f>
        <v/>
      </c>
      <c r="F12" s="9" t="n">
        <v>3</v>
      </c>
      <c r="G12" s="9" t="n">
        <v>1</v>
      </c>
      <c r="H12" s="9">
        <f>F12*16</f>
        <v/>
      </c>
      <c r="I12" s="10">
        <f>E12/H12</f>
        <v/>
      </c>
      <c r="J12" s="9">
        <f>COUNTIFS('Thuê bao'!$E$2:$E$677,A12,'Thuê bao'!$N$2:$N$677,"Hoạt động")</f>
        <v/>
      </c>
      <c r="K12" s="9" t="inlineStr">
        <is>
          <t>TR-A1</t>
        </is>
      </c>
      <c r="L12" s="9" t="inlineStr">
        <is>
          <t>9-16</t>
        </is>
      </c>
      <c r="M12" s="13" t="inlineStr">
        <is>
          <t>Tủ nhánh (cáp 8FO xuống hub)</t>
        </is>
      </c>
      <c r="N12" s="13" t="inlineStr">
        <is>
          <t>PON-02</t>
        </is>
      </c>
      <c r="O12" s="9" t="n">
        <v>2</v>
      </c>
      <c r="P12" s="13" t="inlineStr">
        <is>
          <t>LỆCH tầng đặt: sổ tay 5F, bản vẽ 4F (ODF96FO-02)</t>
        </is>
      </c>
    </row>
    <row r="13">
      <c r="A13" s="84" t="inlineStr">
        <is>
          <t>TU-A2</t>
        </is>
      </c>
      <c r="B13" s="9" t="inlineStr">
        <is>
          <t>A</t>
        </is>
      </c>
      <c r="C13" s="9" t="inlineStr">
        <is>
          <t>2</t>
        </is>
      </c>
      <c r="D13" s="13" t="inlineStr">
        <is>
          <t>2, 1</t>
        </is>
      </c>
      <c r="E13" s="9">
        <f>COUNTIF('Thuê bao'!$E$2:$E$677,A13)</f>
        <v/>
      </c>
      <c r="F13" s="9" t="n">
        <v>3</v>
      </c>
      <c r="G13" s="9" t="n">
        <v>1</v>
      </c>
      <c r="H13" s="9">
        <f>F13*16</f>
        <v/>
      </c>
      <c r="I13" s="10">
        <f>E13/H13</f>
        <v/>
      </c>
      <c r="J13" s="9">
        <f>COUNTIFS('Thuê bao'!$E$2:$E$677,A13,'Thuê bao'!$N$2:$N$677,"Hoạt động")</f>
        <v/>
      </c>
      <c r="K13" s="9" t="inlineStr">
        <is>
          <t>TR-A1</t>
        </is>
      </c>
      <c r="L13" s="9" t="inlineStr">
        <is>
          <t>1-8</t>
        </is>
      </c>
      <c r="M13" s="13" t="inlineStr">
        <is>
          <t>HUB (cáp trục 24FO về PM)</t>
        </is>
      </c>
      <c r="N13" s="13" t="inlineStr">
        <is>
          <t>PON-01</t>
        </is>
      </c>
      <c r="O13" s="9" t="n">
        <v>2</v>
      </c>
      <c r="P13" s="13" t="inlineStr">
        <is>
          <t>Khớp (ODF96FO-01 @ tầng 2)</t>
        </is>
      </c>
    </row>
    <row r="14">
      <c r="A14" s="85" t="inlineStr">
        <is>
          <t>TU-B23</t>
        </is>
      </c>
      <c r="B14" s="9" t="inlineStr">
        <is>
          <t>B</t>
        </is>
      </c>
      <c r="C14" s="9" t="inlineStr">
        <is>
          <t>23</t>
        </is>
      </c>
      <c r="D14" s="13" t="inlineStr">
        <is>
          <t>23, 22</t>
        </is>
      </c>
      <c r="E14" s="9">
        <f>COUNTIF('Thuê bao'!$E$2:$E$677,A14)</f>
        <v/>
      </c>
      <c r="F14" s="9" t="n">
        <v>2</v>
      </c>
      <c r="G14" s="9" t="n">
        <v>2</v>
      </c>
      <c r="H14" s="9">
        <f>F14*16</f>
        <v/>
      </c>
      <c r="I14" s="10">
        <f>E14/H14</f>
        <v/>
      </c>
      <c r="J14" s="9">
        <f>COUNTIFS('Thuê bao'!$E$2:$E$677,A14,'Thuê bao'!$N$2:$N$677,"Hoạt động")</f>
        <v/>
      </c>
      <c r="K14" s="9" t="inlineStr">
        <is>
          <t>TR-B3</t>
        </is>
      </c>
      <c r="L14" s="9" t="inlineStr">
        <is>
          <t>17-24</t>
        </is>
      </c>
      <c r="M14" s="13" t="inlineStr">
        <is>
          <t>Tủ nhánh (cáp 8FO xuống hub)</t>
        </is>
      </c>
      <c r="N14" s="13" t="inlineStr">
        <is>
          <t>PON-16</t>
        </is>
      </c>
      <c r="O14" s="9" t="n">
        <v>2</v>
      </c>
      <c r="P14" s="13" t="inlineStr">
        <is>
          <t>Khớp (ODF96FO-17 @ tầng 23)</t>
        </is>
      </c>
    </row>
    <row r="15">
      <c r="A15" s="86" t="inlineStr">
        <is>
          <t>TU-B20</t>
        </is>
      </c>
      <c r="B15" s="9" t="inlineStr">
        <is>
          <t>B</t>
        </is>
      </c>
      <c r="C15" s="9" t="inlineStr">
        <is>
          <t>20</t>
        </is>
      </c>
      <c r="D15" s="13" t="inlineStr">
        <is>
          <t>21, 20, 19</t>
        </is>
      </c>
      <c r="E15" s="9">
        <f>COUNTIF('Thuê bao'!$E$2:$E$677,A15)</f>
        <v/>
      </c>
      <c r="F15" s="9" t="n">
        <v>3</v>
      </c>
      <c r="G15" s="9" t="n">
        <v>1</v>
      </c>
      <c r="H15" s="9">
        <f>F15*16</f>
        <v/>
      </c>
      <c r="I15" s="10">
        <f>E15/H15</f>
        <v/>
      </c>
      <c r="J15" s="9">
        <f>COUNTIFS('Thuê bao'!$E$2:$E$677,A15,'Thuê bao'!$N$2:$N$677,"Hoạt động")</f>
        <v/>
      </c>
      <c r="K15" s="9" t="inlineStr">
        <is>
          <t>TR-B3</t>
        </is>
      </c>
      <c r="L15" s="9" t="inlineStr">
        <is>
          <t>9-16</t>
        </is>
      </c>
      <c r="M15" s="13" t="inlineStr">
        <is>
          <t>Tủ nhánh (cáp 8FO xuống hub)</t>
        </is>
      </c>
      <c r="N15" s="13" t="inlineStr">
        <is>
          <t>PON-15, PON-16</t>
        </is>
      </c>
      <c r="O15" s="9" t="n">
        <v>3</v>
      </c>
      <c r="P15" s="13" t="inlineStr">
        <is>
          <t>Khớp (ODF96FO-16 @ tầng 20)</t>
        </is>
      </c>
    </row>
    <row r="16">
      <c r="A16" s="87" t="inlineStr">
        <is>
          <t>TU-B17</t>
        </is>
      </c>
      <c r="B16" s="9" t="inlineStr">
        <is>
          <t>B</t>
        </is>
      </c>
      <c r="C16" s="9" t="inlineStr">
        <is>
          <t>17</t>
        </is>
      </c>
      <c r="D16" s="13" t="inlineStr">
        <is>
          <t>18, 17, 16</t>
        </is>
      </c>
      <c r="E16" s="9">
        <f>COUNTIF('Thuê bao'!$E$2:$E$677,A16)</f>
        <v/>
      </c>
      <c r="F16" s="9" t="n">
        <v>3</v>
      </c>
      <c r="G16" s="9" t="n">
        <v>1</v>
      </c>
      <c r="H16" s="9">
        <f>F16*16</f>
        <v/>
      </c>
      <c r="I16" s="10">
        <f>E16/H16</f>
        <v/>
      </c>
      <c r="J16" s="9">
        <f>COUNTIFS('Thuê bao'!$E$2:$E$677,A16,'Thuê bao'!$N$2:$N$677,"Hoạt động")</f>
        <v/>
      </c>
      <c r="K16" s="9" t="inlineStr">
        <is>
          <t>TR-B3</t>
        </is>
      </c>
      <c r="L16" s="9" t="inlineStr">
        <is>
          <t>1-8</t>
        </is>
      </c>
      <c r="M16" s="13" t="inlineStr">
        <is>
          <t>HUB (cáp trục 24FO về PM)</t>
        </is>
      </c>
      <c r="N16" s="13" t="inlineStr">
        <is>
          <t>PON-14, PON-15</t>
        </is>
      </c>
      <c r="O16" s="9" t="n">
        <v>3</v>
      </c>
      <c r="P16" s="13" t="inlineStr">
        <is>
          <t>Khớp (ODF96FO-15 @ tầng 17)</t>
        </is>
      </c>
    </row>
    <row r="17">
      <c r="A17" s="88" t="inlineStr">
        <is>
          <t>TU-B14</t>
        </is>
      </c>
      <c r="B17" s="9" t="inlineStr">
        <is>
          <t>B</t>
        </is>
      </c>
      <c r="C17" s="9" t="inlineStr">
        <is>
          <t>14</t>
        </is>
      </c>
      <c r="D17" s="13" t="inlineStr">
        <is>
          <t>15, 14, 12A</t>
        </is>
      </c>
      <c r="E17" s="9">
        <f>COUNTIF('Thuê bao'!$E$2:$E$677,A17)</f>
        <v/>
      </c>
      <c r="F17" s="9" t="n">
        <v>3</v>
      </c>
      <c r="G17" s="9" t="n">
        <v>1</v>
      </c>
      <c r="H17" s="9">
        <f>F17*16</f>
        <v/>
      </c>
      <c r="I17" s="10">
        <f>E17/H17</f>
        <v/>
      </c>
      <c r="J17" s="9">
        <f>COUNTIFS('Thuê bao'!$E$2:$E$677,A17,'Thuê bao'!$N$2:$N$677,"Hoạt động")</f>
        <v/>
      </c>
      <c r="K17" s="9" t="inlineStr">
        <is>
          <t>TR-B2</t>
        </is>
      </c>
      <c r="L17" s="9" t="inlineStr">
        <is>
          <t>17-24</t>
        </is>
      </c>
      <c r="M17" s="13" t="inlineStr">
        <is>
          <t>Tủ nhánh (cáp 8FO xuống hub)</t>
        </is>
      </c>
      <c r="N17" s="13" t="inlineStr">
        <is>
          <t>PON-13, PON-14</t>
        </is>
      </c>
      <c r="O17" s="9" t="n">
        <v>3</v>
      </c>
      <c r="P17" s="13" t="inlineStr">
        <is>
          <t>Khớp (ODF96FO-14 @ tầng 14)</t>
        </is>
      </c>
    </row>
    <row r="18">
      <c r="A18" s="89" t="inlineStr">
        <is>
          <t>TU-B11</t>
        </is>
      </c>
      <c r="B18" s="9" t="inlineStr">
        <is>
          <t>B</t>
        </is>
      </c>
      <c r="C18" s="9" t="inlineStr">
        <is>
          <t>11</t>
        </is>
      </c>
      <c r="D18" s="13" t="inlineStr">
        <is>
          <t>12, 11, 10</t>
        </is>
      </c>
      <c r="E18" s="9">
        <f>COUNTIF('Thuê bao'!$E$2:$E$677,A18)</f>
        <v/>
      </c>
      <c r="F18" s="9" t="n">
        <v>3</v>
      </c>
      <c r="G18" s="9" t="n">
        <v>1</v>
      </c>
      <c r="H18" s="9">
        <f>F18*16</f>
        <v/>
      </c>
      <c r="I18" s="10">
        <f>E18/H18</f>
        <v/>
      </c>
      <c r="J18" s="9">
        <f>COUNTIFS('Thuê bao'!$E$2:$E$677,A18,'Thuê bao'!$N$2:$N$677,"Hoạt động")</f>
        <v/>
      </c>
      <c r="K18" s="9" t="inlineStr">
        <is>
          <t>TR-B2</t>
        </is>
      </c>
      <c r="L18" s="9" t="inlineStr">
        <is>
          <t>9-16</t>
        </is>
      </c>
      <c r="M18" s="13" t="inlineStr">
        <is>
          <t>Tủ nhánh (cáp 8FO xuống hub)</t>
        </is>
      </c>
      <c r="N18" s="13" t="inlineStr">
        <is>
          <t>PON-12, PON-13</t>
        </is>
      </c>
      <c r="O18" s="9" t="n">
        <v>3</v>
      </c>
      <c r="P18" s="13" t="inlineStr">
        <is>
          <t>Khớp (ODF96FO-13 @ tầng 11)</t>
        </is>
      </c>
    </row>
    <row r="19">
      <c r="A19" s="90" t="inlineStr">
        <is>
          <t>TU-B8</t>
        </is>
      </c>
      <c r="B19" s="9" t="inlineStr">
        <is>
          <t>B</t>
        </is>
      </c>
      <c r="C19" s="9" t="inlineStr">
        <is>
          <t>8</t>
        </is>
      </c>
      <c r="D19" s="13" t="inlineStr">
        <is>
          <t>9, 8, 7</t>
        </is>
      </c>
      <c r="E19" s="9">
        <f>COUNTIF('Thuê bao'!$E$2:$E$677,A19)</f>
        <v/>
      </c>
      <c r="F19" s="9" t="n">
        <v>3</v>
      </c>
      <c r="G19" s="9" t="n">
        <v>1</v>
      </c>
      <c r="H19" s="9">
        <f>F19*16</f>
        <v/>
      </c>
      <c r="I19" s="10">
        <f>E19/H19</f>
        <v/>
      </c>
      <c r="J19" s="9">
        <f>COUNTIFS('Thuê bao'!$E$2:$E$677,A19,'Thuê bao'!$N$2:$N$677,"Hoạt động")</f>
        <v/>
      </c>
      <c r="K19" s="9" t="inlineStr">
        <is>
          <t>TR-B2</t>
        </is>
      </c>
      <c r="L19" s="9" t="inlineStr">
        <is>
          <t>1-8</t>
        </is>
      </c>
      <c r="M19" s="13" t="inlineStr">
        <is>
          <t>HUB (cáp trục 24FO về PM)</t>
        </is>
      </c>
      <c r="N19" s="13" t="inlineStr">
        <is>
          <t>PON-11, PON-12</t>
        </is>
      </c>
      <c r="O19" s="9" t="n">
        <v>3</v>
      </c>
      <c r="P19" s="13" t="inlineStr">
        <is>
          <t>Khớp (ODF96FO-12 @ tầng 8)</t>
        </is>
      </c>
    </row>
    <row r="20">
      <c r="A20" s="91" t="inlineStr">
        <is>
          <t>TU-B5</t>
        </is>
      </c>
      <c r="B20" s="9" t="inlineStr">
        <is>
          <t>B</t>
        </is>
      </c>
      <c r="C20" s="9" t="inlineStr">
        <is>
          <t>5</t>
        </is>
      </c>
      <c r="D20" s="13" t="inlineStr">
        <is>
          <t>6, 5, 4</t>
        </is>
      </c>
      <c r="E20" s="9">
        <f>COUNTIF('Thuê bao'!$E$2:$E$677,A20)</f>
        <v/>
      </c>
      <c r="F20" s="9" t="n">
        <v>3</v>
      </c>
      <c r="G20" s="9" t="n">
        <v>1</v>
      </c>
      <c r="H20" s="9">
        <f>F20*16</f>
        <v/>
      </c>
      <c r="I20" s="10">
        <f>E20/H20</f>
        <v/>
      </c>
      <c r="J20" s="9">
        <f>COUNTIFS('Thuê bao'!$E$2:$E$677,A20,'Thuê bao'!$N$2:$N$677,"Hoạt động")</f>
        <v/>
      </c>
      <c r="K20" s="9" t="inlineStr">
        <is>
          <t>TR-B1</t>
        </is>
      </c>
      <c r="L20" s="9" t="inlineStr">
        <is>
          <t>9-16</t>
        </is>
      </c>
      <c r="M20" s="13" t="inlineStr">
        <is>
          <t>Tủ nhánh (cáp 8FO xuống hub)</t>
        </is>
      </c>
      <c r="N20" s="13" t="inlineStr">
        <is>
          <t>PON-10, PON-11</t>
        </is>
      </c>
      <c r="O20" s="9" t="n">
        <v>3</v>
      </c>
      <c r="P20" s="13" t="inlineStr">
        <is>
          <t>Khớp (ODF96FO-11 @ tầng 5)</t>
        </is>
      </c>
    </row>
    <row r="21">
      <c r="A21" s="92" t="inlineStr">
        <is>
          <t>TU-B2</t>
        </is>
      </c>
      <c r="B21" s="9" t="inlineStr">
        <is>
          <t>B</t>
        </is>
      </c>
      <c r="C21" s="9" t="inlineStr">
        <is>
          <t>2</t>
        </is>
      </c>
      <c r="D21" s="13" t="inlineStr">
        <is>
          <t>3, 2, 1</t>
        </is>
      </c>
      <c r="E21" s="9">
        <f>COUNTIF('Thuê bao'!$E$2:$E$677,A21)</f>
        <v/>
      </c>
      <c r="F21" s="9" t="n">
        <v>5</v>
      </c>
      <c r="G21" s="9" t="n">
        <v>0</v>
      </c>
      <c r="H21" s="9">
        <f>F21*16</f>
        <v/>
      </c>
      <c r="I21" s="10">
        <f>E21/H21</f>
        <v/>
      </c>
      <c r="J21" s="9">
        <f>COUNTIFS('Thuê bao'!$E$2:$E$677,A21,'Thuê bao'!$N$2:$N$677,"Hoạt động")</f>
        <v/>
      </c>
      <c r="K21" s="9" t="inlineStr">
        <is>
          <t>TR-B1</t>
        </is>
      </c>
      <c r="L21" s="9" t="inlineStr">
        <is>
          <t>1-8</t>
        </is>
      </c>
      <c r="M21" s="13" t="inlineStr">
        <is>
          <t>HUB (cáp trục 24FO về PM)</t>
        </is>
      </c>
      <c r="N21" s="13" t="inlineStr">
        <is>
          <t>PON-09, PON-10</t>
        </is>
      </c>
      <c r="O21" s="9" t="n">
        <v>3</v>
      </c>
      <c r="P21" s="13" t="inlineStr">
        <is>
          <t>Khớp (ODF96FO-10 @ tầng 2)</t>
        </is>
      </c>
    </row>
    <row r="22">
      <c r="A22" s="8" t="inlineStr">
        <is>
          <t>Tổng</t>
        </is>
      </c>
      <c r="B22" s="13" t="n"/>
      <c r="C22" s="13" t="n"/>
      <c r="D22" s="13" t="n"/>
      <c r="E22" s="8">
        <f>SUM(E5:E21)</f>
        <v/>
      </c>
      <c r="F22" s="8">
        <f>SUM(F5:F21)</f>
        <v/>
      </c>
      <c r="G22" s="8">
        <f>SUM(G5:G21)</f>
        <v/>
      </c>
      <c r="H22" s="8">
        <f>SUM(H5:H21)</f>
        <v/>
      </c>
      <c r="I22" s="93">
        <f>E22/H22</f>
        <v/>
      </c>
      <c r="J22" s="8">
        <f>SUM(J5:J21)</f>
        <v/>
      </c>
      <c r="K22" s="13" t="n"/>
      <c r="L22" s="13" t="n"/>
      <c r="M22" s="13" t="n"/>
      <c r="N22" s="13" t="n"/>
      <c r="O22" s="13" t="n"/>
      <c r="P22" s="13" t="n"/>
    </row>
  </sheetData>
  <conditionalFormatting sqref="I5:I21">
    <cfRule type="dataBar" priority="1">
      <dataBar>
        <cfvo type="num" val="0"/>
        <cfvo type="num" val="1"/>
        <color rgb="005B9BD5"/>
      </dataBar>
    </cfRule>
    <cfRule type="cellIs" priority="2" operator="greaterThan" dxfId="2">
      <formula>0.95</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C00000"/>
    <outlinePr summaryBelow="1" summaryRight="1"/>
    <pageSetUpPr fitToPage="1"/>
  </sheetPr>
  <dimension ref="A1:K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2" customWidth="1" min="3" max="3"/>
    <col width="15" customWidth="1" min="4" max="4"/>
    <col width="13" customWidth="1" min="5" max="5"/>
    <col width="24" customWidth="1" min="6" max="6"/>
    <col width="9" customWidth="1" min="7" max="7"/>
    <col width="10" customWidth="1" min="8" max="8"/>
    <col width="10" customWidth="1" min="9" max="9"/>
    <col width="10" customWidth="1" min="10" max="10"/>
    <col width="54" customWidth="1" min="11" max="11"/>
  </cols>
  <sheetData>
    <row r="1">
      <c r="A1" s="1" t="inlineStr">
        <is>
          <t>Đối chiếu: sổ tay thi công ↔ bản vẽ gốc (sơ đồ nguyên lý PDF)</t>
        </is>
      </c>
    </row>
    <row r="2">
      <c r="A2" s="2" t="inlineStr">
        <is>
          <t>Sổ tay cho biết tầng đặt tủ + nhóm cáp trục; bản vẽ gốc cho biết mỗi ODF/tủ gom những tầng nào (ODF phục vụ dòng box của tầng đặt + 1 dòng trên + 1 dòng dưới).</t>
        </is>
      </c>
    </row>
    <row r="4" ht="36" customHeight="1">
      <c r="A4" s="7" t="inlineStr">
        <is>
          <t>Tháp</t>
        </is>
      </c>
      <c r="B4" s="7" t="inlineStr">
        <is>
          <t>Tủ (sổ tay)</t>
        </is>
      </c>
      <c r="C4" s="7" t="inlineStr">
        <is>
          <t>Tầng đặt (sổ tay)</t>
        </is>
      </c>
      <c r="D4" s="7" t="inlineStr">
        <is>
          <t>ODF bản vẽ gốc</t>
        </is>
      </c>
      <c r="E4" s="7" t="inlineStr">
        <is>
          <t>Tầng đặt (bản vẽ gốc)</t>
        </is>
      </c>
      <c r="F4" s="7" t="inlineStr">
        <is>
          <t>Các tầng gom (bản vẽ gốc)</t>
        </is>
      </c>
      <c r="G4" s="7" t="inlineStr">
        <is>
          <t>Số tầng gom</t>
        </is>
      </c>
      <c r="H4" s="7" t="inlineStr">
        <is>
          <t>Số căn hộ</t>
        </is>
      </c>
      <c r="I4" s="7" t="inlineStr">
        <is>
          <t>Splitter 1:16</t>
        </is>
      </c>
      <c r="J4" s="7" t="inlineStr">
        <is>
          <t>Cáp trục</t>
        </is>
      </c>
      <c r="K4" s="7" t="inlineStr">
        <is>
          <t>Kết quả đối chiếu</t>
        </is>
      </c>
    </row>
    <row r="5">
      <c r="A5" s="9" t="inlineStr">
        <is>
          <t>A</t>
        </is>
      </c>
      <c r="B5" s="8" t="inlineStr">
        <is>
          <t>TU-A23</t>
        </is>
      </c>
      <c r="C5" s="9" t="inlineStr">
        <is>
          <t>23F</t>
        </is>
      </c>
      <c r="D5" s="9" t="inlineStr">
        <is>
          <t>ODF24FO-09</t>
        </is>
      </c>
      <c r="E5" s="9" t="inlineStr">
        <is>
          <t>23F</t>
        </is>
      </c>
      <c r="F5" s="13" t="inlineStr">
        <is>
          <t>23</t>
        </is>
      </c>
      <c r="G5" s="9" t="n">
        <v>1</v>
      </c>
      <c r="H5" s="9">
        <f>COUNTIF('Thuê bao'!$E$2:$E$677,B5)</f>
        <v/>
      </c>
      <c r="I5" s="9" t="n">
        <v>1</v>
      </c>
      <c r="J5" s="9" t="inlineStr">
        <is>
          <t>TR-A3</t>
        </is>
      </c>
      <c r="K5" s="13" t="inlineStr">
        <is>
          <t>Khớp (ODF24FO-09 @ tầng 23)</t>
        </is>
      </c>
    </row>
    <row r="6">
      <c r="A6" s="9" t="inlineStr">
        <is>
          <t>A</t>
        </is>
      </c>
      <c r="B6" s="8" t="inlineStr">
        <is>
          <t>TU-A21</t>
        </is>
      </c>
      <c r="C6" s="9" t="inlineStr">
        <is>
          <t>21F</t>
        </is>
      </c>
      <c r="D6" s="9" t="inlineStr">
        <is>
          <t>ODF96FO-08</t>
        </is>
      </c>
      <c r="E6" s="9" t="inlineStr">
        <is>
          <t>21F</t>
        </is>
      </c>
      <c r="F6" s="13" t="inlineStr">
        <is>
          <t>22, 21, 20</t>
        </is>
      </c>
      <c r="G6" s="9" t="n">
        <v>3</v>
      </c>
      <c r="H6" s="9">
        <f>COUNTIF('Thuê bao'!$E$2:$E$677,B6)</f>
        <v/>
      </c>
      <c r="I6" s="9" t="n">
        <v>3</v>
      </c>
      <c r="J6" s="9" t="inlineStr">
        <is>
          <t>TR-A3</t>
        </is>
      </c>
      <c r="K6" s="13" t="inlineStr">
        <is>
          <t>Khớp (ODF96FO-08 @ tầng 21)</t>
        </is>
      </c>
    </row>
    <row r="7">
      <c r="A7" s="9" t="inlineStr">
        <is>
          <t>A</t>
        </is>
      </c>
      <c r="B7" s="8" t="inlineStr">
        <is>
          <t>TU-A18</t>
        </is>
      </c>
      <c r="C7" s="9" t="inlineStr">
        <is>
          <t>18F</t>
        </is>
      </c>
      <c r="D7" s="9" t="inlineStr">
        <is>
          <t>ODF96FO-07</t>
        </is>
      </c>
      <c r="E7" s="9" t="inlineStr">
        <is>
          <t>18F</t>
        </is>
      </c>
      <c r="F7" s="13" t="inlineStr">
        <is>
          <t>19, 18, 17</t>
        </is>
      </c>
      <c r="G7" s="9" t="n">
        <v>3</v>
      </c>
      <c r="H7" s="9">
        <f>COUNTIF('Thuê bao'!$E$2:$E$677,B7)</f>
        <v/>
      </c>
      <c r="I7" s="9" t="n">
        <v>3</v>
      </c>
      <c r="J7" s="9" t="inlineStr">
        <is>
          <t>TR-A3</t>
        </is>
      </c>
      <c r="K7" s="13" t="inlineStr">
        <is>
          <t>Khớp (ODF96FO-07 @ tầng 18)</t>
        </is>
      </c>
    </row>
    <row r="8">
      <c r="A8" s="9" t="inlineStr">
        <is>
          <t>A</t>
        </is>
      </c>
      <c r="B8" s="8" t="inlineStr">
        <is>
          <t>TU-A15</t>
        </is>
      </c>
      <c r="C8" s="9" t="inlineStr">
        <is>
          <t>15F</t>
        </is>
      </c>
      <c r="D8" s="9" t="inlineStr">
        <is>
          <t>ODF96FO-06</t>
        </is>
      </c>
      <c r="E8" s="9" t="inlineStr">
        <is>
          <t>15F</t>
        </is>
      </c>
      <c r="F8" s="13" t="inlineStr">
        <is>
          <t>16, 15, 14</t>
        </is>
      </c>
      <c r="G8" s="9" t="n">
        <v>3</v>
      </c>
      <c r="H8" s="9">
        <f>COUNTIF('Thuê bao'!$E$2:$E$677,B8)</f>
        <v/>
      </c>
      <c r="I8" s="9" t="n">
        <v>3</v>
      </c>
      <c r="J8" s="9" t="inlineStr">
        <is>
          <t>TR-A2</t>
        </is>
      </c>
      <c r="K8" s="13" t="inlineStr">
        <is>
          <t>Khớp (ODF96FO-06 @ tầng 15)</t>
        </is>
      </c>
    </row>
    <row r="9">
      <c r="A9" s="9" t="inlineStr">
        <is>
          <t>A</t>
        </is>
      </c>
      <c r="B9" s="8" t="inlineStr">
        <is>
          <t>TU-A12</t>
        </is>
      </c>
      <c r="C9" s="9" t="inlineStr">
        <is>
          <t>12F</t>
        </is>
      </c>
      <c r="D9" s="9" t="inlineStr">
        <is>
          <t>ODF96FO-05</t>
        </is>
      </c>
      <c r="E9" s="9" t="inlineStr">
        <is>
          <t>12F</t>
        </is>
      </c>
      <c r="F9" s="13" t="inlineStr">
        <is>
          <t>12A, 12, 11</t>
        </is>
      </c>
      <c r="G9" s="9" t="n">
        <v>3</v>
      </c>
      <c r="H9" s="9">
        <f>COUNTIF('Thuê bao'!$E$2:$E$677,B9)</f>
        <v/>
      </c>
      <c r="I9" s="9" t="n">
        <v>3</v>
      </c>
      <c r="J9" s="9" t="inlineStr">
        <is>
          <t>TR-A2</t>
        </is>
      </c>
      <c r="K9" s="13" t="inlineStr">
        <is>
          <t>Khớp (ODF96FO-05 @ tầng 12)</t>
        </is>
      </c>
    </row>
    <row r="10">
      <c r="A10" s="9" t="inlineStr">
        <is>
          <t>A</t>
        </is>
      </c>
      <c r="B10" s="8" t="inlineStr">
        <is>
          <t>TU-A9</t>
        </is>
      </c>
      <c r="C10" s="9" t="inlineStr">
        <is>
          <t>9F</t>
        </is>
      </c>
      <c r="D10" s="9" t="inlineStr">
        <is>
          <t>ODF96FO-04</t>
        </is>
      </c>
      <c r="E10" s="9" t="inlineStr">
        <is>
          <t>9F</t>
        </is>
      </c>
      <c r="F10" s="13" t="inlineStr">
        <is>
          <t>10, 9, 8</t>
        </is>
      </c>
      <c r="G10" s="9" t="n">
        <v>3</v>
      </c>
      <c r="H10" s="9">
        <f>COUNTIF('Thuê bao'!$E$2:$E$677,B10)</f>
        <v/>
      </c>
      <c r="I10" s="9" t="n">
        <v>3</v>
      </c>
      <c r="J10" s="9" t="inlineStr">
        <is>
          <t>TR-A2</t>
        </is>
      </c>
      <c r="K10" s="13" t="inlineStr">
        <is>
          <t>Khớp (ODF96FO-04 @ tầng 9)</t>
        </is>
      </c>
    </row>
    <row r="11">
      <c r="A11" s="94" t="inlineStr">
        <is>
          <t>A</t>
        </is>
      </c>
      <c r="B11" s="95" t="inlineStr">
        <is>
          <t>TU-A7</t>
        </is>
      </c>
      <c r="C11" s="94" t="inlineStr">
        <is>
          <t>7F</t>
        </is>
      </c>
      <c r="D11" s="94" t="inlineStr">
        <is>
          <t>ODF96FO-03</t>
        </is>
      </c>
      <c r="E11" s="94" t="inlineStr">
        <is>
          <t>6F</t>
        </is>
      </c>
      <c r="F11" s="96" t="inlineStr">
        <is>
          <t>7, 6, 5</t>
        </is>
      </c>
      <c r="G11" s="94" t="n">
        <v>3</v>
      </c>
      <c r="H11" s="94">
        <f>COUNTIF('Thuê bao'!$E$2:$E$677,B11)</f>
        <v/>
      </c>
      <c r="I11" s="94" t="n">
        <v>3</v>
      </c>
      <c r="J11" s="94" t="inlineStr">
        <is>
          <t>TR-A1</t>
        </is>
      </c>
      <c r="K11" s="96" t="inlineStr">
        <is>
          <t>LỆCH tầng đặt: sổ tay 7F, bản vẽ 6F (ODF96FO-03)</t>
        </is>
      </c>
    </row>
    <row r="12">
      <c r="A12" s="94" t="inlineStr">
        <is>
          <t>A</t>
        </is>
      </c>
      <c r="B12" s="95" t="inlineStr">
        <is>
          <t>TU-A5</t>
        </is>
      </c>
      <c r="C12" s="94" t="inlineStr">
        <is>
          <t>5F</t>
        </is>
      </c>
      <c r="D12" s="94" t="inlineStr">
        <is>
          <t>ODF96FO-02</t>
        </is>
      </c>
      <c r="E12" s="94" t="inlineStr">
        <is>
          <t>4F</t>
        </is>
      </c>
      <c r="F12" s="96" t="inlineStr">
        <is>
          <t>4, 3</t>
        </is>
      </c>
      <c r="G12" s="94" t="n">
        <v>2</v>
      </c>
      <c r="H12" s="94">
        <f>COUNTIF('Thuê bao'!$E$2:$E$677,B12)</f>
        <v/>
      </c>
      <c r="I12" s="94" t="n">
        <v>3</v>
      </c>
      <c r="J12" s="94" t="inlineStr">
        <is>
          <t>TR-A1</t>
        </is>
      </c>
      <c r="K12" s="96" t="inlineStr">
        <is>
          <t>LỆCH tầng đặt: sổ tay 5F, bản vẽ 4F (ODF96FO-02)</t>
        </is>
      </c>
    </row>
    <row r="13">
      <c r="A13" s="9" t="inlineStr">
        <is>
          <t>A</t>
        </is>
      </c>
      <c r="B13" s="8" t="inlineStr">
        <is>
          <t>TU-A2</t>
        </is>
      </c>
      <c r="C13" s="9" t="inlineStr">
        <is>
          <t>2F</t>
        </is>
      </c>
      <c r="D13" s="9" t="inlineStr">
        <is>
          <t>ODF96FO-01</t>
        </is>
      </c>
      <c r="E13" s="9" t="inlineStr">
        <is>
          <t>2F</t>
        </is>
      </c>
      <c r="F13" s="13" t="inlineStr">
        <is>
          <t>2, 1</t>
        </is>
      </c>
      <c r="G13" s="9" t="n">
        <v>2</v>
      </c>
      <c r="H13" s="9">
        <f>COUNTIF('Thuê bao'!$E$2:$E$677,B13)</f>
        <v/>
      </c>
      <c r="I13" s="9" t="n">
        <v>3</v>
      </c>
      <c r="J13" s="9" t="inlineStr">
        <is>
          <t>TR-A1</t>
        </is>
      </c>
      <c r="K13" s="13" t="inlineStr">
        <is>
          <t>Khớp (ODF96FO-01 @ tầng 2)</t>
        </is>
      </c>
    </row>
    <row r="14">
      <c r="A14" s="9" t="inlineStr">
        <is>
          <t>B</t>
        </is>
      </c>
      <c r="B14" s="8" t="inlineStr">
        <is>
          <t>TU-B23</t>
        </is>
      </c>
      <c r="C14" s="9" t="inlineStr">
        <is>
          <t>23F</t>
        </is>
      </c>
      <c r="D14" s="9" t="inlineStr">
        <is>
          <t>ODF96FO-17</t>
        </is>
      </c>
      <c r="E14" s="9" t="inlineStr">
        <is>
          <t>23F</t>
        </is>
      </c>
      <c r="F14" s="13" t="inlineStr">
        <is>
          <t>23, 22</t>
        </is>
      </c>
      <c r="G14" s="9" t="n">
        <v>2</v>
      </c>
      <c r="H14" s="9">
        <f>COUNTIF('Thuê bao'!$E$2:$E$677,B14)</f>
        <v/>
      </c>
      <c r="I14" s="9" t="n">
        <v>2</v>
      </c>
      <c r="J14" s="9" t="inlineStr">
        <is>
          <t>TR-B3</t>
        </is>
      </c>
      <c r="K14" s="13" t="inlineStr">
        <is>
          <t>Khớp (ODF96FO-17 @ tầng 23)</t>
        </is>
      </c>
    </row>
    <row r="15">
      <c r="A15" s="9" t="inlineStr">
        <is>
          <t>B</t>
        </is>
      </c>
      <c r="B15" s="8" t="inlineStr">
        <is>
          <t>TU-B20</t>
        </is>
      </c>
      <c r="C15" s="9" t="inlineStr">
        <is>
          <t>20F</t>
        </is>
      </c>
      <c r="D15" s="9" t="inlineStr">
        <is>
          <t>ODF96FO-16</t>
        </is>
      </c>
      <c r="E15" s="9" t="inlineStr">
        <is>
          <t>20F</t>
        </is>
      </c>
      <c r="F15" s="13" t="inlineStr">
        <is>
          <t>21, 20, 19</t>
        </is>
      </c>
      <c r="G15" s="9" t="n">
        <v>3</v>
      </c>
      <c r="H15" s="9">
        <f>COUNTIF('Thuê bao'!$E$2:$E$677,B15)</f>
        <v/>
      </c>
      <c r="I15" s="9" t="n">
        <v>3</v>
      </c>
      <c r="J15" s="9" t="inlineStr">
        <is>
          <t>TR-B3</t>
        </is>
      </c>
      <c r="K15" s="13" t="inlineStr">
        <is>
          <t>Khớp (ODF96FO-16 @ tầng 20)</t>
        </is>
      </c>
    </row>
    <row r="16">
      <c r="A16" s="9" t="inlineStr">
        <is>
          <t>B</t>
        </is>
      </c>
      <c r="B16" s="8" t="inlineStr">
        <is>
          <t>TU-B17</t>
        </is>
      </c>
      <c r="C16" s="9" t="inlineStr">
        <is>
          <t>17F</t>
        </is>
      </c>
      <c r="D16" s="9" t="inlineStr">
        <is>
          <t>ODF96FO-15</t>
        </is>
      </c>
      <c r="E16" s="9" t="inlineStr">
        <is>
          <t>17F</t>
        </is>
      </c>
      <c r="F16" s="13" t="inlineStr">
        <is>
          <t>18, 17, 16</t>
        </is>
      </c>
      <c r="G16" s="9" t="n">
        <v>3</v>
      </c>
      <c r="H16" s="9">
        <f>COUNTIF('Thuê bao'!$E$2:$E$677,B16)</f>
        <v/>
      </c>
      <c r="I16" s="9" t="n">
        <v>3</v>
      </c>
      <c r="J16" s="9" t="inlineStr">
        <is>
          <t>TR-B3</t>
        </is>
      </c>
      <c r="K16" s="13" t="inlineStr">
        <is>
          <t>Khớp (ODF96FO-15 @ tầng 17)</t>
        </is>
      </c>
    </row>
    <row r="17">
      <c r="A17" s="9" t="inlineStr">
        <is>
          <t>B</t>
        </is>
      </c>
      <c r="B17" s="8" t="inlineStr">
        <is>
          <t>TU-B14</t>
        </is>
      </c>
      <c r="C17" s="9" t="inlineStr">
        <is>
          <t>14F</t>
        </is>
      </c>
      <c r="D17" s="9" t="inlineStr">
        <is>
          <t>ODF96FO-14</t>
        </is>
      </c>
      <c r="E17" s="9" t="inlineStr">
        <is>
          <t>14F</t>
        </is>
      </c>
      <c r="F17" s="13" t="inlineStr">
        <is>
          <t>15, 14, 12A</t>
        </is>
      </c>
      <c r="G17" s="9" t="n">
        <v>3</v>
      </c>
      <c r="H17" s="9">
        <f>COUNTIF('Thuê bao'!$E$2:$E$677,B17)</f>
        <v/>
      </c>
      <c r="I17" s="9" t="n">
        <v>3</v>
      </c>
      <c r="J17" s="9" t="inlineStr">
        <is>
          <t>TR-B2</t>
        </is>
      </c>
      <c r="K17" s="13" t="inlineStr">
        <is>
          <t>Khớp (ODF96FO-14 @ tầng 14)</t>
        </is>
      </c>
    </row>
    <row r="18">
      <c r="A18" s="9" t="inlineStr">
        <is>
          <t>B</t>
        </is>
      </c>
      <c r="B18" s="8" t="inlineStr">
        <is>
          <t>TU-B11</t>
        </is>
      </c>
      <c r="C18" s="9" t="inlineStr">
        <is>
          <t>11F</t>
        </is>
      </c>
      <c r="D18" s="9" t="inlineStr">
        <is>
          <t>ODF96FO-13</t>
        </is>
      </c>
      <c r="E18" s="9" t="inlineStr">
        <is>
          <t>11F</t>
        </is>
      </c>
      <c r="F18" s="13" t="inlineStr">
        <is>
          <t>12, 11, 10</t>
        </is>
      </c>
      <c r="G18" s="9" t="n">
        <v>3</v>
      </c>
      <c r="H18" s="9">
        <f>COUNTIF('Thuê bao'!$E$2:$E$677,B18)</f>
        <v/>
      </c>
      <c r="I18" s="9" t="n">
        <v>3</v>
      </c>
      <c r="J18" s="9" t="inlineStr">
        <is>
          <t>TR-B2</t>
        </is>
      </c>
      <c r="K18" s="13" t="inlineStr">
        <is>
          <t>Khớp (ODF96FO-13 @ tầng 11)</t>
        </is>
      </c>
    </row>
    <row r="19">
      <c r="A19" s="9" t="inlineStr">
        <is>
          <t>B</t>
        </is>
      </c>
      <c r="B19" s="8" t="inlineStr">
        <is>
          <t>TU-B8</t>
        </is>
      </c>
      <c r="C19" s="9" t="inlineStr">
        <is>
          <t>8F</t>
        </is>
      </c>
      <c r="D19" s="9" t="inlineStr">
        <is>
          <t>ODF96FO-12</t>
        </is>
      </c>
      <c r="E19" s="9" t="inlineStr">
        <is>
          <t>8F</t>
        </is>
      </c>
      <c r="F19" s="13" t="inlineStr">
        <is>
          <t>9, 8, 7</t>
        </is>
      </c>
      <c r="G19" s="9" t="n">
        <v>3</v>
      </c>
      <c r="H19" s="9">
        <f>COUNTIF('Thuê bao'!$E$2:$E$677,B19)</f>
        <v/>
      </c>
      <c r="I19" s="9" t="n">
        <v>3</v>
      </c>
      <c r="J19" s="9" t="inlineStr">
        <is>
          <t>TR-B2</t>
        </is>
      </c>
      <c r="K19" s="13" t="inlineStr">
        <is>
          <t>Khớp (ODF96FO-12 @ tầng 8)</t>
        </is>
      </c>
    </row>
    <row r="20">
      <c r="A20" s="9" t="inlineStr">
        <is>
          <t>B</t>
        </is>
      </c>
      <c r="B20" s="8" t="inlineStr">
        <is>
          <t>TU-B5</t>
        </is>
      </c>
      <c r="C20" s="9" t="inlineStr">
        <is>
          <t>5F</t>
        </is>
      </c>
      <c r="D20" s="9" t="inlineStr">
        <is>
          <t>ODF96FO-11</t>
        </is>
      </c>
      <c r="E20" s="9" t="inlineStr">
        <is>
          <t>5F</t>
        </is>
      </c>
      <c r="F20" s="13" t="inlineStr">
        <is>
          <t>6, 5, 4</t>
        </is>
      </c>
      <c r="G20" s="9" t="n">
        <v>3</v>
      </c>
      <c r="H20" s="9">
        <f>COUNTIF('Thuê bao'!$E$2:$E$677,B20)</f>
        <v/>
      </c>
      <c r="I20" s="9" t="n">
        <v>3</v>
      </c>
      <c r="J20" s="9" t="inlineStr">
        <is>
          <t>TR-B1</t>
        </is>
      </c>
      <c r="K20" s="13" t="inlineStr">
        <is>
          <t>Khớp (ODF96FO-11 @ tầng 5)</t>
        </is>
      </c>
    </row>
    <row r="21">
      <c r="A21" s="9" t="inlineStr">
        <is>
          <t>B</t>
        </is>
      </c>
      <c r="B21" s="8" t="inlineStr">
        <is>
          <t>TU-B2</t>
        </is>
      </c>
      <c r="C21" s="9" t="inlineStr">
        <is>
          <t>2F</t>
        </is>
      </c>
      <c r="D21" s="9" t="inlineStr">
        <is>
          <t>ODF96FO-10</t>
        </is>
      </c>
      <c r="E21" s="9" t="inlineStr">
        <is>
          <t>2F</t>
        </is>
      </c>
      <c r="F21" s="13" t="inlineStr">
        <is>
          <t>3, 2, 1</t>
        </is>
      </c>
      <c r="G21" s="9" t="n">
        <v>3</v>
      </c>
      <c r="H21" s="9">
        <f>COUNTIF('Thuê bao'!$E$2:$E$677,B21)</f>
        <v/>
      </c>
      <c r="I21" s="9" t="n">
        <v>5</v>
      </c>
      <c r="J21" s="9" t="inlineStr">
        <is>
          <t>TR-B1</t>
        </is>
      </c>
      <c r="K21" s="13" t="inlineStr">
        <is>
          <t>Khớp (ODF96FO-10 @ tầng 2)</t>
        </is>
      </c>
    </row>
    <row r="23">
      <c r="A23" s="97" t="inlineStr">
        <is>
          <t>KẾT QUẢ ĐỐI CHIẾU</t>
        </is>
      </c>
    </row>
    <row r="24" ht="30" customHeight="1">
      <c r="A24" s="98" t="inlineStr">
        <is>
          <t>• Tháp B: 8/8 tủ khớp hoàn toàn (tầng đặt và cụm gom): 23 (23-22) · 20 (21-19) · 17 (18-16) · 14 (15-12A) · 11 (12-10) · 8 (9-7) · 5 (6-4) · 2 (3-1).</t>
        </is>
      </c>
    </row>
    <row r="25" ht="30" customHeight="1">
      <c r="A25" s="98" t="inlineStr">
        <is>
          <t>• Tháp A: 7/9 tủ khớp. LỆCH 2 tủ: sổ tay ghi tủ 7F và 5F, bản vẽ gốc đặt ODF ở 6F (gom 7-6-5) và 4F (gom 4-3). Cần kiểm tra thực địa tủ nằm ở tầng nào.</t>
        </is>
      </c>
    </row>
    <row r="26" ht="30" customHeight="1">
      <c r="A26" s="98" t="inlineStr">
        <is>
          <t>• Mô hình dùng tên tủ theo sổ tay (TU-A7, TU-A5) nhưng cụm gom theo bản vẽ gốc: TU-A7 gom 7-6-5, TU-A5 gom 4-3, TU-A2 gom 2-1 (tầng 2 gom 2 tầng, 39 hộ).</t>
        </is>
      </c>
    </row>
    <row r="27" ht="30" customHeight="1">
      <c r="A27" s="98" t="inlineStr">
        <is>
          <t>• Sổ tay chưa thể hiện nhóm gom tầng → lấy từ bản vẽ gốc. Riêng tủ A23: bản vẽ gốc dùng ODF24FO-09 (chỉ 24FO) và chỉ phục vụ tầng 23 (14 hộ) nên lắp 1 splitter.</t>
        </is>
      </c>
    </row>
    <row r="28" ht="30" customHeight="1">
      <c r="A28" s="98" t="inlineStr">
        <is>
          <t>• Nhóm 3 tủ/cáp trục: chỉ có trong sổ tay (bản vẽ gốc không vẽ). Đánh số mới: TR-A1 = A7-A5-A2 (thấp), TR-A2 = A15-A12-A9, TR-A3 = A23-A21-A18; TR-B1 = B5-B2, TR-B2 = B14-B11-B8, TR-B3 = B23-B20-B17.</t>
        </is>
      </c>
    </row>
    <row r="29" ht="30" customHeight="1">
      <c r="A29" s="98" t="inlineStr">
        <is>
          <t>• Cả hai bản đều không có tầng 13 (dùng 12A). Số tầng: 23 tầng mỗi tháp, bản vẽ gốc: hàng box nằm trên đường nét đứt ghi tên tầng.</t>
        </is>
      </c>
    </row>
    <row r="30" ht="30" customHeight="1">
      <c r="A30" s="98" t="inlineStr">
        <is>
          <t>• Quy tắc splitter: MỖI SPLITTER CHỈ PHỤC VỤ 1 TẦNG (cáp 1FO từ tủ tới căn hộ đã đặt cố định theo tầng, không dùng lệch tầng). Tầng ≤16 hộ = 1 splitter; tầng &gt;16 hộ chia đều cho nhiều splitter. Riêng TU-B2 (tầng 3/2/1 = 17/22/9 hộ) cần 5 splitter (tủ 5 vị trí).</t>
        </is>
      </c>
    </row>
  </sheetData>
  <mergeCells count="8">
    <mergeCell ref="A26:K26"/>
    <mergeCell ref="A30:K30"/>
    <mergeCell ref="A29:K29"/>
    <mergeCell ref="A25:K25"/>
    <mergeCell ref="A24:K24"/>
    <mergeCell ref="A28:K28"/>
    <mergeCell ref="A23:K23"/>
    <mergeCell ref="A27:K27"/>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2F6FDE"/>
    <outlinePr summaryBelow="1" summaryRight="1"/>
    <pageSetUpPr fitToPage="1"/>
  </sheetPr>
  <dimension ref="A1:L148"/>
  <sheetViews>
    <sheetView showGridLines="0"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12" customWidth="1" min="4" max="4"/>
    <col width="14" customWidth="1" min="5" max="5"/>
    <col width="12" customWidth="1" min="6" max="6"/>
    <col width="16" customWidth="1" min="7" max="7"/>
    <col width="18" customWidth="1" min="8" max="8"/>
    <col width="12" customWidth="1" min="9" max="9"/>
    <col width="16" customWidth="1" min="10" max="10"/>
    <col width="10" customWidth="1" min="11" max="11"/>
    <col width="12" customWidth="1" min="12" max="12"/>
  </cols>
  <sheetData>
    <row r="1">
      <c r="A1" s="1" t="inlineStr">
        <is>
          <t>Bảng sợi cáp trục (6 cáp × 24FO)</t>
        </is>
      </c>
    </row>
    <row r="2">
      <c r="A2" s="2" t="inlineStr">
        <is>
          <t>Cáp 24FO = 4 ống đệm (xanh dương, cam, xanh lá, nâu) × 6 màu sợi (xanh dương, cam, xanh lá, nâu, xám, trắng). Mỗi hàng coupler trên khay ODF = 1 ống đệm.</t>
        </is>
      </c>
    </row>
    <row r="4" ht="36" customHeight="1">
      <c r="A4" s="7" t="inlineStr">
        <is>
          <t>Cáp trục</t>
        </is>
      </c>
      <c r="B4" s="7" t="inlineStr">
        <is>
          <t>Sợi</t>
        </is>
      </c>
      <c r="C4" s="7" t="inlineStr">
        <is>
          <t>Ống đệm</t>
        </is>
      </c>
      <c r="D4" s="7" t="inlineStr">
        <is>
          <t>Màu sợi</t>
        </is>
      </c>
      <c r="E4" s="7" t="inlineStr">
        <is>
          <t>Cáp nhánh 8FO # (từ dưới)</t>
        </is>
      </c>
      <c r="F4" s="7" t="inlineStr">
        <is>
          <t>Tủ</t>
        </is>
      </c>
      <c r="G4" s="7" t="inlineStr">
        <is>
          <t>Splitter 1:16</t>
        </is>
      </c>
      <c r="H4" s="7" t="inlineStr">
        <is>
          <t>ODF / khay</t>
        </is>
      </c>
      <c r="I4" s="7" t="inlineStr">
        <is>
          <t>Coupler (hàng-cột)</t>
        </is>
      </c>
      <c r="J4" s="7" t="inlineStr">
        <is>
          <t>Splitter PM / cổng</t>
        </is>
      </c>
      <c r="K4" s="7" t="inlineStr">
        <is>
          <t>PON</t>
        </is>
      </c>
      <c r="L4" s="7" t="inlineStr">
        <is>
          <t>Trạng thái</t>
        </is>
      </c>
    </row>
    <row r="5">
      <c r="A5" s="99" t="inlineStr">
        <is>
          <t>TR-A1</t>
        </is>
      </c>
      <c r="B5" s="99" t="n">
        <v>1</v>
      </c>
      <c r="C5" s="99" t="inlineStr">
        <is>
          <t>Ống 1 Xanh dương</t>
        </is>
      </c>
      <c r="D5" s="99" t="inlineStr">
        <is>
          <t>Xanh dương</t>
        </is>
      </c>
      <c r="E5" s="99" t="n">
        <v>1</v>
      </c>
      <c r="F5" s="99" t="inlineStr">
        <is>
          <t>TU-A2</t>
        </is>
      </c>
      <c r="G5" s="99" t="inlineStr">
        <is>
          <t>TU-A2/S1</t>
        </is>
      </c>
      <c r="H5" s="99" t="inlineStr">
        <is>
          <t>ODF-02 Trái</t>
        </is>
      </c>
      <c r="I5" s="99" t="inlineStr">
        <is>
          <t>H1-C1</t>
        </is>
      </c>
      <c r="J5" s="99" t="inlineStr">
        <is>
          <t>S4-01 / A-1</t>
        </is>
      </c>
      <c r="K5" s="99" t="inlineStr">
        <is>
          <t>PON-01</t>
        </is>
      </c>
      <c r="L5" s="100" t="inlineStr">
        <is>
          <t>Đang dùng</t>
        </is>
      </c>
    </row>
    <row r="6">
      <c r="A6" s="99" t="inlineStr">
        <is>
          <t>TR-A1</t>
        </is>
      </c>
      <c r="B6" s="99" t="n">
        <v>2</v>
      </c>
      <c r="C6" s="99" t="inlineStr">
        <is>
          <t>Ống 1 Xanh dương</t>
        </is>
      </c>
      <c r="D6" s="99" t="inlineStr">
        <is>
          <t>Cam</t>
        </is>
      </c>
      <c r="E6" s="99" t="n">
        <v>1</v>
      </c>
      <c r="F6" s="99" t="inlineStr">
        <is>
          <t>TU-A2</t>
        </is>
      </c>
      <c r="G6" s="99" t="inlineStr">
        <is>
          <t>TU-A2/S2</t>
        </is>
      </c>
      <c r="H6" s="99" t="inlineStr">
        <is>
          <t>ODF-02 Trái</t>
        </is>
      </c>
      <c r="I6" s="99" t="inlineStr">
        <is>
          <t>H1-C2</t>
        </is>
      </c>
      <c r="J6" s="99" t="inlineStr">
        <is>
          <t>S4-01 / A-2</t>
        </is>
      </c>
      <c r="K6" s="99" t="inlineStr">
        <is>
          <t>PON-01</t>
        </is>
      </c>
      <c r="L6" s="100" t="inlineStr">
        <is>
          <t>Đang dùng</t>
        </is>
      </c>
    </row>
    <row r="7">
      <c r="A7" s="99" t="inlineStr">
        <is>
          <t>TR-A1</t>
        </is>
      </c>
      <c r="B7" s="99" t="n">
        <v>3</v>
      </c>
      <c r="C7" s="99" t="inlineStr">
        <is>
          <t>Ống 1 Xanh dương</t>
        </is>
      </c>
      <c r="D7" s="99" t="inlineStr">
        <is>
          <t>Xanh lá</t>
        </is>
      </c>
      <c r="E7" s="99" t="n">
        <v>1</v>
      </c>
      <c r="F7" s="99" t="inlineStr">
        <is>
          <t>TU-A2</t>
        </is>
      </c>
      <c r="G7" s="99" t="inlineStr">
        <is>
          <t>TU-A2/S3</t>
        </is>
      </c>
      <c r="H7" s="99" t="inlineStr">
        <is>
          <t>ODF-02 Trái</t>
        </is>
      </c>
      <c r="I7" s="99" t="inlineStr">
        <is>
          <t>H1-C3</t>
        </is>
      </c>
      <c r="J7" s="99" t="inlineStr">
        <is>
          <t>S4-01 / A-3</t>
        </is>
      </c>
      <c r="K7" s="99" t="inlineStr">
        <is>
          <t>PON-01</t>
        </is>
      </c>
      <c r="L7" s="100" t="inlineStr">
        <is>
          <t>Đang dùng</t>
        </is>
      </c>
    </row>
    <row r="8">
      <c r="A8" s="99" t="inlineStr">
        <is>
          <t>TR-A1</t>
        </is>
      </c>
      <c r="B8" s="99" t="n">
        <v>4</v>
      </c>
      <c r="C8" s="99" t="inlineStr">
        <is>
          <t>Ống 1 Xanh dương</t>
        </is>
      </c>
      <c r="D8" s="99" t="inlineStr">
        <is>
          <t>Nâu</t>
        </is>
      </c>
      <c r="E8" s="99" t="n">
        <v>1</v>
      </c>
      <c r="F8" s="99" t="inlineStr">
        <is>
          <t>TU-A2</t>
        </is>
      </c>
      <c r="G8" s="99" t="inlineStr">
        <is>
          <t>—</t>
        </is>
      </c>
      <c r="H8" s="99" t="inlineStr">
        <is>
          <t>ODF-02 Trái</t>
        </is>
      </c>
      <c r="I8" s="99" t="inlineStr">
        <is>
          <t>H1-C4</t>
        </is>
      </c>
      <c r="J8" s="99" t="inlineStr">
        <is>
          <t>—</t>
        </is>
      </c>
      <c r="K8" s="99" t="inlineStr">
        <is>
          <t>—</t>
        </is>
      </c>
      <c r="L8" s="101" t="inlineStr">
        <is>
          <t>Dự phòng</t>
        </is>
      </c>
    </row>
    <row r="9">
      <c r="A9" s="99" t="inlineStr">
        <is>
          <t>TR-A1</t>
        </is>
      </c>
      <c r="B9" s="99" t="n">
        <v>5</v>
      </c>
      <c r="C9" s="99" t="inlineStr">
        <is>
          <t>Ống 1 Xanh dương</t>
        </is>
      </c>
      <c r="D9" s="99" t="inlineStr">
        <is>
          <t>Xám</t>
        </is>
      </c>
      <c r="E9" s="99" t="n">
        <v>1</v>
      </c>
      <c r="F9" s="99" t="inlineStr">
        <is>
          <t>TU-A2</t>
        </is>
      </c>
      <c r="G9" s="99" t="inlineStr">
        <is>
          <t>—</t>
        </is>
      </c>
      <c r="H9" s="99" t="inlineStr">
        <is>
          <t>ODF-02 Trái</t>
        </is>
      </c>
      <c r="I9" s="99" t="inlineStr">
        <is>
          <t>H1-C5</t>
        </is>
      </c>
      <c r="J9" s="99" t="inlineStr">
        <is>
          <t>—</t>
        </is>
      </c>
      <c r="K9" s="99" t="inlineStr">
        <is>
          <t>—</t>
        </is>
      </c>
      <c r="L9" s="101" t="inlineStr">
        <is>
          <t>Dự phòng</t>
        </is>
      </c>
    </row>
    <row r="10">
      <c r="A10" s="99" t="inlineStr">
        <is>
          <t>TR-A1</t>
        </is>
      </c>
      <c r="B10" s="99" t="n">
        <v>6</v>
      </c>
      <c r="C10" s="99" t="inlineStr">
        <is>
          <t>Ống 1 Xanh dương</t>
        </is>
      </c>
      <c r="D10" s="99" t="inlineStr">
        <is>
          <t>Trắng</t>
        </is>
      </c>
      <c r="E10" s="99" t="n">
        <v>1</v>
      </c>
      <c r="F10" s="99" t="inlineStr">
        <is>
          <t>TU-A2</t>
        </is>
      </c>
      <c r="G10" s="99" t="inlineStr">
        <is>
          <t>—</t>
        </is>
      </c>
      <c r="H10" s="99" t="inlineStr">
        <is>
          <t>ODF-02 Trái</t>
        </is>
      </c>
      <c r="I10" s="99" t="inlineStr">
        <is>
          <t>H1-C6</t>
        </is>
      </c>
      <c r="J10" s="99" t="inlineStr">
        <is>
          <t>—</t>
        </is>
      </c>
      <c r="K10" s="99" t="inlineStr">
        <is>
          <t>—</t>
        </is>
      </c>
      <c r="L10" s="101" t="inlineStr">
        <is>
          <t>Dự phòng</t>
        </is>
      </c>
    </row>
    <row r="11">
      <c r="A11" s="99" t="inlineStr">
        <is>
          <t>TR-A1</t>
        </is>
      </c>
      <c r="B11" s="99" t="n">
        <v>7</v>
      </c>
      <c r="C11" s="99" t="inlineStr">
        <is>
          <t>Ống 2 Cam</t>
        </is>
      </c>
      <c r="D11" s="99" t="inlineStr">
        <is>
          <t>Xanh dương</t>
        </is>
      </c>
      <c r="E11" s="99" t="n">
        <v>1</v>
      </c>
      <c r="F11" s="99" t="inlineStr">
        <is>
          <t>TU-A2</t>
        </is>
      </c>
      <c r="G11" s="99" t="inlineStr">
        <is>
          <t>—</t>
        </is>
      </c>
      <c r="H11" s="99" t="inlineStr">
        <is>
          <t>ODF-02 Trái</t>
        </is>
      </c>
      <c r="I11" s="99" t="inlineStr">
        <is>
          <t>H2-C1</t>
        </is>
      </c>
      <c r="J11" s="99" t="inlineStr">
        <is>
          <t>—</t>
        </is>
      </c>
      <c r="K11" s="99" t="inlineStr">
        <is>
          <t>—</t>
        </is>
      </c>
      <c r="L11" s="101" t="inlineStr">
        <is>
          <t>Dự phòng</t>
        </is>
      </c>
    </row>
    <row r="12">
      <c r="A12" s="99" t="inlineStr">
        <is>
          <t>TR-A1</t>
        </is>
      </c>
      <c r="B12" s="99" t="n">
        <v>8</v>
      </c>
      <c r="C12" s="99" t="inlineStr">
        <is>
          <t>Ống 2 Cam</t>
        </is>
      </c>
      <c r="D12" s="99" t="inlineStr">
        <is>
          <t>Cam</t>
        </is>
      </c>
      <c r="E12" s="99" t="n">
        <v>1</v>
      </c>
      <c r="F12" s="99" t="inlineStr">
        <is>
          <t>TU-A2</t>
        </is>
      </c>
      <c r="G12" s="99" t="inlineStr">
        <is>
          <t>—</t>
        </is>
      </c>
      <c r="H12" s="99" t="inlineStr">
        <is>
          <t>ODF-02 Trái</t>
        </is>
      </c>
      <c r="I12" s="99" t="inlineStr">
        <is>
          <t>H2-C2</t>
        </is>
      </c>
      <c r="J12" s="99" t="inlineStr">
        <is>
          <t>—</t>
        </is>
      </c>
      <c r="K12" s="99" t="inlineStr">
        <is>
          <t>—</t>
        </is>
      </c>
      <c r="L12" s="101" t="inlineStr">
        <is>
          <t>Dự phòng</t>
        </is>
      </c>
    </row>
    <row r="13">
      <c r="A13" s="99" t="inlineStr">
        <is>
          <t>TR-A1</t>
        </is>
      </c>
      <c r="B13" s="99" t="n">
        <v>9</v>
      </c>
      <c r="C13" s="99" t="inlineStr">
        <is>
          <t>Ống 2 Cam</t>
        </is>
      </c>
      <c r="D13" s="99" t="inlineStr">
        <is>
          <t>Xanh lá</t>
        </is>
      </c>
      <c r="E13" s="99" t="n">
        <v>2</v>
      </c>
      <c r="F13" s="99" t="inlineStr">
        <is>
          <t>TU-A5</t>
        </is>
      </c>
      <c r="G13" s="99" t="inlineStr">
        <is>
          <t>TU-A5/S1</t>
        </is>
      </c>
      <c r="H13" s="99" t="inlineStr">
        <is>
          <t>ODF-02 Trái</t>
        </is>
      </c>
      <c r="I13" s="99" t="inlineStr">
        <is>
          <t>H2-C3</t>
        </is>
      </c>
      <c r="J13" s="99" t="inlineStr">
        <is>
          <t>S4-02 / A-5</t>
        </is>
      </c>
      <c r="K13" s="99" t="inlineStr">
        <is>
          <t>PON-02</t>
        </is>
      </c>
      <c r="L13" s="100" t="inlineStr">
        <is>
          <t>Đang dùng</t>
        </is>
      </c>
    </row>
    <row r="14">
      <c r="A14" s="99" t="inlineStr">
        <is>
          <t>TR-A1</t>
        </is>
      </c>
      <c r="B14" s="99" t="n">
        <v>10</v>
      </c>
      <c r="C14" s="99" t="inlineStr">
        <is>
          <t>Ống 2 Cam</t>
        </is>
      </c>
      <c r="D14" s="99" t="inlineStr">
        <is>
          <t>Nâu</t>
        </is>
      </c>
      <c r="E14" s="99" t="n">
        <v>2</v>
      </c>
      <c r="F14" s="99" t="inlineStr">
        <is>
          <t>TU-A5</t>
        </is>
      </c>
      <c r="G14" s="99" t="inlineStr">
        <is>
          <t>TU-A5/S2</t>
        </is>
      </c>
      <c r="H14" s="99" t="inlineStr">
        <is>
          <t>ODF-02 Trái</t>
        </is>
      </c>
      <c r="I14" s="99" t="inlineStr">
        <is>
          <t>H2-C4</t>
        </is>
      </c>
      <c r="J14" s="99" t="inlineStr">
        <is>
          <t>S4-02 / A-6</t>
        </is>
      </c>
      <c r="K14" s="99" t="inlineStr">
        <is>
          <t>PON-02</t>
        </is>
      </c>
      <c r="L14" s="100" t="inlineStr">
        <is>
          <t>Đang dùng</t>
        </is>
      </c>
    </row>
    <row r="15">
      <c r="A15" s="99" t="inlineStr">
        <is>
          <t>TR-A1</t>
        </is>
      </c>
      <c r="B15" s="99" t="n">
        <v>11</v>
      </c>
      <c r="C15" s="99" t="inlineStr">
        <is>
          <t>Ống 2 Cam</t>
        </is>
      </c>
      <c r="D15" s="99" t="inlineStr">
        <is>
          <t>Xám</t>
        </is>
      </c>
      <c r="E15" s="99" t="n">
        <v>2</v>
      </c>
      <c r="F15" s="99" t="inlineStr">
        <is>
          <t>TU-A5</t>
        </is>
      </c>
      <c r="G15" s="99" t="inlineStr">
        <is>
          <t>TU-A5/S3</t>
        </is>
      </c>
      <c r="H15" s="99" t="inlineStr">
        <is>
          <t>ODF-02 Trái</t>
        </is>
      </c>
      <c r="I15" s="99" t="inlineStr">
        <is>
          <t>H2-C5</t>
        </is>
      </c>
      <c r="J15" s="99" t="inlineStr">
        <is>
          <t>S4-02 / A-7</t>
        </is>
      </c>
      <c r="K15" s="99" t="inlineStr">
        <is>
          <t>PON-02</t>
        </is>
      </c>
      <c r="L15" s="100" t="inlineStr">
        <is>
          <t>Đang dùng</t>
        </is>
      </c>
    </row>
    <row r="16">
      <c r="A16" s="99" t="inlineStr">
        <is>
          <t>TR-A1</t>
        </is>
      </c>
      <c r="B16" s="99" t="n">
        <v>12</v>
      </c>
      <c r="C16" s="99" t="inlineStr">
        <is>
          <t>Ống 2 Cam</t>
        </is>
      </c>
      <c r="D16" s="99" t="inlineStr">
        <is>
          <t>Trắng</t>
        </is>
      </c>
      <c r="E16" s="99" t="n">
        <v>2</v>
      </c>
      <c r="F16" s="99" t="inlineStr">
        <is>
          <t>TU-A5</t>
        </is>
      </c>
      <c r="G16" s="99" t="inlineStr">
        <is>
          <t>—</t>
        </is>
      </c>
      <c r="H16" s="99" t="inlineStr">
        <is>
          <t>ODF-02 Trái</t>
        </is>
      </c>
      <c r="I16" s="99" t="inlineStr">
        <is>
          <t>H2-C6</t>
        </is>
      </c>
      <c r="J16" s="99" t="inlineStr">
        <is>
          <t>—</t>
        </is>
      </c>
      <c r="K16" s="99" t="inlineStr">
        <is>
          <t>—</t>
        </is>
      </c>
      <c r="L16" s="101" t="inlineStr">
        <is>
          <t>Dự phòng</t>
        </is>
      </c>
    </row>
    <row r="17">
      <c r="A17" s="99" t="inlineStr">
        <is>
          <t>TR-A1</t>
        </is>
      </c>
      <c r="B17" s="99" t="n">
        <v>13</v>
      </c>
      <c r="C17" s="99" t="inlineStr">
        <is>
          <t>Ống 3 Xanh lá</t>
        </is>
      </c>
      <c r="D17" s="99" t="inlineStr">
        <is>
          <t>Xanh dương</t>
        </is>
      </c>
      <c r="E17" s="99" t="n">
        <v>2</v>
      </c>
      <c r="F17" s="99" t="inlineStr">
        <is>
          <t>TU-A5</t>
        </is>
      </c>
      <c r="G17" s="99" t="inlineStr">
        <is>
          <t>—</t>
        </is>
      </c>
      <c r="H17" s="99" t="inlineStr">
        <is>
          <t>ODF-02 Trái</t>
        </is>
      </c>
      <c r="I17" s="99" t="inlineStr">
        <is>
          <t>H3-C1</t>
        </is>
      </c>
      <c r="J17" s="99" t="inlineStr">
        <is>
          <t>—</t>
        </is>
      </c>
      <c r="K17" s="99" t="inlineStr">
        <is>
          <t>—</t>
        </is>
      </c>
      <c r="L17" s="101" t="inlineStr">
        <is>
          <t>Dự phòng</t>
        </is>
      </c>
    </row>
    <row r="18">
      <c r="A18" s="99" t="inlineStr">
        <is>
          <t>TR-A1</t>
        </is>
      </c>
      <c r="B18" s="99" t="n">
        <v>14</v>
      </c>
      <c r="C18" s="99" t="inlineStr">
        <is>
          <t>Ống 3 Xanh lá</t>
        </is>
      </c>
      <c r="D18" s="99" t="inlineStr">
        <is>
          <t>Cam</t>
        </is>
      </c>
      <c r="E18" s="99" t="n">
        <v>2</v>
      </c>
      <c r="F18" s="99" t="inlineStr">
        <is>
          <t>TU-A5</t>
        </is>
      </c>
      <c r="G18" s="99" t="inlineStr">
        <is>
          <t>—</t>
        </is>
      </c>
      <c r="H18" s="99" t="inlineStr">
        <is>
          <t>ODF-02 Trái</t>
        </is>
      </c>
      <c r="I18" s="99" t="inlineStr">
        <is>
          <t>H3-C2</t>
        </is>
      </c>
      <c r="J18" s="99" t="inlineStr">
        <is>
          <t>—</t>
        </is>
      </c>
      <c r="K18" s="99" t="inlineStr">
        <is>
          <t>—</t>
        </is>
      </c>
      <c r="L18" s="101" t="inlineStr">
        <is>
          <t>Dự phòng</t>
        </is>
      </c>
    </row>
    <row r="19">
      <c r="A19" s="99" t="inlineStr">
        <is>
          <t>TR-A1</t>
        </is>
      </c>
      <c r="B19" s="99" t="n">
        <v>15</v>
      </c>
      <c r="C19" s="99" t="inlineStr">
        <is>
          <t>Ống 3 Xanh lá</t>
        </is>
      </c>
      <c r="D19" s="99" t="inlineStr">
        <is>
          <t>Xanh lá</t>
        </is>
      </c>
      <c r="E19" s="99" t="n">
        <v>2</v>
      </c>
      <c r="F19" s="99" t="inlineStr">
        <is>
          <t>TU-A5</t>
        </is>
      </c>
      <c r="G19" s="99" t="inlineStr">
        <is>
          <t>—</t>
        </is>
      </c>
      <c r="H19" s="99" t="inlineStr">
        <is>
          <t>ODF-02 Trái</t>
        </is>
      </c>
      <c r="I19" s="99" t="inlineStr">
        <is>
          <t>H3-C3</t>
        </is>
      </c>
      <c r="J19" s="99" t="inlineStr">
        <is>
          <t>—</t>
        </is>
      </c>
      <c r="K19" s="99" t="inlineStr">
        <is>
          <t>—</t>
        </is>
      </c>
      <c r="L19" s="101" t="inlineStr">
        <is>
          <t>Dự phòng</t>
        </is>
      </c>
    </row>
    <row r="20">
      <c r="A20" s="99" t="inlineStr">
        <is>
          <t>TR-A1</t>
        </is>
      </c>
      <c r="B20" s="99" t="n">
        <v>16</v>
      </c>
      <c r="C20" s="99" t="inlineStr">
        <is>
          <t>Ống 3 Xanh lá</t>
        </is>
      </c>
      <c r="D20" s="99" t="inlineStr">
        <is>
          <t>Nâu</t>
        </is>
      </c>
      <c r="E20" s="99" t="n">
        <v>2</v>
      </c>
      <c r="F20" s="99" t="inlineStr">
        <is>
          <t>TU-A5</t>
        </is>
      </c>
      <c r="G20" s="99" t="inlineStr">
        <is>
          <t>—</t>
        </is>
      </c>
      <c r="H20" s="99" t="inlineStr">
        <is>
          <t>ODF-02 Trái</t>
        </is>
      </c>
      <c r="I20" s="99" t="inlineStr">
        <is>
          <t>H3-C4</t>
        </is>
      </c>
      <c r="J20" s="99" t="inlineStr">
        <is>
          <t>—</t>
        </is>
      </c>
      <c r="K20" s="99" t="inlineStr">
        <is>
          <t>—</t>
        </is>
      </c>
      <c r="L20" s="101" t="inlineStr">
        <is>
          <t>Dự phòng</t>
        </is>
      </c>
    </row>
    <row r="21">
      <c r="A21" s="99" t="inlineStr">
        <is>
          <t>TR-A1</t>
        </is>
      </c>
      <c r="B21" s="99" t="n">
        <v>17</v>
      </c>
      <c r="C21" s="99" t="inlineStr">
        <is>
          <t>Ống 3 Xanh lá</t>
        </is>
      </c>
      <c r="D21" s="99" t="inlineStr">
        <is>
          <t>Xám</t>
        </is>
      </c>
      <c r="E21" s="99" t="n">
        <v>3</v>
      </c>
      <c r="F21" s="99" t="inlineStr">
        <is>
          <t>TU-A7</t>
        </is>
      </c>
      <c r="G21" s="99" t="inlineStr">
        <is>
          <t>TU-A7/S1</t>
        </is>
      </c>
      <c r="H21" s="99" t="inlineStr">
        <is>
          <t>ODF-02 Trái</t>
        </is>
      </c>
      <c r="I21" s="99" t="inlineStr">
        <is>
          <t>H3-C5</t>
        </is>
      </c>
      <c r="J21" s="99" t="inlineStr">
        <is>
          <t>S4-03 / A-9</t>
        </is>
      </c>
      <c r="K21" s="99" t="inlineStr">
        <is>
          <t>PON-03</t>
        </is>
      </c>
      <c r="L21" s="100" t="inlineStr">
        <is>
          <t>Đang dùng</t>
        </is>
      </c>
    </row>
    <row r="22">
      <c r="A22" s="99" t="inlineStr">
        <is>
          <t>TR-A1</t>
        </is>
      </c>
      <c r="B22" s="99" t="n">
        <v>18</v>
      </c>
      <c r="C22" s="99" t="inlineStr">
        <is>
          <t>Ống 3 Xanh lá</t>
        </is>
      </c>
      <c r="D22" s="99" t="inlineStr">
        <is>
          <t>Trắng</t>
        </is>
      </c>
      <c r="E22" s="99" t="n">
        <v>3</v>
      </c>
      <c r="F22" s="99" t="inlineStr">
        <is>
          <t>TU-A7</t>
        </is>
      </c>
      <c r="G22" s="99" t="inlineStr">
        <is>
          <t>TU-A7/S2</t>
        </is>
      </c>
      <c r="H22" s="99" t="inlineStr">
        <is>
          <t>ODF-02 Trái</t>
        </is>
      </c>
      <c r="I22" s="99" t="inlineStr">
        <is>
          <t>H3-C6</t>
        </is>
      </c>
      <c r="J22" s="99" t="inlineStr">
        <is>
          <t>S4-03 / A-10</t>
        </is>
      </c>
      <c r="K22" s="99" t="inlineStr">
        <is>
          <t>PON-03</t>
        </is>
      </c>
      <c r="L22" s="100" t="inlineStr">
        <is>
          <t>Đang dùng</t>
        </is>
      </c>
    </row>
    <row r="23">
      <c r="A23" s="99" t="inlineStr">
        <is>
          <t>TR-A1</t>
        </is>
      </c>
      <c r="B23" s="99" t="n">
        <v>19</v>
      </c>
      <c r="C23" s="99" t="inlineStr">
        <is>
          <t>Ống 4 Nâu</t>
        </is>
      </c>
      <c r="D23" s="99" t="inlineStr">
        <is>
          <t>Xanh dương</t>
        </is>
      </c>
      <c r="E23" s="99" t="n">
        <v>3</v>
      </c>
      <c r="F23" s="99" t="inlineStr">
        <is>
          <t>TU-A7</t>
        </is>
      </c>
      <c r="G23" s="99" t="inlineStr">
        <is>
          <t>TU-A7/S3</t>
        </is>
      </c>
      <c r="H23" s="99" t="inlineStr">
        <is>
          <t>ODF-02 Trái</t>
        </is>
      </c>
      <c r="I23" s="99" t="inlineStr">
        <is>
          <t>H4-C1</t>
        </is>
      </c>
      <c r="J23" s="99" t="inlineStr">
        <is>
          <t>S4-03 / A-11</t>
        </is>
      </c>
      <c r="K23" s="99" t="inlineStr">
        <is>
          <t>PON-03</t>
        </is>
      </c>
      <c r="L23" s="100" t="inlineStr">
        <is>
          <t>Đang dùng</t>
        </is>
      </c>
    </row>
    <row r="24">
      <c r="A24" s="102" t="inlineStr">
        <is>
          <t>TR-A1</t>
        </is>
      </c>
      <c r="B24" s="102" t="n">
        <v>20</v>
      </c>
      <c r="C24" s="102" t="inlineStr">
        <is>
          <t>Ống 4 Nâu</t>
        </is>
      </c>
      <c r="D24" s="102" t="inlineStr">
        <is>
          <t>Cam</t>
        </is>
      </c>
      <c r="E24" s="102" t="n">
        <v>3</v>
      </c>
      <c r="F24" s="102" t="inlineStr">
        <is>
          <t>TU-A7</t>
        </is>
      </c>
      <c r="G24" s="102" t="inlineStr">
        <is>
          <t>—</t>
        </is>
      </c>
      <c r="H24" s="102" t="inlineStr">
        <is>
          <t>ODF-02 Trái</t>
        </is>
      </c>
      <c r="I24" s="102" t="inlineStr">
        <is>
          <t>H4-C2</t>
        </is>
      </c>
      <c r="J24" s="102" t="inlineStr">
        <is>
          <t>—</t>
        </is>
      </c>
      <c r="K24" s="102" t="inlineStr">
        <is>
          <t>—</t>
        </is>
      </c>
      <c r="L24" s="101" t="inlineStr">
        <is>
          <t>Dự phòng</t>
        </is>
      </c>
    </row>
    <row r="25">
      <c r="A25" s="102" t="inlineStr">
        <is>
          <t>TR-A1</t>
        </is>
      </c>
      <c r="B25" s="102" t="n">
        <v>21</v>
      </c>
      <c r="C25" s="102" t="inlineStr">
        <is>
          <t>Ống 4 Nâu</t>
        </is>
      </c>
      <c r="D25" s="102" t="inlineStr">
        <is>
          <t>Xanh lá</t>
        </is>
      </c>
      <c r="E25" s="102" t="n">
        <v>3</v>
      </c>
      <c r="F25" s="102" t="inlineStr">
        <is>
          <t>TU-A7</t>
        </is>
      </c>
      <c r="G25" s="102" t="inlineStr">
        <is>
          <t>—</t>
        </is>
      </c>
      <c r="H25" s="102" t="inlineStr">
        <is>
          <t>ODF-02 Trái</t>
        </is>
      </c>
      <c r="I25" s="102" t="inlineStr">
        <is>
          <t>H4-C3</t>
        </is>
      </c>
      <c r="J25" s="102" t="inlineStr">
        <is>
          <t>—</t>
        </is>
      </c>
      <c r="K25" s="102" t="inlineStr">
        <is>
          <t>—</t>
        </is>
      </c>
      <c r="L25" s="101" t="inlineStr">
        <is>
          <t>Dự phòng</t>
        </is>
      </c>
    </row>
    <row r="26">
      <c r="A26" s="102" t="inlineStr">
        <is>
          <t>TR-A1</t>
        </is>
      </c>
      <c r="B26" s="102" t="n">
        <v>22</v>
      </c>
      <c r="C26" s="102" t="inlineStr">
        <is>
          <t>Ống 4 Nâu</t>
        </is>
      </c>
      <c r="D26" s="102" t="inlineStr">
        <is>
          <t>Nâu</t>
        </is>
      </c>
      <c r="E26" s="102" t="n">
        <v>3</v>
      </c>
      <c r="F26" s="102" t="inlineStr">
        <is>
          <t>TU-A7</t>
        </is>
      </c>
      <c r="G26" s="102" t="inlineStr">
        <is>
          <t>—</t>
        </is>
      </c>
      <c r="H26" s="102" t="inlineStr">
        <is>
          <t>ODF-02 Trái</t>
        </is>
      </c>
      <c r="I26" s="102" t="inlineStr">
        <is>
          <t>H4-C4</t>
        </is>
      </c>
      <c r="J26" s="102" t="inlineStr">
        <is>
          <t>—</t>
        </is>
      </c>
      <c r="K26" s="102" t="inlineStr">
        <is>
          <t>—</t>
        </is>
      </c>
      <c r="L26" s="101" t="inlineStr">
        <is>
          <t>Dự phòng</t>
        </is>
      </c>
    </row>
    <row r="27">
      <c r="A27" s="102" t="inlineStr">
        <is>
          <t>TR-A1</t>
        </is>
      </c>
      <c r="B27" s="102" t="n">
        <v>23</v>
      </c>
      <c r="C27" s="102" t="inlineStr">
        <is>
          <t>Ống 4 Nâu</t>
        </is>
      </c>
      <c r="D27" s="102" t="inlineStr">
        <is>
          <t>Xám</t>
        </is>
      </c>
      <c r="E27" s="102" t="n">
        <v>3</v>
      </c>
      <c r="F27" s="102" t="inlineStr">
        <is>
          <t>TU-A7</t>
        </is>
      </c>
      <c r="G27" s="102" t="inlineStr">
        <is>
          <t>—</t>
        </is>
      </c>
      <c r="H27" s="102" t="inlineStr">
        <is>
          <t>ODF-02 Trái</t>
        </is>
      </c>
      <c r="I27" s="102" t="inlineStr">
        <is>
          <t>H4-C5</t>
        </is>
      </c>
      <c r="J27" s="102" t="inlineStr">
        <is>
          <t>—</t>
        </is>
      </c>
      <c r="K27" s="102" t="inlineStr">
        <is>
          <t>—</t>
        </is>
      </c>
      <c r="L27" s="101" t="inlineStr">
        <is>
          <t>Dự phòng</t>
        </is>
      </c>
    </row>
    <row r="28">
      <c r="A28" s="102" t="inlineStr">
        <is>
          <t>TR-A1</t>
        </is>
      </c>
      <c r="B28" s="102" t="n">
        <v>24</v>
      </c>
      <c r="C28" s="102" t="inlineStr">
        <is>
          <t>Ống 4 Nâu</t>
        </is>
      </c>
      <c r="D28" s="102" t="inlineStr">
        <is>
          <t>Trắng</t>
        </is>
      </c>
      <c r="E28" s="102" t="n">
        <v>3</v>
      </c>
      <c r="F28" s="102" t="inlineStr">
        <is>
          <t>TU-A7</t>
        </is>
      </c>
      <c r="G28" s="102" t="inlineStr">
        <is>
          <t>—</t>
        </is>
      </c>
      <c r="H28" s="102" t="inlineStr">
        <is>
          <t>ODF-02 Trái</t>
        </is>
      </c>
      <c r="I28" s="102" t="inlineStr">
        <is>
          <t>H4-C6</t>
        </is>
      </c>
      <c r="J28" s="102" t="inlineStr">
        <is>
          <t>—</t>
        </is>
      </c>
      <c r="K28" s="102" t="inlineStr">
        <is>
          <t>—</t>
        </is>
      </c>
      <c r="L28" s="101" t="inlineStr">
        <is>
          <t>Dự phòng</t>
        </is>
      </c>
    </row>
    <row r="29">
      <c r="A29" s="102" t="inlineStr">
        <is>
          <t>TR-A2</t>
        </is>
      </c>
      <c r="B29" s="102" t="n">
        <v>1</v>
      </c>
      <c r="C29" s="102" t="inlineStr">
        <is>
          <t>Ống 1 Xanh dương</t>
        </is>
      </c>
      <c r="D29" s="102" t="inlineStr">
        <is>
          <t>Xanh dương</t>
        </is>
      </c>
      <c r="E29" s="102" t="n">
        <v>1</v>
      </c>
      <c r="F29" s="102" t="inlineStr">
        <is>
          <t>TU-A9</t>
        </is>
      </c>
      <c r="G29" s="102" t="inlineStr">
        <is>
          <t>TU-A9/S1</t>
        </is>
      </c>
      <c r="H29" s="102" t="inlineStr">
        <is>
          <t>ODF-08/09 Trái</t>
        </is>
      </c>
      <c r="I29" s="102" t="inlineStr">
        <is>
          <t>H1-C1</t>
        </is>
      </c>
      <c r="J29" s="102" t="inlineStr">
        <is>
          <t>S4-04 / A-13</t>
        </is>
      </c>
      <c r="K29" s="102" t="inlineStr">
        <is>
          <t>PON-04</t>
        </is>
      </c>
      <c r="L29" s="100" t="inlineStr">
        <is>
          <t>Đang dùng</t>
        </is>
      </c>
    </row>
    <row r="30">
      <c r="A30" s="102" t="inlineStr">
        <is>
          <t>TR-A2</t>
        </is>
      </c>
      <c r="B30" s="102" t="n">
        <v>2</v>
      </c>
      <c r="C30" s="102" t="inlineStr">
        <is>
          <t>Ống 1 Xanh dương</t>
        </is>
      </c>
      <c r="D30" s="102" t="inlineStr">
        <is>
          <t>Cam</t>
        </is>
      </c>
      <c r="E30" s="102" t="n">
        <v>1</v>
      </c>
      <c r="F30" s="102" t="inlineStr">
        <is>
          <t>TU-A9</t>
        </is>
      </c>
      <c r="G30" s="102" t="inlineStr">
        <is>
          <t>TU-A9/S2</t>
        </is>
      </c>
      <c r="H30" s="102" t="inlineStr">
        <is>
          <t>ODF-08/09 Trái</t>
        </is>
      </c>
      <c r="I30" s="102" t="inlineStr">
        <is>
          <t>H1-C2</t>
        </is>
      </c>
      <c r="J30" s="102" t="inlineStr">
        <is>
          <t>S4-04 / A-14</t>
        </is>
      </c>
      <c r="K30" s="102" t="inlineStr">
        <is>
          <t>PON-04</t>
        </is>
      </c>
      <c r="L30" s="100" t="inlineStr">
        <is>
          <t>Đang dùng</t>
        </is>
      </c>
    </row>
    <row r="31">
      <c r="A31" s="102" t="inlineStr">
        <is>
          <t>TR-A2</t>
        </is>
      </c>
      <c r="B31" s="102" t="n">
        <v>3</v>
      </c>
      <c r="C31" s="102" t="inlineStr">
        <is>
          <t>Ống 1 Xanh dương</t>
        </is>
      </c>
      <c r="D31" s="102" t="inlineStr">
        <is>
          <t>Xanh lá</t>
        </is>
      </c>
      <c r="E31" s="102" t="n">
        <v>1</v>
      </c>
      <c r="F31" s="102" t="inlineStr">
        <is>
          <t>TU-A9</t>
        </is>
      </c>
      <c r="G31" s="102" t="inlineStr">
        <is>
          <t>TU-A9/S3</t>
        </is>
      </c>
      <c r="H31" s="102" t="inlineStr">
        <is>
          <t>ODF-08/09 Trái</t>
        </is>
      </c>
      <c r="I31" s="102" t="inlineStr">
        <is>
          <t>H1-C3</t>
        </is>
      </c>
      <c r="J31" s="102" t="inlineStr">
        <is>
          <t>S4-04 / A-15</t>
        </is>
      </c>
      <c r="K31" s="102" t="inlineStr">
        <is>
          <t>PON-04</t>
        </is>
      </c>
      <c r="L31" s="100" t="inlineStr">
        <is>
          <t>Đang dùng</t>
        </is>
      </c>
    </row>
    <row r="32">
      <c r="A32" s="102" t="inlineStr">
        <is>
          <t>TR-A2</t>
        </is>
      </c>
      <c r="B32" s="102" t="n">
        <v>4</v>
      </c>
      <c r="C32" s="102" t="inlineStr">
        <is>
          <t>Ống 1 Xanh dương</t>
        </is>
      </c>
      <c r="D32" s="102" t="inlineStr">
        <is>
          <t>Nâu</t>
        </is>
      </c>
      <c r="E32" s="102" t="n">
        <v>1</v>
      </c>
      <c r="F32" s="102" t="inlineStr">
        <is>
          <t>TU-A9</t>
        </is>
      </c>
      <c r="G32" s="102" t="inlineStr">
        <is>
          <t>—</t>
        </is>
      </c>
      <c r="H32" s="102" t="inlineStr">
        <is>
          <t>ODF-08/09 Trái</t>
        </is>
      </c>
      <c r="I32" s="102" t="inlineStr">
        <is>
          <t>H1-C4</t>
        </is>
      </c>
      <c r="J32" s="102" t="inlineStr">
        <is>
          <t>—</t>
        </is>
      </c>
      <c r="K32" s="102" t="inlineStr">
        <is>
          <t>—</t>
        </is>
      </c>
      <c r="L32" s="101" t="inlineStr">
        <is>
          <t>Dự phòng</t>
        </is>
      </c>
    </row>
    <row r="33">
      <c r="A33" s="102" t="inlineStr">
        <is>
          <t>TR-A2</t>
        </is>
      </c>
      <c r="B33" s="102" t="n">
        <v>5</v>
      </c>
      <c r="C33" s="102" t="inlineStr">
        <is>
          <t>Ống 1 Xanh dương</t>
        </is>
      </c>
      <c r="D33" s="102" t="inlineStr">
        <is>
          <t>Xám</t>
        </is>
      </c>
      <c r="E33" s="102" t="n">
        <v>1</v>
      </c>
      <c r="F33" s="102" t="inlineStr">
        <is>
          <t>TU-A9</t>
        </is>
      </c>
      <c r="G33" s="102" t="inlineStr">
        <is>
          <t>—</t>
        </is>
      </c>
      <c r="H33" s="102" t="inlineStr">
        <is>
          <t>ODF-08/09 Trái</t>
        </is>
      </c>
      <c r="I33" s="102" t="inlineStr">
        <is>
          <t>H1-C5</t>
        </is>
      </c>
      <c r="J33" s="102" t="inlineStr">
        <is>
          <t>—</t>
        </is>
      </c>
      <c r="K33" s="102" t="inlineStr">
        <is>
          <t>—</t>
        </is>
      </c>
      <c r="L33" s="101" t="inlineStr">
        <is>
          <t>Dự phòng</t>
        </is>
      </c>
    </row>
    <row r="34">
      <c r="A34" s="102" t="inlineStr">
        <is>
          <t>TR-A2</t>
        </is>
      </c>
      <c r="B34" s="102" t="n">
        <v>6</v>
      </c>
      <c r="C34" s="102" t="inlineStr">
        <is>
          <t>Ống 1 Xanh dương</t>
        </is>
      </c>
      <c r="D34" s="102" t="inlineStr">
        <is>
          <t>Trắng</t>
        </is>
      </c>
      <c r="E34" s="102" t="n">
        <v>1</v>
      </c>
      <c r="F34" s="102" t="inlineStr">
        <is>
          <t>TU-A9</t>
        </is>
      </c>
      <c r="G34" s="102" t="inlineStr">
        <is>
          <t>—</t>
        </is>
      </c>
      <c r="H34" s="102" t="inlineStr">
        <is>
          <t>ODF-08/09 Trái</t>
        </is>
      </c>
      <c r="I34" s="102" t="inlineStr">
        <is>
          <t>H1-C6</t>
        </is>
      </c>
      <c r="J34" s="102" t="inlineStr">
        <is>
          <t>—</t>
        </is>
      </c>
      <c r="K34" s="102" t="inlineStr">
        <is>
          <t>—</t>
        </is>
      </c>
      <c r="L34" s="101" t="inlineStr">
        <is>
          <t>Dự phòng</t>
        </is>
      </c>
    </row>
    <row r="35">
      <c r="A35" s="102" t="inlineStr">
        <is>
          <t>TR-A2</t>
        </is>
      </c>
      <c r="B35" s="102" t="n">
        <v>7</v>
      </c>
      <c r="C35" s="102" t="inlineStr">
        <is>
          <t>Ống 2 Cam</t>
        </is>
      </c>
      <c r="D35" s="102" t="inlineStr">
        <is>
          <t>Xanh dương</t>
        </is>
      </c>
      <c r="E35" s="102" t="n">
        <v>1</v>
      </c>
      <c r="F35" s="102" t="inlineStr">
        <is>
          <t>TU-A9</t>
        </is>
      </c>
      <c r="G35" s="102" t="inlineStr">
        <is>
          <t>—</t>
        </is>
      </c>
      <c r="H35" s="102" t="inlineStr">
        <is>
          <t>ODF-08/09 Trái</t>
        </is>
      </c>
      <c r="I35" s="102" t="inlineStr">
        <is>
          <t>H2-C1</t>
        </is>
      </c>
      <c r="J35" s="102" t="inlineStr">
        <is>
          <t>—</t>
        </is>
      </c>
      <c r="K35" s="102" t="inlineStr">
        <is>
          <t>—</t>
        </is>
      </c>
      <c r="L35" s="101" t="inlineStr">
        <is>
          <t>Dự phòng</t>
        </is>
      </c>
    </row>
    <row r="36">
      <c r="A36" s="102" t="inlineStr">
        <is>
          <t>TR-A2</t>
        </is>
      </c>
      <c r="B36" s="102" t="n">
        <v>8</v>
      </c>
      <c r="C36" s="102" t="inlineStr">
        <is>
          <t>Ống 2 Cam</t>
        </is>
      </c>
      <c r="D36" s="102" t="inlineStr">
        <is>
          <t>Cam</t>
        </is>
      </c>
      <c r="E36" s="102" t="n">
        <v>1</v>
      </c>
      <c r="F36" s="102" t="inlineStr">
        <is>
          <t>TU-A9</t>
        </is>
      </c>
      <c r="G36" s="102" t="inlineStr">
        <is>
          <t>—</t>
        </is>
      </c>
      <c r="H36" s="102" t="inlineStr">
        <is>
          <t>ODF-08/09 Trái</t>
        </is>
      </c>
      <c r="I36" s="102" t="inlineStr">
        <is>
          <t>H2-C2</t>
        </is>
      </c>
      <c r="J36" s="102" t="inlineStr">
        <is>
          <t>—</t>
        </is>
      </c>
      <c r="K36" s="102" t="inlineStr">
        <is>
          <t>—</t>
        </is>
      </c>
      <c r="L36" s="101" t="inlineStr">
        <is>
          <t>Dự phòng</t>
        </is>
      </c>
    </row>
    <row r="37">
      <c r="A37" s="102" t="inlineStr">
        <is>
          <t>TR-A2</t>
        </is>
      </c>
      <c r="B37" s="102" t="n">
        <v>9</v>
      </c>
      <c r="C37" s="102" t="inlineStr">
        <is>
          <t>Ống 2 Cam</t>
        </is>
      </c>
      <c r="D37" s="102" t="inlineStr">
        <is>
          <t>Xanh lá</t>
        </is>
      </c>
      <c r="E37" s="102" t="n">
        <v>2</v>
      </c>
      <c r="F37" s="102" t="inlineStr">
        <is>
          <t>TU-A12</t>
        </is>
      </c>
      <c r="G37" s="102" t="inlineStr">
        <is>
          <t>TU-A12/S1</t>
        </is>
      </c>
      <c r="H37" s="102" t="inlineStr">
        <is>
          <t>ODF-08/09 Trái</t>
        </is>
      </c>
      <c r="I37" s="102" t="inlineStr">
        <is>
          <t>H2-C3</t>
        </is>
      </c>
      <c r="J37" s="102" t="inlineStr">
        <is>
          <t>S4-05 / A-17</t>
        </is>
      </c>
      <c r="K37" s="102" t="inlineStr">
        <is>
          <t>PON-05</t>
        </is>
      </c>
      <c r="L37" s="100" t="inlineStr">
        <is>
          <t>Đang dùng</t>
        </is>
      </c>
    </row>
    <row r="38">
      <c r="A38" s="102" t="inlineStr">
        <is>
          <t>TR-A2</t>
        </is>
      </c>
      <c r="B38" s="102" t="n">
        <v>10</v>
      </c>
      <c r="C38" s="102" t="inlineStr">
        <is>
          <t>Ống 2 Cam</t>
        </is>
      </c>
      <c r="D38" s="102" t="inlineStr">
        <is>
          <t>Nâu</t>
        </is>
      </c>
      <c r="E38" s="102" t="n">
        <v>2</v>
      </c>
      <c r="F38" s="102" t="inlineStr">
        <is>
          <t>TU-A12</t>
        </is>
      </c>
      <c r="G38" s="102" t="inlineStr">
        <is>
          <t>TU-A12/S2</t>
        </is>
      </c>
      <c r="H38" s="102" t="inlineStr">
        <is>
          <t>ODF-08/09 Trái</t>
        </is>
      </c>
      <c r="I38" s="102" t="inlineStr">
        <is>
          <t>H2-C4</t>
        </is>
      </c>
      <c r="J38" s="102" t="inlineStr">
        <is>
          <t>S4-05 / A-18</t>
        </is>
      </c>
      <c r="K38" s="102" t="inlineStr">
        <is>
          <t>PON-05</t>
        </is>
      </c>
      <c r="L38" s="100" t="inlineStr">
        <is>
          <t>Đang dùng</t>
        </is>
      </c>
    </row>
    <row r="39">
      <c r="A39" s="102" t="inlineStr">
        <is>
          <t>TR-A2</t>
        </is>
      </c>
      <c r="B39" s="102" t="n">
        <v>11</v>
      </c>
      <c r="C39" s="102" t="inlineStr">
        <is>
          <t>Ống 2 Cam</t>
        </is>
      </c>
      <c r="D39" s="102" t="inlineStr">
        <is>
          <t>Xám</t>
        </is>
      </c>
      <c r="E39" s="102" t="n">
        <v>2</v>
      </c>
      <c r="F39" s="102" t="inlineStr">
        <is>
          <t>TU-A12</t>
        </is>
      </c>
      <c r="G39" s="102" t="inlineStr">
        <is>
          <t>TU-A12/S3</t>
        </is>
      </c>
      <c r="H39" s="102" t="inlineStr">
        <is>
          <t>ODF-08/09 Trái</t>
        </is>
      </c>
      <c r="I39" s="102" t="inlineStr">
        <is>
          <t>H2-C5</t>
        </is>
      </c>
      <c r="J39" s="102" t="inlineStr">
        <is>
          <t>S4-05 / A-19</t>
        </is>
      </c>
      <c r="K39" s="102" t="inlineStr">
        <is>
          <t>PON-05</t>
        </is>
      </c>
      <c r="L39" s="100" t="inlineStr">
        <is>
          <t>Đang dùng</t>
        </is>
      </c>
    </row>
    <row r="40">
      <c r="A40" s="102" t="inlineStr">
        <is>
          <t>TR-A2</t>
        </is>
      </c>
      <c r="B40" s="102" t="n">
        <v>12</v>
      </c>
      <c r="C40" s="102" t="inlineStr">
        <is>
          <t>Ống 2 Cam</t>
        </is>
      </c>
      <c r="D40" s="102" t="inlineStr">
        <is>
          <t>Trắng</t>
        </is>
      </c>
      <c r="E40" s="102" t="n">
        <v>2</v>
      </c>
      <c r="F40" s="102" t="inlineStr">
        <is>
          <t>TU-A12</t>
        </is>
      </c>
      <c r="G40" s="102" t="inlineStr">
        <is>
          <t>—</t>
        </is>
      </c>
      <c r="H40" s="102" t="inlineStr">
        <is>
          <t>ODF-08/09 Trái</t>
        </is>
      </c>
      <c r="I40" s="102" t="inlineStr">
        <is>
          <t>H2-C6</t>
        </is>
      </c>
      <c r="J40" s="102" t="inlineStr">
        <is>
          <t>—</t>
        </is>
      </c>
      <c r="K40" s="102" t="inlineStr">
        <is>
          <t>—</t>
        </is>
      </c>
      <c r="L40" s="101" t="inlineStr">
        <is>
          <t>Dự phòng</t>
        </is>
      </c>
    </row>
    <row r="41">
      <c r="A41" s="102" t="inlineStr">
        <is>
          <t>TR-A2</t>
        </is>
      </c>
      <c r="B41" s="102" t="n">
        <v>13</v>
      </c>
      <c r="C41" s="102" t="inlineStr">
        <is>
          <t>Ống 3 Xanh lá</t>
        </is>
      </c>
      <c r="D41" s="102" t="inlineStr">
        <is>
          <t>Xanh dương</t>
        </is>
      </c>
      <c r="E41" s="102" t="n">
        <v>2</v>
      </c>
      <c r="F41" s="102" t="inlineStr">
        <is>
          <t>TU-A12</t>
        </is>
      </c>
      <c r="G41" s="102" t="inlineStr">
        <is>
          <t>—</t>
        </is>
      </c>
      <c r="H41" s="102" t="inlineStr">
        <is>
          <t>ODF-08/09 Trái</t>
        </is>
      </c>
      <c r="I41" s="102" t="inlineStr">
        <is>
          <t>H3-C1</t>
        </is>
      </c>
      <c r="J41" s="102" t="inlineStr">
        <is>
          <t>—</t>
        </is>
      </c>
      <c r="K41" s="102" t="inlineStr">
        <is>
          <t>—</t>
        </is>
      </c>
      <c r="L41" s="101" t="inlineStr">
        <is>
          <t>Dự phòng</t>
        </is>
      </c>
    </row>
    <row r="42">
      <c r="A42" s="102" t="inlineStr">
        <is>
          <t>TR-A2</t>
        </is>
      </c>
      <c r="B42" s="102" t="n">
        <v>14</v>
      </c>
      <c r="C42" s="102" t="inlineStr">
        <is>
          <t>Ống 3 Xanh lá</t>
        </is>
      </c>
      <c r="D42" s="102" t="inlineStr">
        <is>
          <t>Cam</t>
        </is>
      </c>
      <c r="E42" s="102" t="n">
        <v>2</v>
      </c>
      <c r="F42" s="102" t="inlineStr">
        <is>
          <t>TU-A12</t>
        </is>
      </c>
      <c r="G42" s="102" t="inlineStr">
        <is>
          <t>—</t>
        </is>
      </c>
      <c r="H42" s="102" t="inlineStr">
        <is>
          <t>ODF-08/09 Trái</t>
        </is>
      </c>
      <c r="I42" s="102" t="inlineStr">
        <is>
          <t>H3-C2</t>
        </is>
      </c>
      <c r="J42" s="102" t="inlineStr">
        <is>
          <t>—</t>
        </is>
      </c>
      <c r="K42" s="102" t="inlineStr">
        <is>
          <t>—</t>
        </is>
      </c>
      <c r="L42" s="101" t="inlineStr">
        <is>
          <t>Dự phòng</t>
        </is>
      </c>
    </row>
    <row r="43">
      <c r="A43" s="102" t="inlineStr">
        <is>
          <t>TR-A2</t>
        </is>
      </c>
      <c r="B43" s="102" t="n">
        <v>15</v>
      </c>
      <c r="C43" s="102" t="inlineStr">
        <is>
          <t>Ống 3 Xanh lá</t>
        </is>
      </c>
      <c r="D43" s="102" t="inlineStr">
        <is>
          <t>Xanh lá</t>
        </is>
      </c>
      <c r="E43" s="102" t="n">
        <v>2</v>
      </c>
      <c r="F43" s="102" t="inlineStr">
        <is>
          <t>TU-A12</t>
        </is>
      </c>
      <c r="G43" s="102" t="inlineStr">
        <is>
          <t>—</t>
        </is>
      </c>
      <c r="H43" s="102" t="inlineStr">
        <is>
          <t>ODF-08/09 Trái</t>
        </is>
      </c>
      <c r="I43" s="102" t="inlineStr">
        <is>
          <t>H3-C3</t>
        </is>
      </c>
      <c r="J43" s="102" t="inlineStr">
        <is>
          <t>—</t>
        </is>
      </c>
      <c r="K43" s="102" t="inlineStr">
        <is>
          <t>—</t>
        </is>
      </c>
      <c r="L43" s="101" t="inlineStr">
        <is>
          <t>Dự phòng</t>
        </is>
      </c>
    </row>
    <row r="44">
      <c r="A44" s="102" t="inlineStr">
        <is>
          <t>TR-A2</t>
        </is>
      </c>
      <c r="B44" s="102" t="n">
        <v>16</v>
      </c>
      <c r="C44" s="102" t="inlineStr">
        <is>
          <t>Ống 3 Xanh lá</t>
        </is>
      </c>
      <c r="D44" s="102" t="inlineStr">
        <is>
          <t>Nâu</t>
        </is>
      </c>
      <c r="E44" s="102" t="n">
        <v>2</v>
      </c>
      <c r="F44" s="102" t="inlineStr">
        <is>
          <t>TU-A12</t>
        </is>
      </c>
      <c r="G44" s="102" t="inlineStr">
        <is>
          <t>—</t>
        </is>
      </c>
      <c r="H44" s="102" t="inlineStr">
        <is>
          <t>ODF-08/09 Trái</t>
        </is>
      </c>
      <c r="I44" s="102" t="inlineStr">
        <is>
          <t>H3-C4</t>
        </is>
      </c>
      <c r="J44" s="102" t="inlineStr">
        <is>
          <t>—</t>
        </is>
      </c>
      <c r="K44" s="102" t="inlineStr">
        <is>
          <t>—</t>
        </is>
      </c>
      <c r="L44" s="101" t="inlineStr">
        <is>
          <t>Dự phòng</t>
        </is>
      </c>
    </row>
    <row r="45">
      <c r="A45" s="102" t="inlineStr">
        <is>
          <t>TR-A2</t>
        </is>
      </c>
      <c r="B45" s="102" t="n">
        <v>17</v>
      </c>
      <c r="C45" s="102" t="inlineStr">
        <is>
          <t>Ống 3 Xanh lá</t>
        </is>
      </c>
      <c r="D45" s="102" t="inlineStr">
        <is>
          <t>Xám</t>
        </is>
      </c>
      <c r="E45" s="102" t="n">
        <v>3</v>
      </c>
      <c r="F45" s="102" t="inlineStr">
        <is>
          <t>TU-A15</t>
        </is>
      </c>
      <c r="G45" s="102" t="inlineStr">
        <is>
          <t>TU-A15/S1</t>
        </is>
      </c>
      <c r="H45" s="102" t="inlineStr">
        <is>
          <t>ODF-08/09 Trái</t>
        </is>
      </c>
      <c r="I45" s="102" t="inlineStr">
        <is>
          <t>H3-C5</t>
        </is>
      </c>
      <c r="J45" s="102" t="inlineStr">
        <is>
          <t>S4-06 / A-21</t>
        </is>
      </c>
      <c r="K45" s="102" t="inlineStr">
        <is>
          <t>PON-06</t>
        </is>
      </c>
      <c r="L45" s="100" t="inlineStr">
        <is>
          <t>Đang dùng</t>
        </is>
      </c>
    </row>
    <row r="46">
      <c r="A46" s="102" t="inlineStr">
        <is>
          <t>TR-A2</t>
        </is>
      </c>
      <c r="B46" s="102" t="n">
        <v>18</v>
      </c>
      <c r="C46" s="102" t="inlineStr">
        <is>
          <t>Ống 3 Xanh lá</t>
        </is>
      </c>
      <c r="D46" s="102" t="inlineStr">
        <is>
          <t>Trắng</t>
        </is>
      </c>
      <c r="E46" s="102" t="n">
        <v>3</v>
      </c>
      <c r="F46" s="102" t="inlineStr">
        <is>
          <t>TU-A15</t>
        </is>
      </c>
      <c r="G46" s="102" t="inlineStr">
        <is>
          <t>TU-A15/S2</t>
        </is>
      </c>
      <c r="H46" s="102" t="inlineStr">
        <is>
          <t>ODF-08/09 Trái</t>
        </is>
      </c>
      <c r="I46" s="102" t="inlineStr">
        <is>
          <t>H3-C6</t>
        </is>
      </c>
      <c r="J46" s="102" t="inlineStr">
        <is>
          <t>S4-06 / A-22</t>
        </is>
      </c>
      <c r="K46" s="102" t="inlineStr">
        <is>
          <t>PON-06</t>
        </is>
      </c>
      <c r="L46" s="100" t="inlineStr">
        <is>
          <t>Đang dùng</t>
        </is>
      </c>
    </row>
    <row r="47">
      <c r="A47" s="102" t="inlineStr">
        <is>
          <t>TR-A2</t>
        </is>
      </c>
      <c r="B47" s="102" t="n">
        <v>19</v>
      </c>
      <c r="C47" s="102" t="inlineStr">
        <is>
          <t>Ống 4 Nâu</t>
        </is>
      </c>
      <c r="D47" s="102" t="inlineStr">
        <is>
          <t>Xanh dương</t>
        </is>
      </c>
      <c r="E47" s="102" t="n">
        <v>3</v>
      </c>
      <c r="F47" s="102" t="inlineStr">
        <is>
          <t>TU-A15</t>
        </is>
      </c>
      <c r="G47" s="102" t="inlineStr">
        <is>
          <t>TU-A15/S3</t>
        </is>
      </c>
      <c r="H47" s="102" t="inlineStr">
        <is>
          <t>ODF-08/09 Trái</t>
        </is>
      </c>
      <c r="I47" s="102" t="inlineStr">
        <is>
          <t>H4-C1</t>
        </is>
      </c>
      <c r="J47" s="102" t="inlineStr">
        <is>
          <t>S4-06 / A-23</t>
        </is>
      </c>
      <c r="K47" s="102" t="inlineStr">
        <is>
          <t>PON-06</t>
        </is>
      </c>
      <c r="L47" s="100" t="inlineStr">
        <is>
          <t>Đang dùng</t>
        </is>
      </c>
    </row>
    <row r="48">
      <c r="A48" s="99" t="inlineStr">
        <is>
          <t>TR-A2</t>
        </is>
      </c>
      <c r="B48" s="99" t="n">
        <v>20</v>
      </c>
      <c r="C48" s="99" t="inlineStr">
        <is>
          <t>Ống 4 Nâu</t>
        </is>
      </c>
      <c r="D48" s="99" t="inlineStr">
        <is>
          <t>Cam</t>
        </is>
      </c>
      <c r="E48" s="99" t="n">
        <v>3</v>
      </c>
      <c r="F48" s="99" t="inlineStr">
        <is>
          <t>TU-A15</t>
        </is>
      </c>
      <c r="G48" s="99" t="inlineStr">
        <is>
          <t>—</t>
        </is>
      </c>
      <c r="H48" s="99" t="inlineStr">
        <is>
          <t>ODF-08/09 Trái</t>
        </is>
      </c>
      <c r="I48" s="99" t="inlineStr">
        <is>
          <t>H4-C2</t>
        </is>
      </c>
      <c r="J48" s="99" t="inlineStr">
        <is>
          <t>—</t>
        </is>
      </c>
      <c r="K48" s="99" t="inlineStr">
        <is>
          <t>—</t>
        </is>
      </c>
      <c r="L48" s="101" t="inlineStr">
        <is>
          <t>Dự phòng</t>
        </is>
      </c>
    </row>
    <row r="49">
      <c r="A49" s="99" t="inlineStr">
        <is>
          <t>TR-A2</t>
        </is>
      </c>
      <c r="B49" s="99" t="n">
        <v>21</v>
      </c>
      <c r="C49" s="99" t="inlineStr">
        <is>
          <t>Ống 4 Nâu</t>
        </is>
      </c>
      <c r="D49" s="99" t="inlineStr">
        <is>
          <t>Xanh lá</t>
        </is>
      </c>
      <c r="E49" s="99" t="n">
        <v>3</v>
      </c>
      <c r="F49" s="99" t="inlineStr">
        <is>
          <t>TU-A15</t>
        </is>
      </c>
      <c r="G49" s="99" t="inlineStr">
        <is>
          <t>—</t>
        </is>
      </c>
      <c r="H49" s="99" t="inlineStr">
        <is>
          <t>ODF-08/09 Trái</t>
        </is>
      </c>
      <c r="I49" s="99" t="inlineStr">
        <is>
          <t>H4-C3</t>
        </is>
      </c>
      <c r="J49" s="99" t="inlineStr">
        <is>
          <t>—</t>
        </is>
      </c>
      <c r="K49" s="99" t="inlineStr">
        <is>
          <t>—</t>
        </is>
      </c>
      <c r="L49" s="101" t="inlineStr">
        <is>
          <t>Dự phòng</t>
        </is>
      </c>
    </row>
    <row r="50">
      <c r="A50" s="99" t="inlineStr">
        <is>
          <t>TR-A2</t>
        </is>
      </c>
      <c r="B50" s="99" t="n">
        <v>22</v>
      </c>
      <c r="C50" s="99" t="inlineStr">
        <is>
          <t>Ống 4 Nâu</t>
        </is>
      </c>
      <c r="D50" s="99" t="inlineStr">
        <is>
          <t>Nâu</t>
        </is>
      </c>
      <c r="E50" s="99" t="n">
        <v>3</v>
      </c>
      <c r="F50" s="99" t="inlineStr">
        <is>
          <t>TU-A15</t>
        </is>
      </c>
      <c r="G50" s="99" t="inlineStr">
        <is>
          <t>—</t>
        </is>
      </c>
      <c r="H50" s="99" t="inlineStr">
        <is>
          <t>ODF-08/09 Trái</t>
        </is>
      </c>
      <c r="I50" s="99" t="inlineStr">
        <is>
          <t>H4-C4</t>
        </is>
      </c>
      <c r="J50" s="99" t="inlineStr">
        <is>
          <t>—</t>
        </is>
      </c>
      <c r="K50" s="99" t="inlineStr">
        <is>
          <t>—</t>
        </is>
      </c>
      <c r="L50" s="101" t="inlineStr">
        <is>
          <t>Dự phòng</t>
        </is>
      </c>
    </row>
    <row r="51">
      <c r="A51" s="99" t="inlineStr">
        <is>
          <t>TR-A2</t>
        </is>
      </c>
      <c r="B51" s="99" t="n">
        <v>23</v>
      </c>
      <c r="C51" s="99" t="inlineStr">
        <is>
          <t>Ống 4 Nâu</t>
        </is>
      </c>
      <c r="D51" s="99" t="inlineStr">
        <is>
          <t>Xám</t>
        </is>
      </c>
      <c r="E51" s="99" t="n">
        <v>3</v>
      </c>
      <c r="F51" s="99" t="inlineStr">
        <is>
          <t>TU-A15</t>
        </is>
      </c>
      <c r="G51" s="99" t="inlineStr">
        <is>
          <t>—</t>
        </is>
      </c>
      <c r="H51" s="99" t="inlineStr">
        <is>
          <t>ODF-08/09 Trái</t>
        </is>
      </c>
      <c r="I51" s="99" t="inlineStr">
        <is>
          <t>H4-C5</t>
        </is>
      </c>
      <c r="J51" s="99" t="inlineStr">
        <is>
          <t>—</t>
        </is>
      </c>
      <c r="K51" s="99" t="inlineStr">
        <is>
          <t>—</t>
        </is>
      </c>
      <c r="L51" s="101" t="inlineStr">
        <is>
          <t>Dự phòng</t>
        </is>
      </c>
    </row>
    <row r="52">
      <c r="A52" s="99" t="inlineStr">
        <is>
          <t>TR-A2</t>
        </is>
      </c>
      <c r="B52" s="99" t="n">
        <v>24</v>
      </c>
      <c r="C52" s="99" t="inlineStr">
        <is>
          <t>Ống 4 Nâu</t>
        </is>
      </c>
      <c r="D52" s="99" t="inlineStr">
        <is>
          <t>Trắng</t>
        </is>
      </c>
      <c r="E52" s="99" t="n">
        <v>3</v>
      </c>
      <c r="F52" s="99" t="inlineStr">
        <is>
          <t>TU-A15</t>
        </is>
      </c>
      <c r="G52" s="99" t="inlineStr">
        <is>
          <t>—</t>
        </is>
      </c>
      <c r="H52" s="99" t="inlineStr">
        <is>
          <t>ODF-08/09 Trái</t>
        </is>
      </c>
      <c r="I52" s="99" t="inlineStr">
        <is>
          <t>H4-C6</t>
        </is>
      </c>
      <c r="J52" s="99" t="inlineStr">
        <is>
          <t>—</t>
        </is>
      </c>
      <c r="K52" s="99" t="inlineStr">
        <is>
          <t>—</t>
        </is>
      </c>
      <c r="L52" s="101" t="inlineStr">
        <is>
          <t>Dự phòng</t>
        </is>
      </c>
    </row>
    <row r="53">
      <c r="A53" s="99" t="inlineStr">
        <is>
          <t>TR-A3</t>
        </is>
      </c>
      <c r="B53" s="99" t="n">
        <v>1</v>
      </c>
      <c r="C53" s="99" t="inlineStr">
        <is>
          <t>Ống 1 Xanh dương</t>
        </is>
      </c>
      <c r="D53" s="99" t="inlineStr">
        <is>
          <t>Xanh dương</t>
        </is>
      </c>
      <c r="E53" s="99" t="n">
        <v>1</v>
      </c>
      <c r="F53" s="99" t="inlineStr">
        <is>
          <t>TU-A18</t>
        </is>
      </c>
      <c r="G53" s="99" t="inlineStr">
        <is>
          <t>TU-A18/S1</t>
        </is>
      </c>
      <c r="H53" s="99" t="inlineStr">
        <is>
          <t>ODF-17/18 Trái</t>
        </is>
      </c>
      <c r="I53" s="99" t="inlineStr">
        <is>
          <t>H1-C1</t>
        </is>
      </c>
      <c r="J53" s="99" t="inlineStr">
        <is>
          <t>S4-07 / A-25</t>
        </is>
      </c>
      <c r="K53" s="99" t="inlineStr">
        <is>
          <t>PON-07</t>
        </is>
      </c>
      <c r="L53" s="100" t="inlineStr">
        <is>
          <t>Đang dùng</t>
        </is>
      </c>
    </row>
    <row r="54">
      <c r="A54" s="99" t="inlineStr">
        <is>
          <t>TR-A3</t>
        </is>
      </c>
      <c r="B54" s="99" t="n">
        <v>2</v>
      </c>
      <c r="C54" s="99" t="inlineStr">
        <is>
          <t>Ống 1 Xanh dương</t>
        </is>
      </c>
      <c r="D54" s="99" t="inlineStr">
        <is>
          <t>Cam</t>
        </is>
      </c>
      <c r="E54" s="99" t="n">
        <v>1</v>
      </c>
      <c r="F54" s="99" t="inlineStr">
        <is>
          <t>TU-A18</t>
        </is>
      </c>
      <c r="G54" s="99" t="inlineStr">
        <is>
          <t>TU-A18/S2</t>
        </is>
      </c>
      <c r="H54" s="99" t="inlineStr">
        <is>
          <t>ODF-17/18 Trái</t>
        </is>
      </c>
      <c r="I54" s="99" t="inlineStr">
        <is>
          <t>H1-C2</t>
        </is>
      </c>
      <c r="J54" s="99" t="inlineStr">
        <is>
          <t>S4-07 / A-26</t>
        </is>
      </c>
      <c r="K54" s="99" t="inlineStr">
        <is>
          <t>PON-07</t>
        </is>
      </c>
      <c r="L54" s="100" t="inlineStr">
        <is>
          <t>Đang dùng</t>
        </is>
      </c>
    </row>
    <row r="55">
      <c r="A55" s="99" t="inlineStr">
        <is>
          <t>TR-A3</t>
        </is>
      </c>
      <c r="B55" s="99" t="n">
        <v>3</v>
      </c>
      <c r="C55" s="99" t="inlineStr">
        <is>
          <t>Ống 1 Xanh dương</t>
        </is>
      </c>
      <c r="D55" s="99" t="inlineStr">
        <is>
          <t>Xanh lá</t>
        </is>
      </c>
      <c r="E55" s="99" t="n">
        <v>1</v>
      </c>
      <c r="F55" s="99" t="inlineStr">
        <is>
          <t>TU-A18</t>
        </is>
      </c>
      <c r="G55" s="99" t="inlineStr">
        <is>
          <t>TU-A18/S3</t>
        </is>
      </c>
      <c r="H55" s="99" t="inlineStr">
        <is>
          <t>ODF-17/18 Trái</t>
        </is>
      </c>
      <c r="I55" s="99" t="inlineStr">
        <is>
          <t>H1-C3</t>
        </is>
      </c>
      <c r="J55" s="99" t="inlineStr">
        <is>
          <t>S4-07 / A-27</t>
        </is>
      </c>
      <c r="K55" s="99" t="inlineStr">
        <is>
          <t>PON-07</t>
        </is>
      </c>
      <c r="L55" s="100" t="inlineStr">
        <is>
          <t>Đang dùng</t>
        </is>
      </c>
    </row>
    <row r="56">
      <c r="A56" s="99" t="inlineStr">
        <is>
          <t>TR-A3</t>
        </is>
      </c>
      <c r="B56" s="99" t="n">
        <v>4</v>
      </c>
      <c r="C56" s="99" t="inlineStr">
        <is>
          <t>Ống 1 Xanh dương</t>
        </is>
      </c>
      <c r="D56" s="99" t="inlineStr">
        <is>
          <t>Nâu</t>
        </is>
      </c>
      <c r="E56" s="99" t="n">
        <v>1</v>
      </c>
      <c r="F56" s="99" t="inlineStr">
        <is>
          <t>TU-A18</t>
        </is>
      </c>
      <c r="G56" s="99" t="inlineStr">
        <is>
          <t>—</t>
        </is>
      </c>
      <c r="H56" s="99" t="inlineStr">
        <is>
          <t>ODF-17/18 Trái</t>
        </is>
      </c>
      <c r="I56" s="99" t="inlineStr">
        <is>
          <t>H1-C4</t>
        </is>
      </c>
      <c r="J56" s="99" t="inlineStr">
        <is>
          <t>—</t>
        </is>
      </c>
      <c r="K56" s="99" t="inlineStr">
        <is>
          <t>—</t>
        </is>
      </c>
      <c r="L56" s="101" t="inlineStr">
        <is>
          <t>Dự phòng</t>
        </is>
      </c>
    </row>
    <row r="57">
      <c r="A57" s="99" t="inlineStr">
        <is>
          <t>TR-A3</t>
        </is>
      </c>
      <c r="B57" s="99" t="n">
        <v>5</v>
      </c>
      <c r="C57" s="99" t="inlineStr">
        <is>
          <t>Ống 1 Xanh dương</t>
        </is>
      </c>
      <c r="D57" s="99" t="inlineStr">
        <is>
          <t>Xám</t>
        </is>
      </c>
      <c r="E57" s="99" t="n">
        <v>1</v>
      </c>
      <c r="F57" s="99" t="inlineStr">
        <is>
          <t>TU-A18</t>
        </is>
      </c>
      <c r="G57" s="99" t="inlineStr">
        <is>
          <t>—</t>
        </is>
      </c>
      <c r="H57" s="99" t="inlineStr">
        <is>
          <t>ODF-17/18 Trái</t>
        </is>
      </c>
      <c r="I57" s="99" t="inlineStr">
        <is>
          <t>H1-C5</t>
        </is>
      </c>
      <c r="J57" s="99" t="inlineStr">
        <is>
          <t>—</t>
        </is>
      </c>
      <c r="K57" s="99" t="inlineStr">
        <is>
          <t>—</t>
        </is>
      </c>
      <c r="L57" s="101" t="inlineStr">
        <is>
          <t>Dự phòng</t>
        </is>
      </c>
    </row>
    <row r="58">
      <c r="A58" s="99" t="inlineStr">
        <is>
          <t>TR-A3</t>
        </is>
      </c>
      <c r="B58" s="99" t="n">
        <v>6</v>
      </c>
      <c r="C58" s="99" t="inlineStr">
        <is>
          <t>Ống 1 Xanh dương</t>
        </is>
      </c>
      <c r="D58" s="99" t="inlineStr">
        <is>
          <t>Trắng</t>
        </is>
      </c>
      <c r="E58" s="99" t="n">
        <v>1</v>
      </c>
      <c r="F58" s="99" t="inlineStr">
        <is>
          <t>TU-A18</t>
        </is>
      </c>
      <c r="G58" s="99" t="inlineStr">
        <is>
          <t>—</t>
        </is>
      </c>
      <c r="H58" s="99" t="inlineStr">
        <is>
          <t>ODF-17/18 Trái</t>
        </is>
      </c>
      <c r="I58" s="99" t="inlineStr">
        <is>
          <t>H1-C6</t>
        </is>
      </c>
      <c r="J58" s="99" t="inlineStr">
        <is>
          <t>—</t>
        </is>
      </c>
      <c r="K58" s="99" t="inlineStr">
        <is>
          <t>—</t>
        </is>
      </c>
      <c r="L58" s="101" t="inlineStr">
        <is>
          <t>Dự phòng</t>
        </is>
      </c>
    </row>
    <row r="59">
      <c r="A59" s="99" t="inlineStr">
        <is>
          <t>TR-A3</t>
        </is>
      </c>
      <c r="B59" s="99" t="n">
        <v>7</v>
      </c>
      <c r="C59" s="99" t="inlineStr">
        <is>
          <t>Ống 2 Cam</t>
        </is>
      </c>
      <c r="D59" s="99" t="inlineStr">
        <is>
          <t>Xanh dương</t>
        </is>
      </c>
      <c r="E59" s="99" t="n">
        <v>1</v>
      </c>
      <c r="F59" s="99" t="inlineStr">
        <is>
          <t>TU-A18</t>
        </is>
      </c>
      <c r="G59" s="99" t="inlineStr">
        <is>
          <t>—</t>
        </is>
      </c>
      <c r="H59" s="99" t="inlineStr">
        <is>
          <t>ODF-17/18 Trái</t>
        </is>
      </c>
      <c r="I59" s="99" t="inlineStr">
        <is>
          <t>H2-C1</t>
        </is>
      </c>
      <c r="J59" s="99" t="inlineStr">
        <is>
          <t>—</t>
        </is>
      </c>
      <c r="K59" s="99" t="inlineStr">
        <is>
          <t>—</t>
        </is>
      </c>
      <c r="L59" s="101" t="inlineStr">
        <is>
          <t>Dự phòng</t>
        </is>
      </c>
    </row>
    <row r="60">
      <c r="A60" s="99" t="inlineStr">
        <is>
          <t>TR-A3</t>
        </is>
      </c>
      <c r="B60" s="99" t="n">
        <v>8</v>
      </c>
      <c r="C60" s="99" t="inlineStr">
        <is>
          <t>Ống 2 Cam</t>
        </is>
      </c>
      <c r="D60" s="99" t="inlineStr">
        <is>
          <t>Cam</t>
        </is>
      </c>
      <c r="E60" s="99" t="n">
        <v>1</v>
      </c>
      <c r="F60" s="99" t="inlineStr">
        <is>
          <t>TU-A18</t>
        </is>
      </c>
      <c r="G60" s="99" t="inlineStr">
        <is>
          <t>—</t>
        </is>
      </c>
      <c r="H60" s="99" t="inlineStr">
        <is>
          <t>ODF-17/18 Trái</t>
        </is>
      </c>
      <c r="I60" s="99" t="inlineStr">
        <is>
          <t>H2-C2</t>
        </is>
      </c>
      <c r="J60" s="99" t="inlineStr">
        <is>
          <t>—</t>
        </is>
      </c>
      <c r="K60" s="99" t="inlineStr">
        <is>
          <t>—</t>
        </is>
      </c>
      <c r="L60" s="101" t="inlineStr">
        <is>
          <t>Dự phòng</t>
        </is>
      </c>
    </row>
    <row r="61">
      <c r="A61" s="99" t="inlineStr">
        <is>
          <t>TR-A3</t>
        </is>
      </c>
      <c r="B61" s="99" t="n">
        <v>9</v>
      </c>
      <c r="C61" s="99" t="inlineStr">
        <is>
          <t>Ống 2 Cam</t>
        </is>
      </c>
      <c r="D61" s="99" t="inlineStr">
        <is>
          <t>Xanh lá</t>
        </is>
      </c>
      <c r="E61" s="99" t="n">
        <v>2</v>
      </c>
      <c r="F61" s="99" t="inlineStr">
        <is>
          <t>TU-A21</t>
        </is>
      </c>
      <c r="G61" s="99" t="inlineStr">
        <is>
          <t>TU-A21/S1</t>
        </is>
      </c>
      <c r="H61" s="99" t="inlineStr">
        <is>
          <t>ODF-17/18 Trái</t>
        </is>
      </c>
      <c r="I61" s="99" t="inlineStr">
        <is>
          <t>H2-C3</t>
        </is>
      </c>
      <c r="J61" s="99" t="inlineStr">
        <is>
          <t>S4-08 / A-29</t>
        </is>
      </c>
      <c r="K61" s="99" t="inlineStr">
        <is>
          <t>PON-08</t>
        </is>
      </c>
      <c r="L61" s="100" t="inlineStr">
        <is>
          <t>Đang dùng</t>
        </is>
      </c>
    </row>
    <row r="62">
      <c r="A62" s="99" t="inlineStr">
        <is>
          <t>TR-A3</t>
        </is>
      </c>
      <c r="B62" s="99" t="n">
        <v>10</v>
      </c>
      <c r="C62" s="99" t="inlineStr">
        <is>
          <t>Ống 2 Cam</t>
        </is>
      </c>
      <c r="D62" s="99" t="inlineStr">
        <is>
          <t>Nâu</t>
        </is>
      </c>
      <c r="E62" s="99" t="n">
        <v>2</v>
      </c>
      <c r="F62" s="99" t="inlineStr">
        <is>
          <t>TU-A21</t>
        </is>
      </c>
      <c r="G62" s="99" t="inlineStr">
        <is>
          <t>TU-A21/S2</t>
        </is>
      </c>
      <c r="H62" s="99" t="inlineStr">
        <is>
          <t>ODF-17/18 Trái</t>
        </is>
      </c>
      <c r="I62" s="99" t="inlineStr">
        <is>
          <t>H2-C4</t>
        </is>
      </c>
      <c r="J62" s="99" t="inlineStr">
        <is>
          <t>S4-08 / A-30</t>
        </is>
      </c>
      <c r="K62" s="99" t="inlineStr">
        <is>
          <t>PON-08</t>
        </is>
      </c>
      <c r="L62" s="100" t="inlineStr">
        <is>
          <t>Đang dùng</t>
        </is>
      </c>
    </row>
    <row r="63">
      <c r="A63" s="99" t="inlineStr">
        <is>
          <t>TR-A3</t>
        </is>
      </c>
      <c r="B63" s="99" t="n">
        <v>11</v>
      </c>
      <c r="C63" s="99" t="inlineStr">
        <is>
          <t>Ống 2 Cam</t>
        </is>
      </c>
      <c r="D63" s="99" t="inlineStr">
        <is>
          <t>Xám</t>
        </is>
      </c>
      <c r="E63" s="99" t="n">
        <v>2</v>
      </c>
      <c r="F63" s="99" t="inlineStr">
        <is>
          <t>TU-A21</t>
        </is>
      </c>
      <c r="G63" s="99" t="inlineStr">
        <is>
          <t>TU-A21/S3</t>
        </is>
      </c>
      <c r="H63" s="99" t="inlineStr">
        <is>
          <t>ODF-17/18 Trái</t>
        </is>
      </c>
      <c r="I63" s="99" t="inlineStr">
        <is>
          <t>H2-C5</t>
        </is>
      </c>
      <c r="J63" s="99" t="inlineStr">
        <is>
          <t>S4-08 / A-31</t>
        </is>
      </c>
      <c r="K63" s="99" t="inlineStr">
        <is>
          <t>PON-08</t>
        </is>
      </c>
      <c r="L63" s="100" t="inlineStr">
        <is>
          <t>Đang dùng</t>
        </is>
      </c>
    </row>
    <row r="64">
      <c r="A64" s="99" t="inlineStr">
        <is>
          <t>TR-A3</t>
        </is>
      </c>
      <c r="B64" s="99" t="n">
        <v>12</v>
      </c>
      <c r="C64" s="99" t="inlineStr">
        <is>
          <t>Ống 2 Cam</t>
        </is>
      </c>
      <c r="D64" s="99" t="inlineStr">
        <is>
          <t>Trắng</t>
        </is>
      </c>
      <c r="E64" s="99" t="n">
        <v>2</v>
      </c>
      <c r="F64" s="99" t="inlineStr">
        <is>
          <t>TU-A21</t>
        </is>
      </c>
      <c r="G64" s="99" t="inlineStr">
        <is>
          <t>—</t>
        </is>
      </c>
      <c r="H64" s="99" t="inlineStr">
        <is>
          <t>ODF-17/18 Trái</t>
        </is>
      </c>
      <c r="I64" s="99" t="inlineStr">
        <is>
          <t>H2-C6</t>
        </is>
      </c>
      <c r="J64" s="99" t="inlineStr">
        <is>
          <t>—</t>
        </is>
      </c>
      <c r="K64" s="99" t="inlineStr">
        <is>
          <t>—</t>
        </is>
      </c>
      <c r="L64" s="101" t="inlineStr">
        <is>
          <t>Dự phòng</t>
        </is>
      </c>
    </row>
    <row r="65">
      <c r="A65" s="99" t="inlineStr">
        <is>
          <t>TR-A3</t>
        </is>
      </c>
      <c r="B65" s="99" t="n">
        <v>13</v>
      </c>
      <c r="C65" s="99" t="inlineStr">
        <is>
          <t>Ống 3 Xanh lá</t>
        </is>
      </c>
      <c r="D65" s="99" t="inlineStr">
        <is>
          <t>Xanh dương</t>
        </is>
      </c>
      <c r="E65" s="99" t="n">
        <v>2</v>
      </c>
      <c r="F65" s="99" t="inlineStr">
        <is>
          <t>TU-A21</t>
        </is>
      </c>
      <c r="G65" s="99" t="inlineStr">
        <is>
          <t>—</t>
        </is>
      </c>
      <c r="H65" s="99" t="inlineStr">
        <is>
          <t>ODF-17/18 Trái</t>
        </is>
      </c>
      <c r="I65" s="99" t="inlineStr">
        <is>
          <t>H3-C1</t>
        </is>
      </c>
      <c r="J65" s="99" t="inlineStr">
        <is>
          <t>—</t>
        </is>
      </c>
      <c r="K65" s="99" t="inlineStr">
        <is>
          <t>—</t>
        </is>
      </c>
      <c r="L65" s="101" t="inlineStr">
        <is>
          <t>Dự phòng</t>
        </is>
      </c>
    </row>
    <row r="66">
      <c r="A66" s="99" t="inlineStr">
        <is>
          <t>TR-A3</t>
        </is>
      </c>
      <c r="B66" s="99" t="n">
        <v>14</v>
      </c>
      <c r="C66" s="99" t="inlineStr">
        <is>
          <t>Ống 3 Xanh lá</t>
        </is>
      </c>
      <c r="D66" s="99" t="inlineStr">
        <is>
          <t>Cam</t>
        </is>
      </c>
      <c r="E66" s="99" t="n">
        <v>2</v>
      </c>
      <c r="F66" s="99" t="inlineStr">
        <is>
          <t>TU-A21</t>
        </is>
      </c>
      <c r="G66" s="99" t="inlineStr">
        <is>
          <t>—</t>
        </is>
      </c>
      <c r="H66" s="99" t="inlineStr">
        <is>
          <t>ODF-17/18 Trái</t>
        </is>
      </c>
      <c r="I66" s="99" t="inlineStr">
        <is>
          <t>H3-C2</t>
        </is>
      </c>
      <c r="J66" s="99" t="inlineStr">
        <is>
          <t>—</t>
        </is>
      </c>
      <c r="K66" s="99" t="inlineStr">
        <is>
          <t>—</t>
        </is>
      </c>
      <c r="L66" s="101" t="inlineStr">
        <is>
          <t>Dự phòng</t>
        </is>
      </c>
    </row>
    <row r="67">
      <c r="A67" s="99" t="inlineStr">
        <is>
          <t>TR-A3</t>
        </is>
      </c>
      <c r="B67" s="99" t="n">
        <v>15</v>
      </c>
      <c r="C67" s="99" t="inlineStr">
        <is>
          <t>Ống 3 Xanh lá</t>
        </is>
      </c>
      <c r="D67" s="99" t="inlineStr">
        <is>
          <t>Xanh lá</t>
        </is>
      </c>
      <c r="E67" s="99" t="n">
        <v>2</v>
      </c>
      <c r="F67" s="99" t="inlineStr">
        <is>
          <t>TU-A21</t>
        </is>
      </c>
      <c r="G67" s="99" t="inlineStr">
        <is>
          <t>—</t>
        </is>
      </c>
      <c r="H67" s="99" t="inlineStr">
        <is>
          <t>ODF-17/18 Trái</t>
        </is>
      </c>
      <c r="I67" s="99" t="inlineStr">
        <is>
          <t>H3-C3</t>
        </is>
      </c>
      <c r="J67" s="99" t="inlineStr">
        <is>
          <t>—</t>
        </is>
      </c>
      <c r="K67" s="99" t="inlineStr">
        <is>
          <t>—</t>
        </is>
      </c>
      <c r="L67" s="101" t="inlineStr">
        <is>
          <t>Dự phòng</t>
        </is>
      </c>
    </row>
    <row r="68">
      <c r="A68" s="99" t="inlineStr">
        <is>
          <t>TR-A3</t>
        </is>
      </c>
      <c r="B68" s="99" t="n">
        <v>16</v>
      </c>
      <c r="C68" s="99" t="inlineStr">
        <is>
          <t>Ống 3 Xanh lá</t>
        </is>
      </c>
      <c r="D68" s="99" t="inlineStr">
        <is>
          <t>Nâu</t>
        </is>
      </c>
      <c r="E68" s="99" t="n">
        <v>2</v>
      </c>
      <c r="F68" s="99" t="inlineStr">
        <is>
          <t>TU-A21</t>
        </is>
      </c>
      <c r="G68" s="99" t="inlineStr">
        <is>
          <t>—</t>
        </is>
      </c>
      <c r="H68" s="99" t="inlineStr">
        <is>
          <t>ODF-17/18 Trái</t>
        </is>
      </c>
      <c r="I68" s="99" t="inlineStr">
        <is>
          <t>H3-C4</t>
        </is>
      </c>
      <c r="J68" s="99" t="inlineStr">
        <is>
          <t>—</t>
        </is>
      </c>
      <c r="K68" s="99" t="inlineStr">
        <is>
          <t>—</t>
        </is>
      </c>
      <c r="L68" s="101" t="inlineStr">
        <is>
          <t>Dự phòng</t>
        </is>
      </c>
    </row>
    <row r="69">
      <c r="A69" s="99" t="inlineStr">
        <is>
          <t>TR-A3</t>
        </is>
      </c>
      <c r="B69" s="99" t="n">
        <v>17</v>
      </c>
      <c r="C69" s="99" t="inlineStr">
        <is>
          <t>Ống 3 Xanh lá</t>
        </is>
      </c>
      <c r="D69" s="99" t="inlineStr">
        <is>
          <t>Xám</t>
        </is>
      </c>
      <c r="E69" s="99" t="n">
        <v>3</v>
      </c>
      <c r="F69" s="99" t="inlineStr">
        <is>
          <t>TU-A23</t>
        </is>
      </c>
      <c r="G69" s="99" t="inlineStr">
        <is>
          <t>TU-A23/S1</t>
        </is>
      </c>
      <c r="H69" s="99" t="inlineStr">
        <is>
          <t>ODF-17/18 Trái</t>
        </is>
      </c>
      <c r="I69" s="99" t="inlineStr">
        <is>
          <t>H3-C5</t>
        </is>
      </c>
      <c r="J69" s="99" t="inlineStr">
        <is>
          <t>S4-08 / A-32</t>
        </is>
      </c>
      <c r="K69" s="99" t="inlineStr">
        <is>
          <t>PON-08</t>
        </is>
      </c>
      <c r="L69" s="100" t="inlineStr">
        <is>
          <t>Đang dùng</t>
        </is>
      </c>
    </row>
    <row r="70">
      <c r="A70" s="99" t="inlineStr">
        <is>
          <t>TR-A3</t>
        </is>
      </c>
      <c r="B70" s="99" t="n">
        <v>18</v>
      </c>
      <c r="C70" s="99" t="inlineStr">
        <is>
          <t>Ống 3 Xanh lá</t>
        </is>
      </c>
      <c r="D70" s="99" t="inlineStr">
        <is>
          <t>Trắng</t>
        </is>
      </c>
      <c r="E70" s="99" t="n">
        <v>3</v>
      </c>
      <c r="F70" s="99" t="inlineStr">
        <is>
          <t>TU-A23</t>
        </is>
      </c>
      <c r="G70" s="99" t="inlineStr">
        <is>
          <t>—</t>
        </is>
      </c>
      <c r="H70" s="99" t="inlineStr">
        <is>
          <t>ODF-17/18 Trái</t>
        </is>
      </c>
      <c r="I70" s="99" t="inlineStr">
        <is>
          <t>H3-C6</t>
        </is>
      </c>
      <c r="J70" s="99" t="inlineStr">
        <is>
          <t>—</t>
        </is>
      </c>
      <c r="K70" s="99" t="inlineStr">
        <is>
          <t>—</t>
        </is>
      </c>
      <c r="L70" s="101" t="inlineStr">
        <is>
          <t>Dự phòng</t>
        </is>
      </c>
    </row>
    <row r="71">
      <c r="A71" s="99" t="inlineStr">
        <is>
          <t>TR-A3</t>
        </is>
      </c>
      <c r="B71" s="99" t="n">
        <v>19</v>
      </c>
      <c r="C71" s="99" t="inlineStr">
        <is>
          <t>Ống 4 Nâu</t>
        </is>
      </c>
      <c r="D71" s="99" t="inlineStr">
        <is>
          <t>Xanh dương</t>
        </is>
      </c>
      <c r="E71" s="99" t="n">
        <v>3</v>
      </c>
      <c r="F71" s="99" t="inlineStr">
        <is>
          <t>TU-A23</t>
        </is>
      </c>
      <c r="G71" s="99" t="inlineStr">
        <is>
          <t>—</t>
        </is>
      </c>
      <c r="H71" s="99" t="inlineStr">
        <is>
          <t>ODF-17/18 Trái</t>
        </is>
      </c>
      <c r="I71" s="99" t="inlineStr">
        <is>
          <t>H4-C1</t>
        </is>
      </c>
      <c r="J71" s="99" t="inlineStr">
        <is>
          <t>—</t>
        </is>
      </c>
      <c r="K71" s="99" t="inlineStr">
        <is>
          <t>—</t>
        </is>
      </c>
      <c r="L71" s="101" t="inlineStr">
        <is>
          <t>Dự phòng</t>
        </is>
      </c>
    </row>
    <row r="72">
      <c r="A72" s="102" t="inlineStr">
        <is>
          <t>TR-A3</t>
        </is>
      </c>
      <c r="B72" s="102" t="n">
        <v>20</v>
      </c>
      <c r="C72" s="102" t="inlineStr">
        <is>
          <t>Ống 4 Nâu</t>
        </is>
      </c>
      <c r="D72" s="102" t="inlineStr">
        <is>
          <t>Cam</t>
        </is>
      </c>
      <c r="E72" s="102" t="n">
        <v>3</v>
      </c>
      <c r="F72" s="102" t="inlineStr">
        <is>
          <t>TU-A23</t>
        </is>
      </c>
      <c r="G72" s="102" t="inlineStr">
        <is>
          <t>—</t>
        </is>
      </c>
      <c r="H72" s="102" t="inlineStr">
        <is>
          <t>ODF-17/18 Trái</t>
        </is>
      </c>
      <c r="I72" s="102" t="inlineStr">
        <is>
          <t>H4-C2</t>
        </is>
      </c>
      <c r="J72" s="102" t="inlineStr">
        <is>
          <t>—</t>
        </is>
      </c>
      <c r="K72" s="102" t="inlineStr">
        <is>
          <t>—</t>
        </is>
      </c>
      <c r="L72" s="101" t="inlineStr">
        <is>
          <t>Dự phòng</t>
        </is>
      </c>
    </row>
    <row r="73">
      <c r="A73" s="102" t="inlineStr">
        <is>
          <t>TR-A3</t>
        </is>
      </c>
      <c r="B73" s="102" t="n">
        <v>21</v>
      </c>
      <c r="C73" s="102" t="inlineStr">
        <is>
          <t>Ống 4 Nâu</t>
        </is>
      </c>
      <c r="D73" s="102" t="inlineStr">
        <is>
          <t>Xanh lá</t>
        </is>
      </c>
      <c r="E73" s="102" t="n">
        <v>3</v>
      </c>
      <c r="F73" s="102" t="inlineStr">
        <is>
          <t>TU-A23</t>
        </is>
      </c>
      <c r="G73" s="102" t="inlineStr">
        <is>
          <t>—</t>
        </is>
      </c>
      <c r="H73" s="102" t="inlineStr">
        <is>
          <t>ODF-17/18 Trái</t>
        </is>
      </c>
      <c r="I73" s="102" t="inlineStr">
        <is>
          <t>H4-C3</t>
        </is>
      </c>
      <c r="J73" s="102" t="inlineStr">
        <is>
          <t>—</t>
        </is>
      </c>
      <c r="K73" s="102" t="inlineStr">
        <is>
          <t>—</t>
        </is>
      </c>
      <c r="L73" s="101" t="inlineStr">
        <is>
          <t>Dự phòng</t>
        </is>
      </c>
    </row>
    <row r="74">
      <c r="A74" s="102" t="inlineStr">
        <is>
          <t>TR-A3</t>
        </is>
      </c>
      <c r="B74" s="102" t="n">
        <v>22</v>
      </c>
      <c r="C74" s="102" t="inlineStr">
        <is>
          <t>Ống 4 Nâu</t>
        </is>
      </c>
      <c r="D74" s="102" t="inlineStr">
        <is>
          <t>Nâu</t>
        </is>
      </c>
      <c r="E74" s="102" t="n">
        <v>3</v>
      </c>
      <c r="F74" s="102" t="inlineStr">
        <is>
          <t>TU-A23</t>
        </is>
      </c>
      <c r="G74" s="102" t="inlineStr">
        <is>
          <t>—</t>
        </is>
      </c>
      <c r="H74" s="102" t="inlineStr">
        <is>
          <t>ODF-17/18 Trái</t>
        </is>
      </c>
      <c r="I74" s="102" t="inlineStr">
        <is>
          <t>H4-C4</t>
        </is>
      </c>
      <c r="J74" s="102" t="inlineStr">
        <is>
          <t>—</t>
        </is>
      </c>
      <c r="K74" s="102" t="inlineStr">
        <is>
          <t>—</t>
        </is>
      </c>
      <c r="L74" s="101" t="inlineStr">
        <is>
          <t>Dự phòng</t>
        </is>
      </c>
    </row>
    <row r="75">
      <c r="A75" s="102" t="inlineStr">
        <is>
          <t>TR-A3</t>
        </is>
      </c>
      <c r="B75" s="102" t="n">
        <v>23</v>
      </c>
      <c r="C75" s="102" t="inlineStr">
        <is>
          <t>Ống 4 Nâu</t>
        </is>
      </c>
      <c r="D75" s="102" t="inlineStr">
        <is>
          <t>Xám</t>
        </is>
      </c>
      <c r="E75" s="102" t="n">
        <v>3</v>
      </c>
      <c r="F75" s="102" t="inlineStr">
        <is>
          <t>TU-A23</t>
        </is>
      </c>
      <c r="G75" s="102" t="inlineStr">
        <is>
          <t>—</t>
        </is>
      </c>
      <c r="H75" s="102" t="inlineStr">
        <is>
          <t>ODF-17/18 Trái</t>
        </is>
      </c>
      <c r="I75" s="102" t="inlineStr">
        <is>
          <t>H4-C5</t>
        </is>
      </c>
      <c r="J75" s="102" t="inlineStr">
        <is>
          <t>—</t>
        </is>
      </c>
      <c r="K75" s="102" t="inlineStr">
        <is>
          <t>—</t>
        </is>
      </c>
      <c r="L75" s="101" t="inlineStr">
        <is>
          <t>Dự phòng</t>
        </is>
      </c>
    </row>
    <row r="76">
      <c r="A76" s="102" t="inlineStr">
        <is>
          <t>TR-A3</t>
        </is>
      </c>
      <c r="B76" s="102" t="n">
        <v>24</v>
      </c>
      <c r="C76" s="102" t="inlineStr">
        <is>
          <t>Ống 4 Nâu</t>
        </is>
      </c>
      <c r="D76" s="102" t="inlineStr">
        <is>
          <t>Trắng</t>
        </is>
      </c>
      <c r="E76" s="102" t="n">
        <v>3</v>
      </c>
      <c r="F76" s="102" t="inlineStr">
        <is>
          <t>TU-A23</t>
        </is>
      </c>
      <c r="G76" s="102" t="inlineStr">
        <is>
          <t>—</t>
        </is>
      </c>
      <c r="H76" s="102" t="inlineStr">
        <is>
          <t>ODF-17/18 Trái</t>
        </is>
      </c>
      <c r="I76" s="102" t="inlineStr">
        <is>
          <t>H4-C6</t>
        </is>
      </c>
      <c r="J76" s="102" t="inlineStr">
        <is>
          <t>—</t>
        </is>
      </c>
      <c r="K76" s="102" t="inlineStr">
        <is>
          <t>—</t>
        </is>
      </c>
      <c r="L76" s="101" t="inlineStr">
        <is>
          <t>Dự phòng</t>
        </is>
      </c>
    </row>
    <row r="77">
      <c r="A77" s="102" t="inlineStr">
        <is>
          <t>TR-B1</t>
        </is>
      </c>
      <c r="B77" s="102" t="n">
        <v>1</v>
      </c>
      <c r="C77" s="102" t="inlineStr">
        <is>
          <t>Ống 1 Xanh dương</t>
        </is>
      </c>
      <c r="D77" s="102" t="inlineStr">
        <is>
          <t>Xanh dương</t>
        </is>
      </c>
      <c r="E77" s="102" t="n">
        <v>1</v>
      </c>
      <c r="F77" s="102" t="inlineStr">
        <is>
          <t>TU-B2</t>
        </is>
      </c>
      <c r="G77" s="102" t="inlineStr">
        <is>
          <t>TU-B2/S1</t>
        </is>
      </c>
      <c r="H77" s="102" t="inlineStr">
        <is>
          <t>ODF-02 Phải</t>
        </is>
      </c>
      <c r="I77" s="102" t="inlineStr">
        <is>
          <t>H1-C1</t>
        </is>
      </c>
      <c r="J77" s="102" t="inlineStr">
        <is>
          <t>S4-09 / B-1</t>
        </is>
      </c>
      <c r="K77" s="102" t="inlineStr">
        <is>
          <t>PON-09</t>
        </is>
      </c>
      <c r="L77" s="100" t="inlineStr">
        <is>
          <t>Đang dùng</t>
        </is>
      </c>
    </row>
    <row r="78">
      <c r="A78" s="102" t="inlineStr">
        <is>
          <t>TR-B1</t>
        </is>
      </c>
      <c r="B78" s="102" t="n">
        <v>2</v>
      </c>
      <c r="C78" s="102" t="inlineStr">
        <is>
          <t>Ống 1 Xanh dương</t>
        </is>
      </c>
      <c r="D78" s="102" t="inlineStr">
        <is>
          <t>Cam</t>
        </is>
      </c>
      <c r="E78" s="102" t="n">
        <v>1</v>
      </c>
      <c r="F78" s="102" t="inlineStr">
        <is>
          <t>TU-B2</t>
        </is>
      </c>
      <c r="G78" s="102" t="inlineStr">
        <is>
          <t>TU-B2/S2</t>
        </is>
      </c>
      <c r="H78" s="102" t="inlineStr">
        <is>
          <t>ODF-02 Phải</t>
        </is>
      </c>
      <c r="I78" s="102" t="inlineStr">
        <is>
          <t>H1-C2</t>
        </is>
      </c>
      <c r="J78" s="102" t="inlineStr">
        <is>
          <t>S4-09 / B-2</t>
        </is>
      </c>
      <c r="K78" s="102" t="inlineStr">
        <is>
          <t>PON-09</t>
        </is>
      </c>
      <c r="L78" s="100" t="inlineStr">
        <is>
          <t>Đang dùng</t>
        </is>
      </c>
    </row>
    <row r="79">
      <c r="A79" s="102" t="inlineStr">
        <is>
          <t>TR-B1</t>
        </is>
      </c>
      <c r="B79" s="102" t="n">
        <v>3</v>
      </c>
      <c r="C79" s="102" t="inlineStr">
        <is>
          <t>Ống 1 Xanh dương</t>
        </is>
      </c>
      <c r="D79" s="102" t="inlineStr">
        <is>
          <t>Xanh lá</t>
        </is>
      </c>
      <c r="E79" s="102" t="n">
        <v>1</v>
      </c>
      <c r="F79" s="102" t="inlineStr">
        <is>
          <t>TU-B2</t>
        </is>
      </c>
      <c r="G79" s="102" t="inlineStr">
        <is>
          <t>TU-B2/S3</t>
        </is>
      </c>
      <c r="H79" s="102" t="inlineStr">
        <is>
          <t>ODF-02 Phải</t>
        </is>
      </c>
      <c r="I79" s="102" t="inlineStr">
        <is>
          <t>H1-C3</t>
        </is>
      </c>
      <c r="J79" s="102" t="inlineStr">
        <is>
          <t>S4-09 / B-3</t>
        </is>
      </c>
      <c r="K79" s="102" t="inlineStr">
        <is>
          <t>PON-09</t>
        </is>
      </c>
      <c r="L79" s="100" t="inlineStr">
        <is>
          <t>Đang dùng</t>
        </is>
      </c>
    </row>
    <row r="80">
      <c r="A80" s="102" t="inlineStr">
        <is>
          <t>TR-B1</t>
        </is>
      </c>
      <c r="B80" s="102" t="n">
        <v>4</v>
      </c>
      <c r="C80" s="102" t="inlineStr">
        <is>
          <t>Ống 1 Xanh dương</t>
        </is>
      </c>
      <c r="D80" s="102" t="inlineStr">
        <is>
          <t>Nâu</t>
        </is>
      </c>
      <c r="E80" s="102" t="n">
        <v>1</v>
      </c>
      <c r="F80" s="102" t="inlineStr">
        <is>
          <t>TU-B2</t>
        </is>
      </c>
      <c r="G80" s="102" t="inlineStr">
        <is>
          <t>TU-B2/S4</t>
        </is>
      </c>
      <c r="H80" s="102" t="inlineStr">
        <is>
          <t>ODF-02 Phải</t>
        </is>
      </c>
      <c r="I80" s="102" t="inlineStr">
        <is>
          <t>H1-C4</t>
        </is>
      </c>
      <c r="J80" s="102" t="inlineStr">
        <is>
          <t>S4-10 / B-5</t>
        </is>
      </c>
      <c r="K80" s="102" t="inlineStr">
        <is>
          <t>PON-10</t>
        </is>
      </c>
      <c r="L80" s="100" t="inlineStr">
        <is>
          <t>Đang dùng</t>
        </is>
      </c>
    </row>
    <row r="81">
      <c r="A81" s="102" t="inlineStr">
        <is>
          <t>TR-B1</t>
        </is>
      </c>
      <c r="B81" s="102" t="n">
        <v>5</v>
      </c>
      <c r="C81" s="102" t="inlineStr">
        <is>
          <t>Ống 1 Xanh dương</t>
        </is>
      </c>
      <c r="D81" s="102" t="inlineStr">
        <is>
          <t>Xám</t>
        </is>
      </c>
      <c r="E81" s="102" t="n">
        <v>1</v>
      </c>
      <c r="F81" s="102" t="inlineStr">
        <is>
          <t>TU-B2</t>
        </is>
      </c>
      <c r="G81" s="102" t="inlineStr">
        <is>
          <t>TU-B2/S5</t>
        </is>
      </c>
      <c r="H81" s="102" t="inlineStr">
        <is>
          <t>ODF-02 Phải</t>
        </is>
      </c>
      <c r="I81" s="102" t="inlineStr">
        <is>
          <t>H1-C5</t>
        </is>
      </c>
      <c r="J81" s="102" t="inlineStr">
        <is>
          <t>S4-10 / B-6</t>
        </is>
      </c>
      <c r="K81" s="102" t="inlineStr">
        <is>
          <t>PON-10</t>
        </is>
      </c>
      <c r="L81" s="100" t="inlineStr">
        <is>
          <t>Đang dùng</t>
        </is>
      </c>
    </row>
    <row r="82">
      <c r="A82" s="102" t="inlineStr">
        <is>
          <t>TR-B1</t>
        </is>
      </c>
      <c r="B82" s="102" t="n">
        <v>6</v>
      </c>
      <c r="C82" s="102" t="inlineStr">
        <is>
          <t>Ống 1 Xanh dương</t>
        </is>
      </c>
      <c r="D82" s="102" t="inlineStr">
        <is>
          <t>Trắng</t>
        </is>
      </c>
      <c r="E82" s="102" t="n">
        <v>1</v>
      </c>
      <c r="F82" s="102" t="inlineStr">
        <is>
          <t>TU-B2</t>
        </is>
      </c>
      <c r="G82" s="102" t="inlineStr">
        <is>
          <t>—</t>
        </is>
      </c>
      <c r="H82" s="102" t="inlineStr">
        <is>
          <t>ODF-02 Phải</t>
        </is>
      </c>
      <c r="I82" s="102" t="inlineStr">
        <is>
          <t>H1-C6</t>
        </is>
      </c>
      <c r="J82" s="102" t="inlineStr">
        <is>
          <t>—</t>
        </is>
      </c>
      <c r="K82" s="102" t="inlineStr">
        <is>
          <t>—</t>
        </is>
      </c>
      <c r="L82" s="101" t="inlineStr">
        <is>
          <t>Dự phòng</t>
        </is>
      </c>
    </row>
    <row r="83">
      <c r="A83" s="102" t="inlineStr">
        <is>
          <t>TR-B1</t>
        </is>
      </c>
      <c r="B83" s="102" t="n">
        <v>7</v>
      </c>
      <c r="C83" s="102" t="inlineStr">
        <is>
          <t>Ống 2 Cam</t>
        </is>
      </c>
      <c r="D83" s="102" t="inlineStr">
        <is>
          <t>Xanh dương</t>
        </is>
      </c>
      <c r="E83" s="102" t="n">
        <v>1</v>
      </c>
      <c r="F83" s="102" t="inlineStr">
        <is>
          <t>TU-B2</t>
        </is>
      </c>
      <c r="G83" s="102" t="inlineStr">
        <is>
          <t>—</t>
        </is>
      </c>
      <c r="H83" s="102" t="inlineStr">
        <is>
          <t>ODF-02 Phải</t>
        </is>
      </c>
      <c r="I83" s="102" t="inlineStr">
        <is>
          <t>H2-C1</t>
        </is>
      </c>
      <c r="J83" s="102" t="inlineStr">
        <is>
          <t>—</t>
        </is>
      </c>
      <c r="K83" s="102" t="inlineStr">
        <is>
          <t>—</t>
        </is>
      </c>
      <c r="L83" s="101" t="inlineStr">
        <is>
          <t>Dự phòng</t>
        </is>
      </c>
    </row>
    <row r="84">
      <c r="A84" s="102" t="inlineStr">
        <is>
          <t>TR-B1</t>
        </is>
      </c>
      <c r="B84" s="102" t="n">
        <v>8</v>
      </c>
      <c r="C84" s="102" t="inlineStr">
        <is>
          <t>Ống 2 Cam</t>
        </is>
      </c>
      <c r="D84" s="102" t="inlineStr">
        <is>
          <t>Cam</t>
        </is>
      </c>
      <c r="E84" s="102" t="n">
        <v>1</v>
      </c>
      <c r="F84" s="102" t="inlineStr">
        <is>
          <t>TU-B2</t>
        </is>
      </c>
      <c r="G84" s="102" t="inlineStr">
        <is>
          <t>—</t>
        </is>
      </c>
      <c r="H84" s="102" t="inlineStr">
        <is>
          <t>ODF-02 Phải</t>
        </is>
      </c>
      <c r="I84" s="102" t="inlineStr">
        <is>
          <t>H2-C2</t>
        </is>
      </c>
      <c r="J84" s="102" t="inlineStr">
        <is>
          <t>—</t>
        </is>
      </c>
      <c r="K84" s="102" t="inlineStr">
        <is>
          <t>—</t>
        </is>
      </c>
      <c r="L84" s="101" t="inlineStr">
        <is>
          <t>Dự phòng</t>
        </is>
      </c>
    </row>
    <row r="85">
      <c r="A85" s="102" t="inlineStr">
        <is>
          <t>TR-B1</t>
        </is>
      </c>
      <c r="B85" s="102" t="n">
        <v>9</v>
      </c>
      <c r="C85" s="102" t="inlineStr">
        <is>
          <t>Ống 2 Cam</t>
        </is>
      </c>
      <c r="D85" s="102" t="inlineStr">
        <is>
          <t>Xanh lá</t>
        </is>
      </c>
      <c r="E85" s="102" t="n">
        <v>2</v>
      </c>
      <c r="F85" s="102" t="inlineStr">
        <is>
          <t>TU-B5</t>
        </is>
      </c>
      <c r="G85" s="102" t="inlineStr">
        <is>
          <t>TU-B5/S1</t>
        </is>
      </c>
      <c r="H85" s="102" t="inlineStr">
        <is>
          <t>ODF-02 Phải</t>
        </is>
      </c>
      <c r="I85" s="102" t="inlineStr">
        <is>
          <t>H2-C3</t>
        </is>
      </c>
      <c r="J85" s="102" t="inlineStr">
        <is>
          <t>S4-10 / B-7</t>
        </is>
      </c>
      <c r="K85" s="102" t="inlineStr">
        <is>
          <t>PON-10</t>
        </is>
      </c>
      <c r="L85" s="100" t="inlineStr">
        <is>
          <t>Đang dùng</t>
        </is>
      </c>
    </row>
    <row r="86">
      <c r="A86" s="102" t="inlineStr">
        <is>
          <t>TR-B1</t>
        </is>
      </c>
      <c r="B86" s="102" t="n">
        <v>10</v>
      </c>
      <c r="C86" s="102" t="inlineStr">
        <is>
          <t>Ống 2 Cam</t>
        </is>
      </c>
      <c r="D86" s="102" t="inlineStr">
        <is>
          <t>Nâu</t>
        </is>
      </c>
      <c r="E86" s="102" t="n">
        <v>2</v>
      </c>
      <c r="F86" s="102" t="inlineStr">
        <is>
          <t>TU-B5</t>
        </is>
      </c>
      <c r="G86" s="102" t="inlineStr">
        <is>
          <t>TU-B5/S2</t>
        </is>
      </c>
      <c r="H86" s="102" t="inlineStr">
        <is>
          <t>ODF-02 Phải</t>
        </is>
      </c>
      <c r="I86" s="102" t="inlineStr">
        <is>
          <t>H2-C4</t>
        </is>
      </c>
      <c r="J86" s="102" t="inlineStr">
        <is>
          <t>S4-11 / B-9</t>
        </is>
      </c>
      <c r="K86" s="102" t="inlineStr">
        <is>
          <t>PON-11</t>
        </is>
      </c>
      <c r="L86" s="100" t="inlineStr">
        <is>
          <t>Đang dùng</t>
        </is>
      </c>
    </row>
    <row r="87">
      <c r="A87" s="102" t="inlineStr">
        <is>
          <t>TR-B1</t>
        </is>
      </c>
      <c r="B87" s="102" t="n">
        <v>11</v>
      </c>
      <c r="C87" s="102" t="inlineStr">
        <is>
          <t>Ống 2 Cam</t>
        </is>
      </c>
      <c r="D87" s="102" t="inlineStr">
        <is>
          <t>Xám</t>
        </is>
      </c>
      <c r="E87" s="102" t="n">
        <v>2</v>
      </c>
      <c r="F87" s="102" t="inlineStr">
        <is>
          <t>TU-B5</t>
        </is>
      </c>
      <c r="G87" s="102" t="inlineStr">
        <is>
          <t>TU-B5/S3</t>
        </is>
      </c>
      <c r="H87" s="102" t="inlineStr">
        <is>
          <t>ODF-02 Phải</t>
        </is>
      </c>
      <c r="I87" s="102" t="inlineStr">
        <is>
          <t>H2-C5</t>
        </is>
      </c>
      <c r="J87" s="102" t="inlineStr">
        <is>
          <t>S4-11 / B-10</t>
        </is>
      </c>
      <c r="K87" s="102" t="inlineStr">
        <is>
          <t>PON-11</t>
        </is>
      </c>
      <c r="L87" s="100" t="inlineStr">
        <is>
          <t>Đang dùng</t>
        </is>
      </c>
    </row>
    <row r="88">
      <c r="A88" s="102" t="inlineStr">
        <is>
          <t>TR-B1</t>
        </is>
      </c>
      <c r="B88" s="102" t="n">
        <v>12</v>
      </c>
      <c r="C88" s="102" t="inlineStr">
        <is>
          <t>Ống 2 Cam</t>
        </is>
      </c>
      <c r="D88" s="102" t="inlineStr">
        <is>
          <t>Trắng</t>
        </is>
      </c>
      <c r="E88" s="102" t="n">
        <v>2</v>
      </c>
      <c r="F88" s="102" t="inlineStr">
        <is>
          <t>TU-B5</t>
        </is>
      </c>
      <c r="G88" s="102" t="inlineStr">
        <is>
          <t>—</t>
        </is>
      </c>
      <c r="H88" s="102" t="inlineStr">
        <is>
          <t>ODF-02 Phải</t>
        </is>
      </c>
      <c r="I88" s="102" t="inlineStr">
        <is>
          <t>H2-C6</t>
        </is>
      </c>
      <c r="J88" s="102" t="inlineStr">
        <is>
          <t>—</t>
        </is>
      </c>
      <c r="K88" s="102" t="inlineStr">
        <is>
          <t>—</t>
        </is>
      </c>
      <c r="L88" s="101" t="inlineStr">
        <is>
          <t>Dự phòng</t>
        </is>
      </c>
    </row>
    <row r="89">
      <c r="A89" s="102" t="inlineStr">
        <is>
          <t>TR-B1</t>
        </is>
      </c>
      <c r="B89" s="102" t="n">
        <v>13</v>
      </c>
      <c r="C89" s="102" t="inlineStr">
        <is>
          <t>Ống 3 Xanh lá</t>
        </is>
      </c>
      <c r="D89" s="102" t="inlineStr">
        <is>
          <t>Xanh dương</t>
        </is>
      </c>
      <c r="E89" s="102" t="n">
        <v>2</v>
      </c>
      <c r="F89" s="102" t="inlineStr">
        <is>
          <t>TU-B5</t>
        </is>
      </c>
      <c r="G89" s="102" t="inlineStr">
        <is>
          <t>—</t>
        </is>
      </c>
      <c r="H89" s="102" t="inlineStr">
        <is>
          <t>ODF-02 Phải</t>
        </is>
      </c>
      <c r="I89" s="102" t="inlineStr">
        <is>
          <t>H3-C1</t>
        </is>
      </c>
      <c r="J89" s="102" t="inlineStr">
        <is>
          <t>—</t>
        </is>
      </c>
      <c r="K89" s="102" t="inlineStr">
        <is>
          <t>—</t>
        </is>
      </c>
      <c r="L89" s="101" t="inlineStr">
        <is>
          <t>Dự phòng</t>
        </is>
      </c>
    </row>
    <row r="90">
      <c r="A90" s="102" t="inlineStr">
        <is>
          <t>TR-B1</t>
        </is>
      </c>
      <c r="B90" s="102" t="n">
        <v>14</v>
      </c>
      <c r="C90" s="102" t="inlineStr">
        <is>
          <t>Ống 3 Xanh lá</t>
        </is>
      </c>
      <c r="D90" s="102" t="inlineStr">
        <is>
          <t>Cam</t>
        </is>
      </c>
      <c r="E90" s="102" t="n">
        <v>2</v>
      </c>
      <c r="F90" s="102" t="inlineStr">
        <is>
          <t>TU-B5</t>
        </is>
      </c>
      <c r="G90" s="102" t="inlineStr">
        <is>
          <t>—</t>
        </is>
      </c>
      <c r="H90" s="102" t="inlineStr">
        <is>
          <t>ODF-02 Phải</t>
        </is>
      </c>
      <c r="I90" s="102" t="inlineStr">
        <is>
          <t>H3-C2</t>
        </is>
      </c>
      <c r="J90" s="102" t="inlineStr">
        <is>
          <t>—</t>
        </is>
      </c>
      <c r="K90" s="102" t="inlineStr">
        <is>
          <t>—</t>
        </is>
      </c>
      <c r="L90" s="101" t="inlineStr">
        <is>
          <t>Dự phòng</t>
        </is>
      </c>
    </row>
    <row r="91">
      <c r="A91" s="102" t="inlineStr">
        <is>
          <t>TR-B1</t>
        </is>
      </c>
      <c r="B91" s="102" t="n">
        <v>15</v>
      </c>
      <c r="C91" s="102" t="inlineStr">
        <is>
          <t>Ống 3 Xanh lá</t>
        </is>
      </c>
      <c r="D91" s="102" t="inlineStr">
        <is>
          <t>Xanh lá</t>
        </is>
      </c>
      <c r="E91" s="102" t="n">
        <v>2</v>
      </c>
      <c r="F91" s="102" t="inlineStr">
        <is>
          <t>TU-B5</t>
        </is>
      </c>
      <c r="G91" s="102" t="inlineStr">
        <is>
          <t>—</t>
        </is>
      </c>
      <c r="H91" s="102" t="inlineStr">
        <is>
          <t>ODF-02 Phải</t>
        </is>
      </c>
      <c r="I91" s="102" t="inlineStr">
        <is>
          <t>H3-C3</t>
        </is>
      </c>
      <c r="J91" s="102" t="inlineStr">
        <is>
          <t>—</t>
        </is>
      </c>
      <c r="K91" s="102" t="inlineStr">
        <is>
          <t>—</t>
        </is>
      </c>
      <c r="L91" s="101" t="inlineStr">
        <is>
          <t>Dự phòng</t>
        </is>
      </c>
    </row>
    <row r="92">
      <c r="A92" s="102" t="inlineStr">
        <is>
          <t>TR-B1</t>
        </is>
      </c>
      <c r="B92" s="102" t="n">
        <v>16</v>
      </c>
      <c r="C92" s="102" t="inlineStr">
        <is>
          <t>Ống 3 Xanh lá</t>
        </is>
      </c>
      <c r="D92" s="102" t="inlineStr">
        <is>
          <t>Nâu</t>
        </is>
      </c>
      <c r="E92" s="102" t="n">
        <v>2</v>
      </c>
      <c r="F92" s="102" t="inlineStr">
        <is>
          <t>TU-B5</t>
        </is>
      </c>
      <c r="G92" s="102" t="inlineStr">
        <is>
          <t>—</t>
        </is>
      </c>
      <c r="H92" s="102" t="inlineStr">
        <is>
          <t>ODF-02 Phải</t>
        </is>
      </c>
      <c r="I92" s="102" t="inlineStr">
        <is>
          <t>H3-C4</t>
        </is>
      </c>
      <c r="J92" s="102" t="inlineStr">
        <is>
          <t>—</t>
        </is>
      </c>
      <c r="K92" s="102" t="inlineStr">
        <is>
          <t>—</t>
        </is>
      </c>
      <c r="L92" s="101" t="inlineStr">
        <is>
          <t>Dự phòng</t>
        </is>
      </c>
    </row>
    <row r="93">
      <c r="A93" s="102" t="inlineStr">
        <is>
          <t>TR-B1</t>
        </is>
      </c>
      <c r="B93" s="102" t="n">
        <v>17</v>
      </c>
      <c r="C93" s="102" t="inlineStr">
        <is>
          <t>Ống 3 Xanh lá</t>
        </is>
      </c>
      <c r="D93" s="102" t="inlineStr">
        <is>
          <t>Xám</t>
        </is>
      </c>
      <c r="E93" s="102" t="n">
        <v>3</v>
      </c>
      <c r="F93" s="102" t="inlineStr">
        <is>
          <t>(chưa cấp)</t>
        </is>
      </c>
      <c r="G93" s="102" t="inlineStr">
        <is>
          <t>—</t>
        </is>
      </c>
      <c r="H93" s="102" t="inlineStr">
        <is>
          <t>ODF-02 Phải</t>
        </is>
      </c>
      <c r="I93" s="102" t="inlineStr">
        <is>
          <t>H3-C5</t>
        </is>
      </c>
      <c r="J93" s="102" t="inlineStr">
        <is>
          <t>—</t>
        </is>
      </c>
      <c r="K93" s="102" t="inlineStr">
        <is>
          <t>—</t>
        </is>
      </c>
      <c r="L93" s="101" t="inlineStr">
        <is>
          <t>Chưa cấp</t>
        </is>
      </c>
    </row>
    <row r="94">
      <c r="A94" s="102" t="inlineStr">
        <is>
          <t>TR-B1</t>
        </is>
      </c>
      <c r="B94" s="102" t="n">
        <v>18</v>
      </c>
      <c r="C94" s="102" t="inlineStr">
        <is>
          <t>Ống 3 Xanh lá</t>
        </is>
      </c>
      <c r="D94" s="102" t="inlineStr">
        <is>
          <t>Trắng</t>
        </is>
      </c>
      <c r="E94" s="102" t="n">
        <v>3</v>
      </c>
      <c r="F94" s="102" t="inlineStr">
        <is>
          <t>(chưa cấp)</t>
        </is>
      </c>
      <c r="G94" s="102" t="inlineStr">
        <is>
          <t>—</t>
        </is>
      </c>
      <c r="H94" s="102" t="inlineStr">
        <is>
          <t>ODF-02 Phải</t>
        </is>
      </c>
      <c r="I94" s="102" t="inlineStr">
        <is>
          <t>H3-C6</t>
        </is>
      </c>
      <c r="J94" s="102" t="inlineStr">
        <is>
          <t>—</t>
        </is>
      </c>
      <c r="K94" s="102" t="inlineStr">
        <is>
          <t>—</t>
        </is>
      </c>
      <c r="L94" s="101" t="inlineStr">
        <is>
          <t>Chưa cấp</t>
        </is>
      </c>
    </row>
    <row r="95">
      <c r="A95" s="102" t="inlineStr">
        <is>
          <t>TR-B1</t>
        </is>
      </c>
      <c r="B95" s="102" t="n">
        <v>19</v>
      </c>
      <c r="C95" s="102" t="inlineStr">
        <is>
          <t>Ống 4 Nâu</t>
        </is>
      </c>
      <c r="D95" s="102" t="inlineStr">
        <is>
          <t>Xanh dương</t>
        </is>
      </c>
      <c r="E95" s="102" t="n">
        <v>3</v>
      </c>
      <c r="F95" s="102" t="inlineStr">
        <is>
          <t>(chưa cấp)</t>
        </is>
      </c>
      <c r="G95" s="102" t="inlineStr">
        <is>
          <t>—</t>
        </is>
      </c>
      <c r="H95" s="102" t="inlineStr">
        <is>
          <t>ODF-02 Phải</t>
        </is>
      </c>
      <c r="I95" s="102" t="inlineStr">
        <is>
          <t>H4-C1</t>
        </is>
      </c>
      <c r="J95" s="102" t="inlineStr">
        <is>
          <t>—</t>
        </is>
      </c>
      <c r="K95" s="102" t="inlineStr">
        <is>
          <t>—</t>
        </is>
      </c>
      <c r="L95" s="101" t="inlineStr">
        <is>
          <t>Chưa cấp</t>
        </is>
      </c>
    </row>
    <row r="96">
      <c r="A96" s="99" t="inlineStr">
        <is>
          <t>TR-B1</t>
        </is>
      </c>
      <c r="B96" s="99" t="n">
        <v>20</v>
      </c>
      <c r="C96" s="99" t="inlineStr">
        <is>
          <t>Ống 4 Nâu</t>
        </is>
      </c>
      <c r="D96" s="99" t="inlineStr">
        <is>
          <t>Cam</t>
        </is>
      </c>
      <c r="E96" s="99" t="n">
        <v>3</v>
      </c>
      <c r="F96" s="99" t="inlineStr">
        <is>
          <t>(chưa cấp)</t>
        </is>
      </c>
      <c r="G96" s="99" t="inlineStr">
        <is>
          <t>—</t>
        </is>
      </c>
      <c r="H96" s="99" t="inlineStr">
        <is>
          <t>ODF-02 Phải</t>
        </is>
      </c>
      <c r="I96" s="99" t="inlineStr">
        <is>
          <t>H4-C2</t>
        </is>
      </c>
      <c r="J96" s="99" t="inlineStr">
        <is>
          <t>—</t>
        </is>
      </c>
      <c r="K96" s="99" t="inlineStr">
        <is>
          <t>—</t>
        </is>
      </c>
      <c r="L96" s="101" t="inlineStr">
        <is>
          <t>Chưa cấp</t>
        </is>
      </c>
    </row>
    <row r="97">
      <c r="A97" s="99" t="inlineStr">
        <is>
          <t>TR-B1</t>
        </is>
      </c>
      <c r="B97" s="99" t="n">
        <v>21</v>
      </c>
      <c r="C97" s="99" t="inlineStr">
        <is>
          <t>Ống 4 Nâu</t>
        </is>
      </c>
      <c r="D97" s="99" t="inlineStr">
        <is>
          <t>Xanh lá</t>
        </is>
      </c>
      <c r="E97" s="99" t="n">
        <v>3</v>
      </c>
      <c r="F97" s="99" t="inlineStr">
        <is>
          <t>(chưa cấp)</t>
        </is>
      </c>
      <c r="G97" s="99" t="inlineStr">
        <is>
          <t>—</t>
        </is>
      </c>
      <c r="H97" s="99" t="inlineStr">
        <is>
          <t>ODF-02 Phải</t>
        </is>
      </c>
      <c r="I97" s="99" t="inlineStr">
        <is>
          <t>H4-C3</t>
        </is>
      </c>
      <c r="J97" s="99" t="inlineStr">
        <is>
          <t>—</t>
        </is>
      </c>
      <c r="K97" s="99" t="inlineStr">
        <is>
          <t>—</t>
        </is>
      </c>
      <c r="L97" s="101" t="inlineStr">
        <is>
          <t>Chưa cấp</t>
        </is>
      </c>
    </row>
    <row r="98">
      <c r="A98" s="99" t="inlineStr">
        <is>
          <t>TR-B1</t>
        </is>
      </c>
      <c r="B98" s="99" t="n">
        <v>22</v>
      </c>
      <c r="C98" s="99" t="inlineStr">
        <is>
          <t>Ống 4 Nâu</t>
        </is>
      </c>
      <c r="D98" s="99" t="inlineStr">
        <is>
          <t>Nâu</t>
        </is>
      </c>
      <c r="E98" s="99" t="n">
        <v>3</v>
      </c>
      <c r="F98" s="99" t="inlineStr">
        <is>
          <t>(chưa cấp)</t>
        </is>
      </c>
      <c r="G98" s="99" t="inlineStr">
        <is>
          <t>—</t>
        </is>
      </c>
      <c r="H98" s="99" t="inlineStr">
        <is>
          <t>ODF-02 Phải</t>
        </is>
      </c>
      <c r="I98" s="99" t="inlineStr">
        <is>
          <t>H4-C4</t>
        </is>
      </c>
      <c r="J98" s="99" t="inlineStr">
        <is>
          <t>—</t>
        </is>
      </c>
      <c r="K98" s="99" t="inlineStr">
        <is>
          <t>—</t>
        </is>
      </c>
      <c r="L98" s="101" t="inlineStr">
        <is>
          <t>Chưa cấp</t>
        </is>
      </c>
    </row>
    <row r="99">
      <c r="A99" s="99" t="inlineStr">
        <is>
          <t>TR-B1</t>
        </is>
      </c>
      <c r="B99" s="99" t="n">
        <v>23</v>
      </c>
      <c r="C99" s="99" t="inlineStr">
        <is>
          <t>Ống 4 Nâu</t>
        </is>
      </c>
      <c r="D99" s="99" t="inlineStr">
        <is>
          <t>Xám</t>
        </is>
      </c>
      <c r="E99" s="99" t="n">
        <v>3</v>
      </c>
      <c r="F99" s="99" t="inlineStr">
        <is>
          <t>(chưa cấp)</t>
        </is>
      </c>
      <c r="G99" s="99" t="inlineStr">
        <is>
          <t>—</t>
        </is>
      </c>
      <c r="H99" s="99" t="inlineStr">
        <is>
          <t>ODF-02 Phải</t>
        </is>
      </c>
      <c r="I99" s="99" t="inlineStr">
        <is>
          <t>H4-C5</t>
        </is>
      </c>
      <c r="J99" s="99" t="inlineStr">
        <is>
          <t>—</t>
        </is>
      </c>
      <c r="K99" s="99" t="inlineStr">
        <is>
          <t>—</t>
        </is>
      </c>
      <c r="L99" s="101" t="inlineStr">
        <is>
          <t>Chưa cấp</t>
        </is>
      </c>
    </row>
    <row r="100">
      <c r="A100" s="99" t="inlineStr">
        <is>
          <t>TR-B1</t>
        </is>
      </c>
      <c r="B100" s="99" t="n">
        <v>24</v>
      </c>
      <c r="C100" s="99" t="inlineStr">
        <is>
          <t>Ống 4 Nâu</t>
        </is>
      </c>
      <c r="D100" s="99" t="inlineStr">
        <is>
          <t>Trắng</t>
        </is>
      </c>
      <c r="E100" s="99" t="n">
        <v>3</v>
      </c>
      <c r="F100" s="99" t="inlineStr">
        <is>
          <t>(chưa cấp)</t>
        </is>
      </c>
      <c r="G100" s="99" t="inlineStr">
        <is>
          <t>—</t>
        </is>
      </c>
      <c r="H100" s="99" t="inlineStr">
        <is>
          <t>ODF-02 Phải</t>
        </is>
      </c>
      <c r="I100" s="99" t="inlineStr">
        <is>
          <t>H4-C6</t>
        </is>
      </c>
      <c r="J100" s="99" t="inlineStr">
        <is>
          <t>—</t>
        </is>
      </c>
      <c r="K100" s="99" t="inlineStr">
        <is>
          <t>—</t>
        </is>
      </c>
      <c r="L100" s="101" t="inlineStr">
        <is>
          <t>Chưa cấp</t>
        </is>
      </c>
    </row>
    <row r="101">
      <c r="A101" s="99" t="inlineStr">
        <is>
          <t>TR-B2</t>
        </is>
      </c>
      <c r="B101" s="99" t="n">
        <v>1</v>
      </c>
      <c r="C101" s="99" t="inlineStr">
        <is>
          <t>Ống 1 Xanh dương</t>
        </is>
      </c>
      <c r="D101" s="99" t="inlineStr">
        <is>
          <t>Xanh dương</t>
        </is>
      </c>
      <c r="E101" s="99" t="n">
        <v>1</v>
      </c>
      <c r="F101" s="99" t="inlineStr">
        <is>
          <t>TU-B8</t>
        </is>
      </c>
      <c r="G101" s="99" t="inlineStr">
        <is>
          <t>TU-B8/S1</t>
        </is>
      </c>
      <c r="H101" s="99" t="inlineStr">
        <is>
          <t>ODF-08/09 Phải</t>
        </is>
      </c>
      <c r="I101" s="99" t="inlineStr">
        <is>
          <t>H1-C1</t>
        </is>
      </c>
      <c r="J101" s="99" t="inlineStr">
        <is>
          <t>S4-11 / B-11</t>
        </is>
      </c>
      <c r="K101" s="99" t="inlineStr">
        <is>
          <t>PON-11</t>
        </is>
      </c>
      <c r="L101" s="100" t="inlineStr">
        <is>
          <t>Đang dùng</t>
        </is>
      </c>
    </row>
    <row r="102">
      <c r="A102" s="99" t="inlineStr">
        <is>
          <t>TR-B2</t>
        </is>
      </c>
      <c r="B102" s="99" t="n">
        <v>2</v>
      </c>
      <c r="C102" s="99" t="inlineStr">
        <is>
          <t>Ống 1 Xanh dương</t>
        </is>
      </c>
      <c r="D102" s="99" t="inlineStr">
        <is>
          <t>Cam</t>
        </is>
      </c>
      <c r="E102" s="99" t="n">
        <v>1</v>
      </c>
      <c r="F102" s="99" t="inlineStr">
        <is>
          <t>TU-B8</t>
        </is>
      </c>
      <c r="G102" s="99" t="inlineStr">
        <is>
          <t>TU-B8/S2</t>
        </is>
      </c>
      <c r="H102" s="99" t="inlineStr">
        <is>
          <t>ODF-08/09 Phải</t>
        </is>
      </c>
      <c r="I102" s="99" t="inlineStr">
        <is>
          <t>H1-C2</t>
        </is>
      </c>
      <c r="J102" s="99" t="inlineStr">
        <is>
          <t>S4-12 / B-13</t>
        </is>
      </c>
      <c r="K102" s="99" t="inlineStr">
        <is>
          <t>PON-12</t>
        </is>
      </c>
      <c r="L102" s="100" t="inlineStr">
        <is>
          <t>Đang dùng</t>
        </is>
      </c>
    </row>
    <row r="103">
      <c r="A103" s="99" t="inlineStr">
        <is>
          <t>TR-B2</t>
        </is>
      </c>
      <c r="B103" s="99" t="n">
        <v>3</v>
      </c>
      <c r="C103" s="99" t="inlineStr">
        <is>
          <t>Ống 1 Xanh dương</t>
        </is>
      </c>
      <c r="D103" s="99" t="inlineStr">
        <is>
          <t>Xanh lá</t>
        </is>
      </c>
      <c r="E103" s="99" t="n">
        <v>1</v>
      </c>
      <c r="F103" s="99" t="inlineStr">
        <is>
          <t>TU-B8</t>
        </is>
      </c>
      <c r="G103" s="99" t="inlineStr">
        <is>
          <t>TU-B8/S3</t>
        </is>
      </c>
      <c r="H103" s="99" t="inlineStr">
        <is>
          <t>ODF-08/09 Phải</t>
        </is>
      </c>
      <c r="I103" s="99" t="inlineStr">
        <is>
          <t>H1-C3</t>
        </is>
      </c>
      <c r="J103" s="99" t="inlineStr">
        <is>
          <t>S4-12 / B-14</t>
        </is>
      </c>
      <c r="K103" s="99" t="inlineStr">
        <is>
          <t>PON-12</t>
        </is>
      </c>
      <c r="L103" s="100" t="inlineStr">
        <is>
          <t>Đang dùng</t>
        </is>
      </c>
    </row>
    <row r="104">
      <c r="A104" s="99" t="inlineStr">
        <is>
          <t>TR-B2</t>
        </is>
      </c>
      <c r="B104" s="99" t="n">
        <v>4</v>
      </c>
      <c r="C104" s="99" t="inlineStr">
        <is>
          <t>Ống 1 Xanh dương</t>
        </is>
      </c>
      <c r="D104" s="99" t="inlineStr">
        <is>
          <t>Nâu</t>
        </is>
      </c>
      <c r="E104" s="99" t="n">
        <v>1</v>
      </c>
      <c r="F104" s="99" t="inlineStr">
        <is>
          <t>TU-B8</t>
        </is>
      </c>
      <c r="G104" s="99" t="inlineStr">
        <is>
          <t>—</t>
        </is>
      </c>
      <c r="H104" s="99" t="inlineStr">
        <is>
          <t>ODF-08/09 Phải</t>
        </is>
      </c>
      <c r="I104" s="99" t="inlineStr">
        <is>
          <t>H1-C4</t>
        </is>
      </c>
      <c r="J104" s="99" t="inlineStr">
        <is>
          <t>—</t>
        </is>
      </c>
      <c r="K104" s="99" t="inlineStr">
        <is>
          <t>—</t>
        </is>
      </c>
      <c r="L104" s="101" t="inlineStr">
        <is>
          <t>Dự phòng</t>
        </is>
      </c>
    </row>
    <row r="105">
      <c r="A105" s="99" t="inlineStr">
        <is>
          <t>TR-B2</t>
        </is>
      </c>
      <c r="B105" s="99" t="n">
        <v>5</v>
      </c>
      <c r="C105" s="99" t="inlineStr">
        <is>
          <t>Ống 1 Xanh dương</t>
        </is>
      </c>
      <c r="D105" s="99" t="inlineStr">
        <is>
          <t>Xám</t>
        </is>
      </c>
      <c r="E105" s="99" t="n">
        <v>1</v>
      </c>
      <c r="F105" s="99" t="inlineStr">
        <is>
          <t>TU-B8</t>
        </is>
      </c>
      <c r="G105" s="99" t="inlineStr">
        <is>
          <t>—</t>
        </is>
      </c>
      <c r="H105" s="99" t="inlineStr">
        <is>
          <t>ODF-08/09 Phải</t>
        </is>
      </c>
      <c r="I105" s="99" t="inlineStr">
        <is>
          <t>H1-C5</t>
        </is>
      </c>
      <c r="J105" s="99" t="inlineStr">
        <is>
          <t>—</t>
        </is>
      </c>
      <c r="K105" s="99" t="inlineStr">
        <is>
          <t>—</t>
        </is>
      </c>
      <c r="L105" s="101" t="inlineStr">
        <is>
          <t>Dự phòng</t>
        </is>
      </c>
    </row>
    <row r="106">
      <c r="A106" s="99" t="inlineStr">
        <is>
          <t>TR-B2</t>
        </is>
      </c>
      <c r="B106" s="99" t="n">
        <v>6</v>
      </c>
      <c r="C106" s="99" t="inlineStr">
        <is>
          <t>Ống 1 Xanh dương</t>
        </is>
      </c>
      <c r="D106" s="99" t="inlineStr">
        <is>
          <t>Trắng</t>
        </is>
      </c>
      <c r="E106" s="99" t="n">
        <v>1</v>
      </c>
      <c r="F106" s="99" t="inlineStr">
        <is>
          <t>TU-B8</t>
        </is>
      </c>
      <c r="G106" s="99" t="inlineStr">
        <is>
          <t>—</t>
        </is>
      </c>
      <c r="H106" s="99" t="inlineStr">
        <is>
          <t>ODF-08/09 Phải</t>
        </is>
      </c>
      <c r="I106" s="99" t="inlineStr">
        <is>
          <t>H1-C6</t>
        </is>
      </c>
      <c r="J106" s="99" t="inlineStr">
        <is>
          <t>—</t>
        </is>
      </c>
      <c r="K106" s="99" t="inlineStr">
        <is>
          <t>—</t>
        </is>
      </c>
      <c r="L106" s="101" t="inlineStr">
        <is>
          <t>Dự phòng</t>
        </is>
      </c>
    </row>
    <row r="107">
      <c r="A107" s="99" t="inlineStr">
        <is>
          <t>TR-B2</t>
        </is>
      </c>
      <c r="B107" s="99" t="n">
        <v>7</v>
      </c>
      <c r="C107" s="99" t="inlineStr">
        <is>
          <t>Ống 2 Cam</t>
        </is>
      </c>
      <c r="D107" s="99" t="inlineStr">
        <is>
          <t>Xanh dương</t>
        </is>
      </c>
      <c r="E107" s="99" t="n">
        <v>1</v>
      </c>
      <c r="F107" s="99" t="inlineStr">
        <is>
          <t>TU-B8</t>
        </is>
      </c>
      <c r="G107" s="99" t="inlineStr">
        <is>
          <t>—</t>
        </is>
      </c>
      <c r="H107" s="99" t="inlineStr">
        <is>
          <t>ODF-08/09 Phải</t>
        </is>
      </c>
      <c r="I107" s="99" t="inlineStr">
        <is>
          <t>H2-C1</t>
        </is>
      </c>
      <c r="J107" s="99" t="inlineStr">
        <is>
          <t>—</t>
        </is>
      </c>
      <c r="K107" s="99" t="inlineStr">
        <is>
          <t>—</t>
        </is>
      </c>
      <c r="L107" s="101" t="inlineStr">
        <is>
          <t>Dự phòng</t>
        </is>
      </c>
    </row>
    <row r="108">
      <c r="A108" s="99" t="inlineStr">
        <is>
          <t>TR-B2</t>
        </is>
      </c>
      <c r="B108" s="99" t="n">
        <v>8</v>
      </c>
      <c r="C108" s="99" t="inlineStr">
        <is>
          <t>Ống 2 Cam</t>
        </is>
      </c>
      <c r="D108" s="99" t="inlineStr">
        <is>
          <t>Cam</t>
        </is>
      </c>
      <c r="E108" s="99" t="n">
        <v>1</v>
      </c>
      <c r="F108" s="99" t="inlineStr">
        <is>
          <t>TU-B8</t>
        </is>
      </c>
      <c r="G108" s="99" t="inlineStr">
        <is>
          <t>—</t>
        </is>
      </c>
      <c r="H108" s="99" t="inlineStr">
        <is>
          <t>ODF-08/09 Phải</t>
        </is>
      </c>
      <c r="I108" s="99" t="inlineStr">
        <is>
          <t>H2-C2</t>
        </is>
      </c>
      <c r="J108" s="99" t="inlineStr">
        <is>
          <t>—</t>
        </is>
      </c>
      <c r="K108" s="99" t="inlineStr">
        <is>
          <t>—</t>
        </is>
      </c>
      <c r="L108" s="101" t="inlineStr">
        <is>
          <t>Dự phòng</t>
        </is>
      </c>
    </row>
    <row r="109">
      <c r="A109" s="99" t="inlineStr">
        <is>
          <t>TR-B2</t>
        </is>
      </c>
      <c r="B109" s="99" t="n">
        <v>9</v>
      </c>
      <c r="C109" s="99" t="inlineStr">
        <is>
          <t>Ống 2 Cam</t>
        </is>
      </c>
      <c r="D109" s="99" t="inlineStr">
        <is>
          <t>Xanh lá</t>
        </is>
      </c>
      <c r="E109" s="99" t="n">
        <v>2</v>
      </c>
      <c r="F109" s="99" t="inlineStr">
        <is>
          <t>TU-B11</t>
        </is>
      </c>
      <c r="G109" s="99" t="inlineStr">
        <is>
          <t>TU-B11/S1</t>
        </is>
      </c>
      <c r="H109" s="99" t="inlineStr">
        <is>
          <t>ODF-08/09 Phải</t>
        </is>
      </c>
      <c r="I109" s="99" t="inlineStr">
        <is>
          <t>H2-C3</t>
        </is>
      </c>
      <c r="J109" s="99" t="inlineStr">
        <is>
          <t>S4-12 / B-15</t>
        </is>
      </c>
      <c r="K109" s="99" t="inlineStr">
        <is>
          <t>PON-12</t>
        </is>
      </c>
      <c r="L109" s="100" t="inlineStr">
        <is>
          <t>Đang dùng</t>
        </is>
      </c>
    </row>
    <row r="110">
      <c r="A110" s="99" t="inlineStr">
        <is>
          <t>TR-B2</t>
        </is>
      </c>
      <c r="B110" s="99" t="n">
        <v>10</v>
      </c>
      <c r="C110" s="99" t="inlineStr">
        <is>
          <t>Ống 2 Cam</t>
        </is>
      </c>
      <c r="D110" s="99" t="inlineStr">
        <is>
          <t>Nâu</t>
        </is>
      </c>
      <c r="E110" s="99" t="n">
        <v>2</v>
      </c>
      <c r="F110" s="99" t="inlineStr">
        <is>
          <t>TU-B11</t>
        </is>
      </c>
      <c r="G110" s="99" t="inlineStr">
        <is>
          <t>TU-B11/S2</t>
        </is>
      </c>
      <c r="H110" s="99" t="inlineStr">
        <is>
          <t>ODF-08/09 Phải</t>
        </is>
      </c>
      <c r="I110" s="99" t="inlineStr">
        <is>
          <t>H2-C4</t>
        </is>
      </c>
      <c r="J110" s="99" t="inlineStr">
        <is>
          <t>S4-13 / B-17</t>
        </is>
      </c>
      <c r="K110" s="99" t="inlineStr">
        <is>
          <t>PON-13</t>
        </is>
      </c>
      <c r="L110" s="100" t="inlineStr">
        <is>
          <t>Đang dùng</t>
        </is>
      </c>
    </row>
    <row r="111">
      <c r="A111" s="99" t="inlineStr">
        <is>
          <t>TR-B2</t>
        </is>
      </c>
      <c r="B111" s="99" t="n">
        <v>11</v>
      </c>
      <c r="C111" s="99" t="inlineStr">
        <is>
          <t>Ống 2 Cam</t>
        </is>
      </c>
      <c r="D111" s="99" t="inlineStr">
        <is>
          <t>Xám</t>
        </is>
      </c>
      <c r="E111" s="99" t="n">
        <v>2</v>
      </c>
      <c r="F111" s="99" t="inlineStr">
        <is>
          <t>TU-B11</t>
        </is>
      </c>
      <c r="G111" s="99" t="inlineStr">
        <is>
          <t>TU-B11/S3</t>
        </is>
      </c>
      <c r="H111" s="99" t="inlineStr">
        <is>
          <t>ODF-08/09 Phải</t>
        </is>
      </c>
      <c r="I111" s="99" t="inlineStr">
        <is>
          <t>H2-C5</t>
        </is>
      </c>
      <c r="J111" s="99" t="inlineStr">
        <is>
          <t>S4-13 / B-18</t>
        </is>
      </c>
      <c r="K111" s="99" t="inlineStr">
        <is>
          <t>PON-13</t>
        </is>
      </c>
      <c r="L111" s="100" t="inlineStr">
        <is>
          <t>Đang dùng</t>
        </is>
      </c>
    </row>
    <row r="112">
      <c r="A112" s="99" t="inlineStr">
        <is>
          <t>TR-B2</t>
        </is>
      </c>
      <c r="B112" s="99" t="n">
        <v>12</v>
      </c>
      <c r="C112" s="99" t="inlineStr">
        <is>
          <t>Ống 2 Cam</t>
        </is>
      </c>
      <c r="D112" s="99" t="inlineStr">
        <is>
          <t>Trắng</t>
        </is>
      </c>
      <c r="E112" s="99" t="n">
        <v>2</v>
      </c>
      <c r="F112" s="99" t="inlineStr">
        <is>
          <t>TU-B11</t>
        </is>
      </c>
      <c r="G112" s="99" t="inlineStr">
        <is>
          <t>—</t>
        </is>
      </c>
      <c r="H112" s="99" t="inlineStr">
        <is>
          <t>ODF-08/09 Phải</t>
        </is>
      </c>
      <c r="I112" s="99" t="inlineStr">
        <is>
          <t>H2-C6</t>
        </is>
      </c>
      <c r="J112" s="99" t="inlineStr">
        <is>
          <t>—</t>
        </is>
      </c>
      <c r="K112" s="99" t="inlineStr">
        <is>
          <t>—</t>
        </is>
      </c>
      <c r="L112" s="101" t="inlineStr">
        <is>
          <t>Dự phòng</t>
        </is>
      </c>
    </row>
    <row r="113">
      <c r="A113" s="99" t="inlineStr">
        <is>
          <t>TR-B2</t>
        </is>
      </c>
      <c r="B113" s="99" t="n">
        <v>13</v>
      </c>
      <c r="C113" s="99" t="inlineStr">
        <is>
          <t>Ống 3 Xanh lá</t>
        </is>
      </c>
      <c r="D113" s="99" t="inlineStr">
        <is>
          <t>Xanh dương</t>
        </is>
      </c>
      <c r="E113" s="99" t="n">
        <v>2</v>
      </c>
      <c r="F113" s="99" t="inlineStr">
        <is>
          <t>TU-B11</t>
        </is>
      </c>
      <c r="G113" s="99" t="inlineStr">
        <is>
          <t>—</t>
        </is>
      </c>
      <c r="H113" s="99" t="inlineStr">
        <is>
          <t>ODF-08/09 Phải</t>
        </is>
      </c>
      <c r="I113" s="99" t="inlineStr">
        <is>
          <t>H3-C1</t>
        </is>
      </c>
      <c r="J113" s="99" t="inlineStr">
        <is>
          <t>—</t>
        </is>
      </c>
      <c r="K113" s="99" t="inlineStr">
        <is>
          <t>—</t>
        </is>
      </c>
      <c r="L113" s="101" t="inlineStr">
        <is>
          <t>Dự phòng</t>
        </is>
      </c>
    </row>
    <row r="114">
      <c r="A114" s="99" t="inlineStr">
        <is>
          <t>TR-B2</t>
        </is>
      </c>
      <c r="B114" s="99" t="n">
        <v>14</v>
      </c>
      <c r="C114" s="99" t="inlineStr">
        <is>
          <t>Ống 3 Xanh lá</t>
        </is>
      </c>
      <c r="D114" s="99" t="inlineStr">
        <is>
          <t>Cam</t>
        </is>
      </c>
      <c r="E114" s="99" t="n">
        <v>2</v>
      </c>
      <c r="F114" s="99" t="inlineStr">
        <is>
          <t>TU-B11</t>
        </is>
      </c>
      <c r="G114" s="99" t="inlineStr">
        <is>
          <t>—</t>
        </is>
      </c>
      <c r="H114" s="99" t="inlineStr">
        <is>
          <t>ODF-08/09 Phải</t>
        </is>
      </c>
      <c r="I114" s="99" t="inlineStr">
        <is>
          <t>H3-C2</t>
        </is>
      </c>
      <c r="J114" s="99" t="inlineStr">
        <is>
          <t>—</t>
        </is>
      </c>
      <c r="K114" s="99" t="inlineStr">
        <is>
          <t>—</t>
        </is>
      </c>
      <c r="L114" s="101" t="inlineStr">
        <is>
          <t>Dự phòng</t>
        </is>
      </c>
    </row>
    <row r="115">
      <c r="A115" s="99" t="inlineStr">
        <is>
          <t>TR-B2</t>
        </is>
      </c>
      <c r="B115" s="99" t="n">
        <v>15</v>
      </c>
      <c r="C115" s="99" t="inlineStr">
        <is>
          <t>Ống 3 Xanh lá</t>
        </is>
      </c>
      <c r="D115" s="99" t="inlineStr">
        <is>
          <t>Xanh lá</t>
        </is>
      </c>
      <c r="E115" s="99" t="n">
        <v>2</v>
      </c>
      <c r="F115" s="99" t="inlineStr">
        <is>
          <t>TU-B11</t>
        </is>
      </c>
      <c r="G115" s="99" t="inlineStr">
        <is>
          <t>—</t>
        </is>
      </c>
      <c r="H115" s="99" t="inlineStr">
        <is>
          <t>ODF-08/09 Phải</t>
        </is>
      </c>
      <c r="I115" s="99" t="inlineStr">
        <is>
          <t>H3-C3</t>
        </is>
      </c>
      <c r="J115" s="99" t="inlineStr">
        <is>
          <t>—</t>
        </is>
      </c>
      <c r="K115" s="99" t="inlineStr">
        <is>
          <t>—</t>
        </is>
      </c>
      <c r="L115" s="101" t="inlineStr">
        <is>
          <t>Dự phòng</t>
        </is>
      </c>
    </row>
    <row r="116">
      <c r="A116" s="99" t="inlineStr">
        <is>
          <t>TR-B2</t>
        </is>
      </c>
      <c r="B116" s="99" t="n">
        <v>16</v>
      </c>
      <c r="C116" s="99" t="inlineStr">
        <is>
          <t>Ống 3 Xanh lá</t>
        </is>
      </c>
      <c r="D116" s="99" t="inlineStr">
        <is>
          <t>Nâu</t>
        </is>
      </c>
      <c r="E116" s="99" t="n">
        <v>2</v>
      </c>
      <c r="F116" s="99" t="inlineStr">
        <is>
          <t>TU-B11</t>
        </is>
      </c>
      <c r="G116" s="99" t="inlineStr">
        <is>
          <t>—</t>
        </is>
      </c>
      <c r="H116" s="99" t="inlineStr">
        <is>
          <t>ODF-08/09 Phải</t>
        </is>
      </c>
      <c r="I116" s="99" t="inlineStr">
        <is>
          <t>H3-C4</t>
        </is>
      </c>
      <c r="J116" s="99" t="inlineStr">
        <is>
          <t>—</t>
        </is>
      </c>
      <c r="K116" s="99" t="inlineStr">
        <is>
          <t>—</t>
        </is>
      </c>
      <c r="L116" s="101" t="inlineStr">
        <is>
          <t>Dự phòng</t>
        </is>
      </c>
    </row>
    <row r="117">
      <c r="A117" s="99" t="inlineStr">
        <is>
          <t>TR-B2</t>
        </is>
      </c>
      <c r="B117" s="99" t="n">
        <v>17</v>
      </c>
      <c r="C117" s="99" t="inlineStr">
        <is>
          <t>Ống 3 Xanh lá</t>
        </is>
      </c>
      <c r="D117" s="99" t="inlineStr">
        <is>
          <t>Xám</t>
        </is>
      </c>
      <c r="E117" s="99" t="n">
        <v>3</v>
      </c>
      <c r="F117" s="99" t="inlineStr">
        <is>
          <t>TU-B14</t>
        </is>
      </c>
      <c r="G117" s="99" t="inlineStr">
        <is>
          <t>TU-B14/S1</t>
        </is>
      </c>
      <c r="H117" s="99" t="inlineStr">
        <is>
          <t>ODF-08/09 Phải</t>
        </is>
      </c>
      <c r="I117" s="99" t="inlineStr">
        <is>
          <t>H3-C5</t>
        </is>
      </c>
      <c r="J117" s="99" t="inlineStr">
        <is>
          <t>S4-13 / B-19</t>
        </is>
      </c>
      <c r="K117" s="99" t="inlineStr">
        <is>
          <t>PON-13</t>
        </is>
      </c>
      <c r="L117" s="100" t="inlineStr">
        <is>
          <t>Đang dùng</t>
        </is>
      </c>
    </row>
    <row r="118">
      <c r="A118" s="99" t="inlineStr">
        <is>
          <t>TR-B2</t>
        </is>
      </c>
      <c r="B118" s="99" t="n">
        <v>18</v>
      </c>
      <c r="C118" s="99" t="inlineStr">
        <is>
          <t>Ống 3 Xanh lá</t>
        </is>
      </c>
      <c r="D118" s="99" t="inlineStr">
        <is>
          <t>Trắng</t>
        </is>
      </c>
      <c r="E118" s="99" t="n">
        <v>3</v>
      </c>
      <c r="F118" s="99" t="inlineStr">
        <is>
          <t>TU-B14</t>
        </is>
      </c>
      <c r="G118" s="99" t="inlineStr">
        <is>
          <t>TU-B14/S2</t>
        </is>
      </c>
      <c r="H118" s="99" t="inlineStr">
        <is>
          <t>ODF-08/09 Phải</t>
        </is>
      </c>
      <c r="I118" s="99" t="inlineStr">
        <is>
          <t>H3-C6</t>
        </is>
      </c>
      <c r="J118" s="99" t="inlineStr">
        <is>
          <t>S4-14 / B-21</t>
        </is>
      </c>
      <c r="K118" s="99" t="inlineStr">
        <is>
          <t>PON-14</t>
        </is>
      </c>
      <c r="L118" s="100" t="inlineStr">
        <is>
          <t>Đang dùng</t>
        </is>
      </c>
    </row>
    <row r="119">
      <c r="A119" s="99" t="inlineStr">
        <is>
          <t>TR-B2</t>
        </is>
      </c>
      <c r="B119" s="99" t="n">
        <v>19</v>
      </c>
      <c r="C119" s="99" t="inlineStr">
        <is>
          <t>Ống 4 Nâu</t>
        </is>
      </c>
      <c r="D119" s="99" t="inlineStr">
        <is>
          <t>Xanh dương</t>
        </is>
      </c>
      <c r="E119" s="99" t="n">
        <v>3</v>
      </c>
      <c r="F119" s="99" t="inlineStr">
        <is>
          <t>TU-B14</t>
        </is>
      </c>
      <c r="G119" s="99" t="inlineStr">
        <is>
          <t>TU-B14/S3</t>
        </is>
      </c>
      <c r="H119" s="99" t="inlineStr">
        <is>
          <t>ODF-08/09 Phải</t>
        </is>
      </c>
      <c r="I119" s="99" t="inlineStr">
        <is>
          <t>H4-C1</t>
        </is>
      </c>
      <c r="J119" s="99" t="inlineStr">
        <is>
          <t>S4-14 / B-22</t>
        </is>
      </c>
      <c r="K119" s="99" t="inlineStr">
        <is>
          <t>PON-14</t>
        </is>
      </c>
      <c r="L119" s="100" t="inlineStr">
        <is>
          <t>Đang dùng</t>
        </is>
      </c>
    </row>
    <row r="120">
      <c r="A120" s="102" t="inlineStr">
        <is>
          <t>TR-B2</t>
        </is>
      </c>
      <c r="B120" s="102" t="n">
        <v>20</v>
      </c>
      <c r="C120" s="102" t="inlineStr">
        <is>
          <t>Ống 4 Nâu</t>
        </is>
      </c>
      <c r="D120" s="102" t="inlineStr">
        <is>
          <t>Cam</t>
        </is>
      </c>
      <c r="E120" s="102" t="n">
        <v>3</v>
      </c>
      <c r="F120" s="102" t="inlineStr">
        <is>
          <t>TU-B14</t>
        </is>
      </c>
      <c r="G120" s="102" t="inlineStr">
        <is>
          <t>—</t>
        </is>
      </c>
      <c r="H120" s="102" t="inlineStr">
        <is>
          <t>ODF-08/09 Phải</t>
        </is>
      </c>
      <c r="I120" s="102" t="inlineStr">
        <is>
          <t>H4-C2</t>
        </is>
      </c>
      <c r="J120" s="102" t="inlineStr">
        <is>
          <t>—</t>
        </is>
      </c>
      <c r="K120" s="102" t="inlineStr">
        <is>
          <t>—</t>
        </is>
      </c>
      <c r="L120" s="101" t="inlineStr">
        <is>
          <t>Dự phòng</t>
        </is>
      </c>
    </row>
    <row r="121">
      <c r="A121" s="102" t="inlineStr">
        <is>
          <t>TR-B2</t>
        </is>
      </c>
      <c r="B121" s="102" t="n">
        <v>21</v>
      </c>
      <c r="C121" s="102" t="inlineStr">
        <is>
          <t>Ống 4 Nâu</t>
        </is>
      </c>
      <c r="D121" s="102" t="inlineStr">
        <is>
          <t>Xanh lá</t>
        </is>
      </c>
      <c r="E121" s="102" t="n">
        <v>3</v>
      </c>
      <c r="F121" s="102" t="inlineStr">
        <is>
          <t>TU-B14</t>
        </is>
      </c>
      <c r="G121" s="102" t="inlineStr">
        <is>
          <t>—</t>
        </is>
      </c>
      <c r="H121" s="102" t="inlineStr">
        <is>
          <t>ODF-08/09 Phải</t>
        </is>
      </c>
      <c r="I121" s="102" t="inlineStr">
        <is>
          <t>H4-C3</t>
        </is>
      </c>
      <c r="J121" s="102" t="inlineStr">
        <is>
          <t>—</t>
        </is>
      </c>
      <c r="K121" s="102" t="inlineStr">
        <is>
          <t>—</t>
        </is>
      </c>
      <c r="L121" s="101" t="inlineStr">
        <is>
          <t>Dự phòng</t>
        </is>
      </c>
    </row>
    <row r="122">
      <c r="A122" s="102" t="inlineStr">
        <is>
          <t>TR-B2</t>
        </is>
      </c>
      <c r="B122" s="102" t="n">
        <v>22</v>
      </c>
      <c r="C122" s="102" t="inlineStr">
        <is>
          <t>Ống 4 Nâu</t>
        </is>
      </c>
      <c r="D122" s="102" t="inlineStr">
        <is>
          <t>Nâu</t>
        </is>
      </c>
      <c r="E122" s="102" t="n">
        <v>3</v>
      </c>
      <c r="F122" s="102" t="inlineStr">
        <is>
          <t>TU-B14</t>
        </is>
      </c>
      <c r="G122" s="102" t="inlineStr">
        <is>
          <t>—</t>
        </is>
      </c>
      <c r="H122" s="102" t="inlineStr">
        <is>
          <t>ODF-08/09 Phải</t>
        </is>
      </c>
      <c r="I122" s="102" t="inlineStr">
        <is>
          <t>H4-C4</t>
        </is>
      </c>
      <c r="J122" s="102" t="inlineStr">
        <is>
          <t>—</t>
        </is>
      </c>
      <c r="K122" s="102" t="inlineStr">
        <is>
          <t>—</t>
        </is>
      </c>
      <c r="L122" s="101" t="inlineStr">
        <is>
          <t>Dự phòng</t>
        </is>
      </c>
    </row>
    <row r="123">
      <c r="A123" s="102" t="inlineStr">
        <is>
          <t>TR-B2</t>
        </is>
      </c>
      <c r="B123" s="102" t="n">
        <v>23</v>
      </c>
      <c r="C123" s="102" t="inlineStr">
        <is>
          <t>Ống 4 Nâu</t>
        </is>
      </c>
      <c r="D123" s="102" t="inlineStr">
        <is>
          <t>Xám</t>
        </is>
      </c>
      <c r="E123" s="102" t="n">
        <v>3</v>
      </c>
      <c r="F123" s="102" t="inlineStr">
        <is>
          <t>TU-B14</t>
        </is>
      </c>
      <c r="G123" s="102" t="inlineStr">
        <is>
          <t>—</t>
        </is>
      </c>
      <c r="H123" s="102" t="inlineStr">
        <is>
          <t>ODF-08/09 Phải</t>
        </is>
      </c>
      <c r="I123" s="102" t="inlineStr">
        <is>
          <t>H4-C5</t>
        </is>
      </c>
      <c r="J123" s="102" t="inlineStr">
        <is>
          <t>—</t>
        </is>
      </c>
      <c r="K123" s="102" t="inlineStr">
        <is>
          <t>—</t>
        </is>
      </c>
      <c r="L123" s="101" t="inlineStr">
        <is>
          <t>Dự phòng</t>
        </is>
      </c>
    </row>
    <row r="124">
      <c r="A124" s="102" t="inlineStr">
        <is>
          <t>TR-B2</t>
        </is>
      </c>
      <c r="B124" s="102" t="n">
        <v>24</v>
      </c>
      <c r="C124" s="102" t="inlineStr">
        <is>
          <t>Ống 4 Nâu</t>
        </is>
      </c>
      <c r="D124" s="102" t="inlineStr">
        <is>
          <t>Trắng</t>
        </is>
      </c>
      <c r="E124" s="102" t="n">
        <v>3</v>
      </c>
      <c r="F124" s="102" t="inlineStr">
        <is>
          <t>TU-B14</t>
        </is>
      </c>
      <c r="G124" s="102" t="inlineStr">
        <is>
          <t>—</t>
        </is>
      </c>
      <c r="H124" s="102" t="inlineStr">
        <is>
          <t>ODF-08/09 Phải</t>
        </is>
      </c>
      <c r="I124" s="102" t="inlineStr">
        <is>
          <t>H4-C6</t>
        </is>
      </c>
      <c r="J124" s="102" t="inlineStr">
        <is>
          <t>—</t>
        </is>
      </c>
      <c r="K124" s="102" t="inlineStr">
        <is>
          <t>—</t>
        </is>
      </c>
      <c r="L124" s="101" t="inlineStr">
        <is>
          <t>Dự phòng</t>
        </is>
      </c>
    </row>
    <row r="125">
      <c r="A125" s="102" t="inlineStr">
        <is>
          <t>TR-B3</t>
        </is>
      </c>
      <c r="B125" s="102" t="n">
        <v>1</v>
      </c>
      <c r="C125" s="102" t="inlineStr">
        <is>
          <t>Ống 1 Xanh dương</t>
        </is>
      </c>
      <c r="D125" s="102" t="inlineStr">
        <is>
          <t>Xanh dương</t>
        </is>
      </c>
      <c r="E125" s="102" t="n">
        <v>1</v>
      </c>
      <c r="F125" s="102" t="inlineStr">
        <is>
          <t>TU-B17</t>
        </is>
      </c>
      <c r="G125" s="102" t="inlineStr">
        <is>
          <t>TU-B17/S1</t>
        </is>
      </c>
      <c r="H125" s="102" t="inlineStr">
        <is>
          <t>ODF-17/18 Phải</t>
        </is>
      </c>
      <c r="I125" s="102" t="inlineStr">
        <is>
          <t>H1-C1</t>
        </is>
      </c>
      <c r="J125" s="102" t="inlineStr">
        <is>
          <t>S4-14 / B-23</t>
        </is>
      </c>
      <c r="K125" s="102" t="inlineStr">
        <is>
          <t>PON-14</t>
        </is>
      </c>
      <c r="L125" s="100" t="inlineStr">
        <is>
          <t>Đang dùng</t>
        </is>
      </c>
    </row>
    <row r="126">
      <c r="A126" s="102" t="inlineStr">
        <is>
          <t>TR-B3</t>
        </is>
      </c>
      <c r="B126" s="102" t="n">
        <v>2</v>
      </c>
      <c r="C126" s="102" t="inlineStr">
        <is>
          <t>Ống 1 Xanh dương</t>
        </is>
      </c>
      <c r="D126" s="102" t="inlineStr">
        <is>
          <t>Cam</t>
        </is>
      </c>
      <c r="E126" s="102" t="n">
        <v>1</v>
      </c>
      <c r="F126" s="102" t="inlineStr">
        <is>
          <t>TU-B17</t>
        </is>
      </c>
      <c r="G126" s="102" t="inlineStr">
        <is>
          <t>TU-B17/S2</t>
        </is>
      </c>
      <c r="H126" s="102" t="inlineStr">
        <is>
          <t>ODF-17/18 Phải</t>
        </is>
      </c>
      <c r="I126" s="102" t="inlineStr">
        <is>
          <t>H1-C2</t>
        </is>
      </c>
      <c r="J126" s="102" t="inlineStr">
        <is>
          <t>S4-15 / B-25</t>
        </is>
      </c>
      <c r="K126" s="102" t="inlineStr">
        <is>
          <t>PON-15</t>
        </is>
      </c>
      <c r="L126" s="100" t="inlineStr">
        <is>
          <t>Đang dùng</t>
        </is>
      </c>
    </row>
    <row r="127">
      <c r="A127" s="102" t="inlineStr">
        <is>
          <t>TR-B3</t>
        </is>
      </c>
      <c r="B127" s="102" t="n">
        <v>3</v>
      </c>
      <c r="C127" s="102" t="inlineStr">
        <is>
          <t>Ống 1 Xanh dương</t>
        </is>
      </c>
      <c r="D127" s="102" t="inlineStr">
        <is>
          <t>Xanh lá</t>
        </is>
      </c>
      <c r="E127" s="102" t="n">
        <v>1</v>
      </c>
      <c r="F127" s="102" t="inlineStr">
        <is>
          <t>TU-B17</t>
        </is>
      </c>
      <c r="G127" s="102" t="inlineStr">
        <is>
          <t>TU-B17/S3</t>
        </is>
      </c>
      <c r="H127" s="102" t="inlineStr">
        <is>
          <t>ODF-17/18 Phải</t>
        </is>
      </c>
      <c r="I127" s="102" t="inlineStr">
        <is>
          <t>H1-C3</t>
        </is>
      </c>
      <c r="J127" s="102" t="inlineStr">
        <is>
          <t>S4-15 / B-26</t>
        </is>
      </c>
      <c r="K127" s="102" t="inlineStr">
        <is>
          <t>PON-15</t>
        </is>
      </c>
      <c r="L127" s="100" t="inlineStr">
        <is>
          <t>Đang dùng</t>
        </is>
      </c>
    </row>
    <row r="128">
      <c r="A128" s="102" t="inlineStr">
        <is>
          <t>TR-B3</t>
        </is>
      </c>
      <c r="B128" s="102" t="n">
        <v>4</v>
      </c>
      <c r="C128" s="102" t="inlineStr">
        <is>
          <t>Ống 1 Xanh dương</t>
        </is>
      </c>
      <c r="D128" s="102" t="inlineStr">
        <is>
          <t>Nâu</t>
        </is>
      </c>
      <c r="E128" s="102" t="n">
        <v>1</v>
      </c>
      <c r="F128" s="102" t="inlineStr">
        <is>
          <t>TU-B17</t>
        </is>
      </c>
      <c r="G128" s="102" t="inlineStr">
        <is>
          <t>—</t>
        </is>
      </c>
      <c r="H128" s="102" t="inlineStr">
        <is>
          <t>ODF-17/18 Phải</t>
        </is>
      </c>
      <c r="I128" s="102" t="inlineStr">
        <is>
          <t>H1-C4</t>
        </is>
      </c>
      <c r="J128" s="102" t="inlineStr">
        <is>
          <t>—</t>
        </is>
      </c>
      <c r="K128" s="102" t="inlineStr">
        <is>
          <t>—</t>
        </is>
      </c>
      <c r="L128" s="101" t="inlineStr">
        <is>
          <t>Dự phòng</t>
        </is>
      </c>
    </row>
    <row r="129">
      <c r="A129" s="102" t="inlineStr">
        <is>
          <t>TR-B3</t>
        </is>
      </c>
      <c r="B129" s="102" t="n">
        <v>5</v>
      </c>
      <c r="C129" s="102" t="inlineStr">
        <is>
          <t>Ống 1 Xanh dương</t>
        </is>
      </c>
      <c r="D129" s="102" t="inlineStr">
        <is>
          <t>Xám</t>
        </is>
      </c>
      <c r="E129" s="102" t="n">
        <v>1</v>
      </c>
      <c r="F129" s="102" t="inlineStr">
        <is>
          <t>TU-B17</t>
        </is>
      </c>
      <c r="G129" s="102" t="inlineStr">
        <is>
          <t>—</t>
        </is>
      </c>
      <c r="H129" s="102" t="inlineStr">
        <is>
          <t>ODF-17/18 Phải</t>
        </is>
      </c>
      <c r="I129" s="102" t="inlineStr">
        <is>
          <t>H1-C5</t>
        </is>
      </c>
      <c r="J129" s="102" t="inlineStr">
        <is>
          <t>—</t>
        </is>
      </c>
      <c r="K129" s="102" t="inlineStr">
        <is>
          <t>—</t>
        </is>
      </c>
      <c r="L129" s="101" t="inlineStr">
        <is>
          <t>Dự phòng</t>
        </is>
      </c>
    </row>
    <row r="130">
      <c r="A130" s="102" t="inlineStr">
        <is>
          <t>TR-B3</t>
        </is>
      </c>
      <c r="B130" s="102" t="n">
        <v>6</v>
      </c>
      <c r="C130" s="102" t="inlineStr">
        <is>
          <t>Ống 1 Xanh dương</t>
        </is>
      </c>
      <c r="D130" s="102" t="inlineStr">
        <is>
          <t>Trắng</t>
        </is>
      </c>
      <c r="E130" s="102" t="n">
        <v>1</v>
      </c>
      <c r="F130" s="102" t="inlineStr">
        <is>
          <t>TU-B17</t>
        </is>
      </c>
      <c r="G130" s="102" t="inlineStr">
        <is>
          <t>—</t>
        </is>
      </c>
      <c r="H130" s="102" t="inlineStr">
        <is>
          <t>ODF-17/18 Phải</t>
        </is>
      </c>
      <c r="I130" s="102" t="inlineStr">
        <is>
          <t>H1-C6</t>
        </is>
      </c>
      <c r="J130" s="102" t="inlineStr">
        <is>
          <t>—</t>
        </is>
      </c>
      <c r="K130" s="102" t="inlineStr">
        <is>
          <t>—</t>
        </is>
      </c>
      <c r="L130" s="101" t="inlineStr">
        <is>
          <t>Dự phòng</t>
        </is>
      </c>
    </row>
    <row r="131">
      <c r="A131" s="102" t="inlineStr">
        <is>
          <t>TR-B3</t>
        </is>
      </c>
      <c r="B131" s="102" t="n">
        <v>7</v>
      </c>
      <c r="C131" s="102" t="inlineStr">
        <is>
          <t>Ống 2 Cam</t>
        </is>
      </c>
      <c r="D131" s="102" t="inlineStr">
        <is>
          <t>Xanh dương</t>
        </is>
      </c>
      <c r="E131" s="102" t="n">
        <v>1</v>
      </c>
      <c r="F131" s="102" t="inlineStr">
        <is>
          <t>TU-B17</t>
        </is>
      </c>
      <c r="G131" s="102" t="inlineStr">
        <is>
          <t>—</t>
        </is>
      </c>
      <c r="H131" s="102" t="inlineStr">
        <is>
          <t>ODF-17/18 Phải</t>
        </is>
      </c>
      <c r="I131" s="102" t="inlineStr">
        <is>
          <t>H2-C1</t>
        </is>
      </c>
      <c r="J131" s="102" t="inlineStr">
        <is>
          <t>—</t>
        </is>
      </c>
      <c r="K131" s="102" t="inlineStr">
        <is>
          <t>—</t>
        </is>
      </c>
      <c r="L131" s="101" t="inlineStr">
        <is>
          <t>Dự phòng</t>
        </is>
      </c>
    </row>
    <row r="132">
      <c r="A132" s="102" t="inlineStr">
        <is>
          <t>TR-B3</t>
        </is>
      </c>
      <c r="B132" s="102" t="n">
        <v>8</v>
      </c>
      <c r="C132" s="102" t="inlineStr">
        <is>
          <t>Ống 2 Cam</t>
        </is>
      </c>
      <c r="D132" s="102" t="inlineStr">
        <is>
          <t>Cam</t>
        </is>
      </c>
      <c r="E132" s="102" t="n">
        <v>1</v>
      </c>
      <c r="F132" s="102" t="inlineStr">
        <is>
          <t>TU-B17</t>
        </is>
      </c>
      <c r="G132" s="102" t="inlineStr">
        <is>
          <t>—</t>
        </is>
      </c>
      <c r="H132" s="102" t="inlineStr">
        <is>
          <t>ODF-17/18 Phải</t>
        </is>
      </c>
      <c r="I132" s="102" t="inlineStr">
        <is>
          <t>H2-C2</t>
        </is>
      </c>
      <c r="J132" s="102" t="inlineStr">
        <is>
          <t>—</t>
        </is>
      </c>
      <c r="K132" s="102" t="inlineStr">
        <is>
          <t>—</t>
        </is>
      </c>
      <c r="L132" s="101" t="inlineStr">
        <is>
          <t>Dự phòng</t>
        </is>
      </c>
    </row>
    <row r="133">
      <c r="A133" s="102" t="inlineStr">
        <is>
          <t>TR-B3</t>
        </is>
      </c>
      <c r="B133" s="102" t="n">
        <v>9</v>
      </c>
      <c r="C133" s="102" t="inlineStr">
        <is>
          <t>Ống 2 Cam</t>
        </is>
      </c>
      <c r="D133" s="102" t="inlineStr">
        <is>
          <t>Xanh lá</t>
        </is>
      </c>
      <c r="E133" s="102" t="n">
        <v>2</v>
      </c>
      <c r="F133" s="102" t="inlineStr">
        <is>
          <t>TU-B20</t>
        </is>
      </c>
      <c r="G133" s="102" t="inlineStr">
        <is>
          <t>TU-B20/S1</t>
        </is>
      </c>
      <c r="H133" s="102" t="inlineStr">
        <is>
          <t>ODF-17/18 Phải</t>
        </is>
      </c>
      <c r="I133" s="102" t="inlineStr">
        <is>
          <t>H2-C3</t>
        </is>
      </c>
      <c r="J133" s="102" t="inlineStr">
        <is>
          <t>S4-15 / B-27</t>
        </is>
      </c>
      <c r="K133" s="102" t="inlineStr">
        <is>
          <t>PON-15</t>
        </is>
      </c>
      <c r="L133" s="100" t="inlineStr">
        <is>
          <t>Đang dùng</t>
        </is>
      </c>
    </row>
    <row r="134">
      <c r="A134" s="102" t="inlineStr">
        <is>
          <t>TR-B3</t>
        </is>
      </c>
      <c r="B134" s="102" t="n">
        <v>10</v>
      </c>
      <c r="C134" s="102" t="inlineStr">
        <is>
          <t>Ống 2 Cam</t>
        </is>
      </c>
      <c r="D134" s="102" t="inlineStr">
        <is>
          <t>Nâu</t>
        </is>
      </c>
      <c r="E134" s="102" t="n">
        <v>2</v>
      </c>
      <c r="F134" s="102" t="inlineStr">
        <is>
          <t>TU-B20</t>
        </is>
      </c>
      <c r="G134" s="102" t="inlineStr">
        <is>
          <t>TU-B20/S2</t>
        </is>
      </c>
      <c r="H134" s="102" t="inlineStr">
        <is>
          <t>ODF-17/18 Phải</t>
        </is>
      </c>
      <c r="I134" s="102" t="inlineStr">
        <is>
          <t>H2-C4</t>
        </is>
      </c>
      <c r="J134" s="102" t="inlineStr">
        <is>
          <t>S4-16 / B-29</t>
        </is>
      </c>
      <c r="K134" s="102" t="inlineStr">
        <is>
          <t>PON-16</t>
        </is>
      </c>
      <c r="L134" s="100" t="inlineStr">
        <is>
          <t>Đang dùng</t>
        </is>
      </c>
    </row>
    <row r="135">
      <c r="A135" s="102" t="inlineStr">
        <is>
          <t>TR-B3</t>
        </is>
      </c>
      <c r="B135" s="102" t="n">
        <v>11</v>
      </c>
      <c r="C135" s="102" t="inlineStr">
        <is>
          <t>Ống 2 Cam</t>
        </is>
      </c>
      <c r="D135" s="102" t="inlineStr">
        <is>
          <t>Xám</t>
        </is>
      </c>
      <c r="E135" s="102" t="n">
        <v>2</v>
      </c>
      <c r="F135" s="102" t="inlineStr">
        <is>
          <t>TU-B20</t>
        </is>
      </c>
      <c r="G135" s="102" t="inlineStr">
        <is>
          <t>TU-B20/S3</t>
        </is>
      </c>
      <c r="H135" s="102" t="inlineStr">
        <is>
          <t>ODF-17/18 Phải</t>
        </is>
      </c>
      <c r="I135" s="102" t="inlineStr">
        <is>
          <t>H2-C5</t>
        </is>
      </c>
      <c r="J135" s="102" t="inlineStr">
        <is>
          <t>S4-16 / B-30</t>
        </is>
      </c>
      <c r="K135" s="102" t="inlineStr">
        <is>
          <t>PON-16</t>
        </is>
      </c>
      <c r="L135" s="100" t="inlineStr">
        <is>
          <t>Đang dùng</t>
        </is>
      </c>
    </row>
    <row r="136">
      <c r="A136" s="102" t="inlineStr">
        <is>
          <t>TR-B3</t>
        </is>
      </c>
      <c r="B136" s="102" t="n">
        <v>12</v>
      </c>
      <c r="C136" s="102" t="inlineStr">
        <is>
          <t>Ống 2 Cam</t>
        </is>
      </c>
      <c r="D136" s="102" t="inlineStr">
        <is>
          <t>Trắng</t>
        </is>
      </c>
      <c r="E136" s="102" t="n">
        <v>2</v>
      </c>
      <c r="F136" s="102" t="inlineStr">
        <is>
          <t>TU-B20</t>
        </is>
      </c>
      <c r="G136" s="102" t="inlineStr">
        <is>
          <t>—</t>
        </is>
      </c>
      <c r="H136" s="102" t="inlineStr">
        <is>
          <t>ODF-17/18 Phải</t>
        </is>
      </c>
      <c r="I136" s="102" t="inlineStr">
        <is>
          <t>H2-C6</t>
        </is>
      </c>
      <c r="J136" s="102" t="inlineStr">
        <is>
          <t>—</t>
        </is>
      </c>
      <c r="K136" s="102" t="inlineStr">
        <is>
          <t>—</t>
        </is>
      </c>
      <c r="L136" s="101" t="inlineStr">
        <is>
          <t>Dự phòng</t>
        </is>
      </c>
    </row>
    <row r="137">
      <c r="A137" s="102" t="inlineStr">
        <is>
          <t>TR-B3</t>
        </is>
      </c>
      <c r="B137" s="102" t="n">
        <v>13</v>
      </c>
      <c r="C137" s="102" t="inlineStr">
        <is>
          <t>Ống 3 Xanh lá</t>
        </is>
      </c>
      <c r="D137" s="102" t="inlineStr">
        <is>
          <t>Xanh dương</t>
        </is>
      </c>
      <c r="E137" s="102" t="n">
        <v>2</v>
      </c>
      <c r="F137" s="102" t="inlineStr">
        <is>
          <t>TU-B20</t>
        </is>
      </c>
      <c r="G137" s="102" t="inlineStr">
        <is>
          <t>—</t>
        </is>
      </c>
      <c r="H137" s="102" t="inlineStr">
        <is>
          <t>ODF-17/18 Phải</t>
        </is>
      </c>
      <c r="I137" s="102" t="inlineStr">
        <is>
          <t>H3-C1</t>
        </is>
      </c>
      <c r="J137" s="102" t="inlineStr">
        <is>
          <t>—</t>
        </is>
      </c>
      <c r="K137" s="102" t="inlineStr">
        <is>
          <t>—</t>
        </is>
      </c>
      <c r="L137" s="101" t="inlineStr">
        <is>
          <t>Dự phòng</t>
        </is>
      </c>
    </row>
    <row r="138">
      <c r="A138" s="102" t="inlineStr">
        <is>
          <t>TR-B3</t>
        </is>
      </c>
      <c r="B138" s="102" t="n">
        <v>14</v>
      </c>
      <c r="C138" s="102" t="inlineStr">
        <is>
          <t>Ống 3 Xanh lá</t>
        </is>
      </c>
      <c r="D138" s="102" t="inlineStr">
        <is>
          <t>Cam</t>
        </is>
      </c>
      <c r="E138" s="102" t="n">
        <v>2</v>
      </c>
      <c r="F138" s="102" t="inlineStr">
        <is>
          <t>TU-B20</t>
        </is>
      </c>
      <c r="G138" s="102" t="inlineStr">
        <is>
          <t>—</t>
        </is>
      </c>
      <c r="H138" s="102" t="inlineStr">
        <is>
          <t>ODF-17/18 Phải</t>
        </is>
      </c>
      <c r="I138" s="102" t="inlineStr">
        <is>
          <t>H3-C2</t>
        </is>
      </c>
      <c r="J138" s="102" t="inlineStr">
        <is>
          <t>—</t>
        </is>
      </c>
      <c r="K138" s="102" t="inlineStr">
        <is>
          <t>—</t>
        </is>
      </c>
      <c r="L138" s="101" t="inlineStr">
        <is>
          <t>Dự phòng</t>
        </is>
      </c>
    </row>
    <row r="139">
      <c r="A139" s="102" t="inlineStr">
        <is>
          <t>TR-B3</t>
        </is>
      </c>
      <c r="B139" s="102" t="n">
        <v>15</v>
      </c>
      <c r="C139" s="102" t="inlineStr">
        <is>
          <t>Ống 3 Xanh lá</t>
        </is>
      </c>
      <c r="D139" s="102" t="inlineStr">
        <is>
          <t>Xanh lá</t>
        </is>
      </c>
      <c r="E139" s="102" t="n">
        <v>2</v>
      </c>
      <c r="F139" s="102" t="inlineStr">
        <is>
          <t>TU-B20</t>
        </is>
      </c>
      <c r="G139" s="102" t="inlineStr">
        <is>
          <t>—</t>
        </is>
      </c>
      <c r="H139" s="102" t="inlineStr">
        <is>
          <t>ODF-17/18 Phải</t>
        </is>
      </c>
      <c r="I139" s="102" t="inlineStr">
        <is>
          <t>H3-C3</t>
        </is>
      </c>
      <c r="J139" s="102" t="inlineStr">
        <is>
          <t>—</t>
        </is>
      </c>
      <c r="K139" s="102" t="inlineStr">
        <is>
          <t>—</t>
        </is>
      </c>
      <c r="L139" s="101" t="inlineStr">
        <is>
          <t>Dự phòng</t>
        </is>
      </c>
    </row>
    <row r="140">
      <c r="A140" s="102" t="inlineStr">
        <is>
          <t>TR-B3</t>
        </is>
      </c>
      <c r="B140" s="102" t="n">
        <v>16</v>
      </c>
      <c r="C140" s="102" t="inlineStr">
        <is>
          <t>Ống 3 Xanh lá</t>
        </is>
      </c>
      <c r="D140" s="102" t="inlineStr">
        <is>
          <t>Nâu</t>
        </is>
      </c>
      <c r="E140" s="102" t="n">
        <v>2</v>
      </c>
      <c r="F140" s="102" t="inlineStr">
        <is>
          <t>TU-B20</t>
        </is>
      </c>
      <c r="G140" s="102" t="inlineStr">
        <is>
          <t>—</t>
        </is>
      </c>
      <c r="H140" s="102" t="inlineStr">
        <is>
          <t>ODF-17/18 Phải</t>
        </is>
      </c>
      <c r="I140" s="102" t="inlineStr">
        <is>
          <t>H3-C4</t>
        </is>
      </c>
      <c r="J140" s="102" t="inlineStr">
        <is>
          <t>—</t>
        </is>
      </c>
      <c r="K140" s="102" t="inlineStr">
        <is>
          <t>—</t>
        </is>
      </c>
      <c r="L140" s="101" t="inlineStr">
        <is>
          <t>Dự phòng</t>
        </is>
      </c>
    </row>
    <row r="141">
      <c r="A141" s="102" t="inlineStr">
        <is>
          <t>TR-B3</t>
        </is>
      </c>
      <c r="B141" s="102" t="n">
        <v>17</v>
      </c>
      <c r="C141" s="102" t="inlineStr">
        <is>
          <t>Ống 3 Xanh lá</t>
        </is>
      </c>
      <c r="D141" s="102" t="inlineStr">
        <is>
          <t>Xám</t>
        </is>
      </c>
      <c r="E141" s="102" t="n">
        <v>3</v>
      </c>
      <c r="F141" s="102" t="inlineStr">
        <is>
          <t>TU-B23</t>
        </is>
      </c>
      <c r="G141" s="102" t="inlineStr">
        <is>
          <t>TU-B23/S1</t>
        </is>
      </c>
      <c r="H141" s="102" t="inlineStr">
        <is>
          <t>ODF-17/18 Phải</t>
        </is>
      </c>
      <c r="I141" s="102" t="inlineStr">
        <is>
          <t>H3-C5</t>
        </is>
      </c>
      <c r="J141" s="102" t="inlineStr">
        <is>
          <t>S4-16 / B-31</t>
        </is>
      </c>
      <c r="K141" s="102" t="inlineStr">
        <is>
          <t>PON-16</t>
        </is>
      </c>
      <c r="L141" s="100" t="inlineStr">
        <is>
          <t>Đang dùng</t>
        </is>
      </c>
    </row>
    <row r="142">
      <c r="A142" s="102" t="inlineStr">
        <is>
          <t>TR-B3</t>
        </is>
      </c>
      <c r="B142" s="102" t="n">
        <v>18</v>
      </c>
      <c r="C142" s="102" t="inlineStr">
        <is>
          <t>Ống 3 Xanh lá</t>
        </is>
      </c>
      <c r="D142" s="102" t="inlineStr">
        <is>
          <t>Trắng</t>
        </is>
      </c>
      <c r="E142" s="102" t="n">
        <v>3</v>
      </c>
      <c r="F142" s="102" t="inlineStr">
        <is>
          <t>TU-B23</t>
        </is>
      </c>
      <c r="G142" s="102" t="inlineStr">
        <is>
          <t>TU-B23/S2</t>
        </is>
      </c>
      <c r="H142" s="102" t="inlineStr">
        <is>
          <t>ODF-17/18 Phải</t>
        </is>
      </c>
      <c r="I142" s="102" t="inlineStr">
        <is>
          <t>H3-C6</t>
        </is>
      </c>
      <c r="J142" s="102" t="inlineStr">
        <is>
          <t>S4-16 / B-32</t>
        </is>
      </c>
      <c r="K142" s="102" t="inlineStr">
        <is>
          <t>PON-16</t>
        </is>
      </c>
      <c r="L142" s="100" t="inlineStr">
        <is>
          <t>Đang dùng</t>
        </is>
      </c>
    </row>
    <row r="143">
      <c r="A143" s="102" t="inlineStr">
        <is>
          <t>TR-B3</t>
        </is>
      </c>
      <c r="B143" s="102" t="n">
        <v>19</v>
      </c>
      <c r="C143" s="102" t="inlineStr">
        <is>
          <t>Ống 4 Nâu</t>
        </is>
      </c>
      <c r="D143" s="102" t="inlineStr">
        <is>
          <t>Xanh dương</t>
        </is>
      </c>
      <c r="E143" s="102" t="n">
        <v>3</v>
      </c>
      <c r="F143" s="102" t="inlineStr">
        <is>
          <t>TU-B23</t>
        </is>
      </c>
      <c r="G143" s="102" t="inlineStr">
        <is>
          <t>—</t>
        </is>
      </c>
      <c r="H143" s="102" t="inlineStr">
        <is>
          <t>ODF-17/18 Phải</t>
        </is>
      </c>
      <c r="I143" s="102" t="inlineStr">
        <is>
          <t>H4-C1</t>
        </is>
      </c>
      <c r="J143" s="102" t="inlineStr">
        <is>
          <t>—</t>
        </is>
      </c>
      <c r="K143" s="102" t="inlineStr">
        <is>
          <t>—</t>
        </is>
      </c>
      <c r="L143" s="101" t="inlineStr">
        <is>
          <t>Dự phòng</t>
        </is>
      </c>
    </row>
    <row r="144">
      <c r="A144" s="99" t="inlineStr">
        <is>
          <t>TR-B3</t>
        </is>
      </c>
      <c r="B144" s="99" t="n">
        <v>20</v>
      </c>
      <c r="C144" s="99" t="inlineStr">
        <is>
          <t>Ống 4 Nâu</t>
        </is>
      </c>
      <c r="D144" s="99" t="inlineStr">
        <is>
          <t>Cam</t>
        </is>
      </c>
      <c r="E144" s="99" t="n">
        <v>3</v>
      </c>
      <c r="F144" s="99" t="inlineStr">
        <is>
          <t>TU-B23</t>
        </is>
      </c>
      <c r="G144" s="99" t="inlineStr">
        <is>
          <t>—</t>
        </is>
      </c>
      <c r="H144" s="99" t="inlineStr">
        <is>
          <t>ODF-17/18 Phải</t>
        </is>
      </c>
      <c r="I144" s="99" t="inlineStr">
        <is>
          <t>H4-C2</t>
        </is>
      </c>
      <c r="J144" s="99" t="inlineStr">
        <is>
          <t>—</t>
        </is>
      </c>
      <c r="K144" s="99" t="inlineStr">
        <is>
          <t>—</t>
        </is>
      </c>
      <c r="L144" s="101" t="inlineStr">
        <is>
          <t>Dự phòng</t>
        </is>
      </c>
    </row>
    <row r="145">
      <c r="A145" s="99" t="inlineStr">
        <is>
          <t>TR-B3</t>
        </is>
      </c>
      <c r="B145" s="99" t="n">
        <v>21</v>
      </c>
      <c r="C145" s="99" t="inlineStr">
        <is>
          <t>Ống 4 Nâu</t>
        </is>
      </c>
      <c r="D145" s="99" t="inlineStr">
        <is>
          <t>Xanh lá</t>
        </is>
      </c>
      <c r="E145" s="99" t="n">
        <v>3</v>
      </c>
      <c r="F145" s="99" t="inlineStr">
        <is>
          <t>TU-B23</t>
        </is>
      </c>
      <c r="G145" s="99" t="inlineStr">
        <is>
          <t>—</t>
        </is>
      </c>
      <c r="H145" s="99" t="inlineStr">
        <is>
          <t>ODF-17/18 Phải</t>
        </is>
      </c>
      <c r="I145" s="99" t="inlineStr">
        <is>
          <t>H4-C3</t>
        </is>
      </c>
      <c r="J145" s="99" t="inlineStr">
        <is>
          <t>—</t>
        </is>
      </c>
      <c r="K145" s="99" t="inlineStr">
        <is>
          <t>—</t>
        </is>
      </c>
      <c r="L145" s="101" t="inlineStr">
        <is>
          <t>Dự phòng</t>
        </is>
      </c>
    </row>
    <row r="146">
      <c r="A146" s="99" t="inlineStr">
        <is>
          <t>TR-B3</t>
        </is>
      </c>
      <c r="B146" s="99" t="n">
        <v>22</v>
      </c>
      <c r="C146" s="99" t="inlineStr">
        <is>
          <t>Ống 4 Nâu</t>
        </is>
      </c>
      <c r="D146" s="99" t="inlineStr">
        <is>
          <t>Nâu</t>
        </is>
      </c>
      <c r="E146" s="99" t="n">
        <v>3</v>
      </c>
      <c r="F146" s="99" t="inlineStr">
        <is>
          <t>TU-B23</t>
        </is>
      </c>
      <c r="G146" s="99" t="inlineStr">
        <is>
          <t>—</t>
        </is>
      </c>
      <c r="H146" s="99" t="inlineStr">
        <is>
          <t>ODF-17/18 Phải</t>
        </is>
      </c>
      <c r="I146" s="99" t="inlineStr">
        <is>
          <t>H4-C4</t>
        </is>
      </c>
      <c r="J146" s="99" t="inlineStr">
        <is>
          <t>—</t>
        </is>
      </c>
      <c r="K146" s="99" t="inlineStr">
        <is>
          <t>—</t>
        </is>
      </c>
      <c r="L146" s="101" t="inlineStr">
        <is>
          <t>Dự phòng</t>
        </is>
      </c>
    </row>
    <row r="147">
      <c r="A147" s="99" t="inlineStr">
        <is>
          <t>TR-B3</t>
        </is>
      </c>
      <c r="B147" s="99" t="n">
        <v>23</v>
      </c>
      <c r="C147" s="99" t="inlineStr">
        <is>
          <t>Ống 4 Nâu</t>
        </is>
      </c>
      <c r="D147" s="99" t="inlineStr">
        <is>
          <t>Xám</t>
        </is>
      </c>
      <c r="E147" s="99" t="n">
        <v>3</v>
      </c>
      <c r="F147" s="99" t="inlineStr">
        <is>
          <t>TU-B23</t>
        </is>
      </c>
      <c r="G147" s="99" t="inlineStr">
        <is>
          <t>—</t>
        </is>
      </c>
      <c r="H147" s="99" t="inlineStr">
        <is>
          <t>ODF-17/18 Phải</t>
        </is>
      </c>
      <c r="I147" s="99" t="inlineStr">
        <is>
          <t>H4-C5</t>
        </is>
      </c>
      <c r="J147" s="99" t="inlineStr">
        <is>
          <t>—</t>
        </is>
      </c>
      <c r="K147" s="99" t="inlineStr">
        <is>
          <t>—</t>
        </is>
      </c>
      <c r="L147" s="101" t="inlineStr">
        <is>
          <t>Dự phòng</t>
        </is>
      </c>
    </row>
    <row r="148">
      <c r="A148" s="99" t="inlineStr">
        <is>
          <t>TR-B3</t>
        </is>
      </c>
      <c r="B148" s="99" t="n">
        <v>24</v>
      </c>
      <c r="C148" s="99" t="inlineStr">
        <is>
          <t>Ống 4 Nâu</t>
        </is>
      </c>
      <c r="D148" s="99" t="inlineStr">
        <is>
          <t>Trắng</t>
        </is>
      </c>
      <c r="E148" s="99" t="n">
        <v>3</v>
      </c>
      <c r="F148" s="99" t="inlineStr">
        <is>
          <t>TU-B23</t>
        </is>
      </c>
      <c r="G148" s="99" t="inlineStr">
        <is>
          <t>—</t>
        </is>
      </c>
      <c r="H148" s="99" t="inlineStr">
        <is>
          <t>ODF-17/18 Phải</t>
        </is>
      </c>
      <c r="I148" s="99" t="inlineStr">
        <is>
          <t>H4-C6</t>
        </is>
      </c>
      <c r="J148" s="99" t="inlineStr">
        <is>
          <t>—</t>
        </is>
      </c>
      <c r="K148" s="99" t="inlineStr">
        <is>
          <t>—</t>
        </is>
      </c>
      <c r="L148" s="101" t="inlineStr">
        <is>
          <t>Dự phòng</t>
        </is>
      </c>
    </row>
  </sheetData>
  <autoFilter ref="A4:L148"/>
  <pageMargins left="0.75" right="0.75" top="1" bottom="1" header="0.5" footer="0.5"/>
  <pageSetup orientation="landscape" fitToHeight="0" fitToWidth="1"/>
</worksheet>
</file>

<file path=xl/worksheets/sheet6.xml><?xml version="1.0" encoding="utf-8"?>
<worksheet xmlns="http://schemas.openxmlformats.org/spreadsheetml/2006/main">
  <sheetPr>
    <tabColor rgb="002F6FDE"/>
    <outlinePr summaryBelow="1" summaryRight="1"/>
    <pageSetUpPr fitToPage="1"/>
  </sheetPr>
  <dimension ref="A1:P68"/>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12" customWidth="1" min="3" max="3"/>
    <col width="14" customWidth="1" min="4" max="4"/>
    <col width="12" customWidth="1" min="5" max="5"/>
    <col width="8" customWidth="1" min="6" max="6"/>
    <col width="14" customWidth="1" min="7" max="7"/>
    <col width="14" customWidth="1" min="8" max="8"/>
    <col width="22" customWidth="1" min="9" max="9"/>
    <col width="11" customWidth="1" min="10" max="10"/>
    <col width="16" customWidth="1" min="11" max="11"/>
    <col width="10" customWidth="1" min="12" max="12"/>
    <col width="10" customWidth="1" min="13" max="13"/>
    <col width="13" customWidth="1" min="14" max="14"/>
    <col width="13" customWidth="1" min="15" max="15"/>
    <col width="13" customWidth="1" min="16" max="16"/>
  </cols>
  <sheetData>
    <row r="1">
      <c r="A1" s="1" t="inlineStr">
        <is>
          <t>Bảng đấu nối tại Phòng máy: OLT PON → ODF-96 (vào) → Splitter 1:4 → ODF-96 (ra) → ODF 48FO → Cáp trục</t>
        </is>
      </c>
    </row>
    <row r="2">
      <c r="A2" s="2" t="inlineStr">
        <is>
          <t>ODF-96FO chia 2 nửa 4×12: TRÁI = tháp A (PON 1-8), PHẢI = tháp B (PON 9-16); mỗi nửa đếm từ 1, từ dưới lên, trái qua phải. Splitter thứ k của nửa: vào cổng 36+k (37-44), ra cổng 4k-3…4k. Mỗi PON dùng 3 cổng (cổng 4 dự phòng, được phép dùng khi tháp cần). Dây nhảy: OLT→cổng vào; cổng ra→ODF-48.</t>
        </is>
      </c>
    </row>
    <row r="4" ht="30" customHeight="1">
      <c r="A4" s="7" t="inlineStr">
        <is>
          <t>PON</t>
        </is>
      </c>
      <c r="B4" s="7" t="inlineStr">
        <is>
          <t>Splitter PM 1:4</t>
        </is>
      </c>
      <c r="C4" s="7" t="inlineStr">
        <is>
          <t>ODF-96 cổng ra (nửa-số)</t>
        </is>
      </c>
      <c r="D4" s="7" t="inlineStr">
        <is>
          <t>Trạng thái cổng</t>
        </is>
      </c>
      <c r="E4" s="7" t="inlineStr">
        <is>
          <t>ODF-48 đích</t>
        </is>
      </c>
      <c r="F4" s="7" t="inlineStr">
        <is>
          <t>Khay</t>
        </is>
      </c>
      <c r="G4" s="7" t="inlineStr">
        <is>
          <t>Coupler ODF-48</t>
        </is>
      </c>
      <c r="H4" s="7" t="inlineStr">
        <is>
          <t>Cáp trục/sợi</t>
        </is>
      </c>
      <c r="I4" s="7" t="inlineStr">
        <is>
          <t>Ống / màu</t>
        </is>
      </c>
      <c r="J4" s="7" t="inlineStr">
        <is>
          <t>Tủ đích</t>
        </is>
      </c>
      <c r="K4" s="7" t="inlineStr">
        <is>
          <t>Splitter 1:16 đích</t>
        </is>
      </c>
      <c r="L4" s="7" t="inlineStr">
        <is>
          <t>Số căn hộ</t>
        </is>
      </c>
      <c r="M4" s="7" t="inlineStr">
        <is>
          <t>Hoạt động</t>
        </is>
      </c>
      <c r="N4" s="7" t="inlineStr">
        <is>
          <t>ODF-96 cổng vào (OLT)</t>
        </is>
      </c>
      <c r="O4" s="7" t="inlineStr">
        <is>
          <t>Vị trí cổng ra (hàng-cột)</t>
        </is>
      </c>
      <c r="P4" s="7" t="inlineStr">
        <is>
          <t>Vị trí cổng vào (hàng-cột)</t>
        </is>
      </c>
    </row>
    <row r="5">
      <c r="A5" s="103" t="inlineStr">
        <is>
          <t>PON-01</t>
        </is>
      </c>
      <c r="B5" s="99" t="inlineStr">
        <is>
          <t>S4-01</t>
        </is>
      </c>
      <c r="C5" s="99" t="inlineStr">
        <is>
          <t>A-1</t>
        </is>
      </c>
      <c r="D5" s="99" t="inlineStr">
        <is>
          <t>Đã dùng</t>
        </is>
      </c>
      <c r="E5" s="99" t="inlineStr">
        <is>
          <t>ODF-02</t>
        </is>
      </c>
      <c r="F5" s="99" t="inlineStr">
        <is>
          <t>Trái</t>
        </is>
      </c>
      <c r="G5" s="99" t="inlineStr">
        <is>
          <t>H1-C1</t>
        </is>
      </c>
      <c r="H5" s="99" t="inlineStr">
        <is>
          <t>TR-A1/01</t>
        </is>
      </c>
      <c r="I5" s="99" t="inlineStr">
        <is>
          <t>Ống 1 Xanh dương / Xanh dương</t>
        </is>
      </c>
      <c r="J5" s="99" t="inlineStr">
        <is>
          <t>TU-A2</t>
        </is>
      </c>
      <c r="K5" s="99" t="inlineStr">
        <is>
          <t>TU-A2/S1</t>
        </is>
      </c>
      <c r="L5" s="99">
        <f>COUNTIF('Thuê bao'!$F$2:$F$677,K5)</f>
        <v/>
      </c>
      <c r="M5" s="99">
        <f>COUNTIFS('Thuê bao'!$F$2:$F$677,K5,'Thuê bao'!$N$2:$N$677,"Hoạt động")</f>
        <v/>
      </c>
      <c r="N5" s="99" t="inlineStr">
        <is>
          <t>A-37</t>
        </is>
      </c>
      <c r="O5" s="99" t="inlineStr">
        <is>
          <t>H1-C1</t>
        </is>
      </c>
      <c r="P5" s="99" t="inlineStr">
        <is>
          <t>H4-C1</t>
        </is>
      </c>
    </row>
    <row r="6">
      <c r="A6" s="103" t="inlineStr">
        <is>
          <t>PON-01</t>
        </is>
      </c>
      <c r="B6" s="99" t="inlineStr">
        <is>
          <t>S4-01</t>
        </is>
      </c>
      <c r="C6" s="99" t="inlineStr">
        <is>
          <t>A-2</t>
        </is>
      </c>
      <c r="D6" s="99" t="inlineStr">
        <is>
          <t>Đã dùng</t>
        </is>
      </c>
      <c r="E6" s="99" t="inlineStr">
        <is>
          <t>ODF-02</t>
        </is>
      </c>
      <c r="F6" s="99" t="inlineStr">
        <is>
          <t>Trái</t>
        </is>
      </c>
      <c r="G6" s="99" t="inlineStr">
        <is>
          <t>H1-C2</t>
        </is>
      </c>
      <c r="H6" s="99" t="inlineStr">
        <is>
          <t>TR-A1/02</t>
        </is>
      </c>
      <c r="I6" s="99" t="inlineStr">
        <is>
          <t>Ống 1 Xanh dương / Cam</t>
        </is>
      </c>
      <c r="J6" s="99" t="inlineStr">
        <is>
          <t>TU-A2</t>
        </is>
      </c>
      <c r="K6" s="99" t="inlineStr">
        <is>
          <t>TU-A2/S2</t>
        </is>
      </c>
      <c r="L6" s="99">
        <f>COUNTIF('Thuê bao'!$F$2:$F$677,K6)</f>
        <v/>
      </c>
      <c r="M6" s="99">
        <f>COUNTIFS('Thuê bao'!$F$2:$F$677,K6,'Thuê bao'!$N$2:$N$677,"Hoạt động")</f>
        <v/>
      </c>
      <c r="N6" s="99" t="inlineStr">
        <is>
          <t>A-37</t>
        </is>
      </c>
      <c r="O6" s="99" t="inlineStr">
        <is>
          <t>H1-C2</t>
        </is>
      </c>
      <c r="P6" s="99" t="inlineStr">
        <is>
          <t>H4-C1</t>
        </is>
      </c>
    </row>
    <row r="7">
      <c r="A7" s="103" t="inlineStr">
        <is>
          <t>PON-01</t>
        </is>
      </c>
      <c r="B7" s="99" t="inlineStr">
        <is>
          <t>S4-01</t>
        </is>
      </c>
      <c r="C7" s="99" t="inlineStr">
        <is>
          <t>A-3</t>
        </is>
      </c>
      <c r="D7" s="99" t="inlineStr">
        <is>
          <t>Đã dùng</t>
        </is>
      </c>
      <c r="E7" s="99" t="inlineStr">
        <is>
          <t>ODF-02</t>
        </is>
      </c>
      <c r="F7" s="99" t="inlineStr">
        <is>
          <t>Trái</t>
        </is>
      </c>
      <c r="G7" s="99" t="inlineStr">
        <is>
          <t>H1-C3</t>
        </is>
      </c>
      <c r="H7" s="99" t="inlineStr">
        <is>
          <t>TR-A1/03</t>
        </is>
      </c>
      <c r="I7" s="99" t="inlineStr">
        <is>
          <t>Ống 1 Xanh dương / Xanh lá</t>
        </is>
      </c>
      <c r="J7" s="99" t="inlineStr">
        <is>
          <t>TU-A2</t>
        </is>
      </c>
      <c r="K7" s="99" t="inlineStr">
        <is>
          <t>TU-A2/S3</t>
        </is>
      </c>
      <c r="L7" s="99">
        <f>COUNTIF('Thuê bao'!$F$2:$F$677,K7)</f>
        <v/>
      </c>
      <c r="M7" s="99">
        <f>COUNTIFS('Thuê bao'!$F$2:$F$677,K7,'Thuê bao'!$N$2:$N$677,"Hoạt động")</f>
        <v/>
      </c>
      <c r="N7" s="99" t="inlineStr">
        <is>
          <t>A-37</t>
        </is>
      </c>
      <c r="O7" s="99" t="inlineStr">
        <is>
          <t>H1-C3</t>
        </is>
      </c>
      <c r="P7" s="99" t="inlineStr">
        <is>
          <t>H4-C1</t>
        </is>
      </c>
    </row>
    <row r="8">
      <c r="A8" s="103" t="inlineStr">
        <is>
          <t>PON-01</t>
        </is>
      </c>
      <c r="B8" s="99" t="inlineStr">
        <is>
          <t>S4-01</t>
        </is>
      </c>
      <c r="C8" s="99" t="inlineStr">
        <is>
          <t>A-4</t>
        </is>
      </c>
      <c r="D8" s="104" t="inlineStr">
        <is>
          <t>Dự phòng</t>
        </is>
      </c>
      <c r="E8" s="99" t="inlineStr">
        <is>
          <t>—</t>
        </is>
      </c>
      <c r="F8" s="99" t="inlineStr">
        <is>
          <t>—</t>
        </is>
      </c>
      <c r="G8" s="99" t="inlineStr">
        <is>
          <t>—</t>
        </is>
      </c>
      <c r="H8" s="99" t="inlineStr">
        <is>
          <t>—</t>
        </is>
      </c>
      <c r="I8" s="99" t="inlineStr">
        <is>
          <t>—</t>
        </is>
      </c>
      <c r="J8" s="99" t="inlineStr">
        <is>
          <t>—</t>
        </is>
      </c>
      <c r="K8" s="99" t="inlineStr">
        <is>
          <t>—</t>
        </is>
      </c>
      <c r="L8" s="99" t="n">
        <v>0</v>
      </c>
      <c r="M8" s="99" t="n">
        <v>0</v>
      </c>
      <c r="N8" s="99" t="inlineStr">
        <is>
          <t>A-37</t>
        </is>
      </c>
      <c r="O8" s="99" t="inlineStr">
        <is>
          <t>H1-C4</t>
        </is>
      </c>
      <c r="P8" s="99" t="inlineStr">
        <is>
          <t>H4-C1</t>
        </is>
      </c>
    </row>
    <row r="9">
      <c r="A9" s="15" t="inlineStr">
        <is>
          <t>PON-02</t>
        </is>
      </c>
      <c r="B9" s="102" t="inlineStr">
        <is>
          <t>S4-02</t>
        </is>
      </c>
      <c r="C9" s="102" t="inlineStr">
        <is>
          <t>A-5</t>
        </is>
      </c>
      <c r="D9" s="102" t="inlineStr">
        <is>
          <t>Đã dùng</t>
        </is>
      </c>
      <c r="E9" s="102" t="inlineStr">
        <is>
          <t>ODF-02</t>
        </is>
      </c>
      <c r="F9" s="102" t="inlineStr">
        <is>
          <t>Trái</t>
        </is>
      </c>
      <c r="G9" s="102" t="inlineStr">
        <is>
          <t>H2-C3</t>
        </is>
      </c>
      <c r="H9" s="102" t="inlineStr">
        <is>
          <t>TR-A1/09</t>
        </is>
      </c>
      <c r="I9" s="102" t="inlineStr">
        <is>
          <t>Ống 2 Cam / Xanh lá</t>
        </is>
      </c>
      <c r="J9" s="102" t="inlineStr">
        <is>
          <t>TU-A5</t>
        </is>
      </c>
      <c r="K9" s="102" t="inlineStr">
        <is>
          <t>TU-A5/S1</t>
        </is>
      </c>
      <c r="L9" s="102">
        <f>COUNTIF('Thuê bao'!$F$2:$F$677,K9)</f>
        <v/>
      </c>
      <c r="M9" s="102">
        <f>COUNTIFS('Thuê bao'!$F$2:$F$677,K9,'Thuê bao'!$N$2:$N$677,"Hoạt động")</f>
        <v/>
      </c>
      <c r="N9" s="102" t="inlineStr">
        <is>
          <t>A-38</t>
        </is>
      </c>
      <c r="O9" s="102" t="inlineStr">
        <is>
          <t>H1-C5</t>
        </is>
      </c>
      <c r="P9" s="102" t="inlineStr">
        <is>
          <t>H4-C2</t>
        </is>
      </c>
    </row>
    <row r="10">
      <c r="A10" s="15" t="inlineStr">
        <is>
          <t>PON-02</t>
        </is>
      </c>
      <c r="B10" s="102" t="inlineStr">
        <is>
          <t>S4-02</t>
        </is>
      </c>
      <c r="C10" s="102" t="inlineStr">
        <is>
          <t>A-6</t>
        </is>
      </c>
      <c r="D10" s="102" t="inlineStr">
        <is>
          <t>Đã dùng</t>
        </is>
      </c>
      <c r="E10" s="102" t="inlineStr">
        <is>
          <t>ODF-02</t>
        </is>
      </c>
      <c r="F10" s="102" t="inlineStr">
        <is>
          <t>Trái</t>
        </is>
      </c>
      <c r="G10" s="102" t="inlineStr">
        <is>
          <t>H2-C4</t>
        </is>
      </c>
      <c r="H10" s="102" t="inlineStr">
        <is>
          <t>TR-A1/10</t>
        </is>
      </c>
      <c r="I10" s="102" t="inlineStr">
        <is>
          <t>Ống 2 Cam / Nâu</t>
        </is>
      </c>
      <c r="J10" s="102" t="inlineStr">
        <is>
          <t>TU-A5</t>
        </is>
      </c>
      <c r="K10" s="102" t="inlineStr">
        <is>
          <t>TU-A5/S2</t>
        </is>
      </c>
      <c r="L10" s="102">
        <f>COUNTIF('Thuê bao'!$F$2:$F$677,K10)</f>
        <v/>
      </c>
      <c r="M10" s="102">
        <f>COUNTIFS('Thuê bao'!$F$2:$F$677,K10,'Thuê bao'!$N$2:$N$677,"Hoạt động")</f>
        <v/>
      </c>
      <c r="N10" s="102" t="inlineStr">
        <is>
          <t>A-38</t>
        </is>
      </c>
      <c r="O10" s="102" t="inlineStr">
        <is>
          <t>H1-C6</t>
        </is>
      </c>
      <c r="P10" s="102" t="inlineStr">
        <is>
          <t>H4-C2</t>
        </is>
      </c>
    </row>
    <row r="11">
      <c r="A11" s="15" t="inlineStr">
        <is>
          <t>PON-02</t>
        </is>
      </c>
      <c r="B11" s="102" t="inlineStr">
        <is>
          <t>S4-02</t>
        </is>
      </c>
      <c r="C11" s="102" t="inlineStr">
        <is>
          <t>A-7</t>
        </is>
      </c>
      <c r="D11" s="102" t="inlineStr">
        <is>
          <t>Đã dùng</t>
        </is>
      </c>
      <c r="E11" s="102" t="inlineStr">
        <is>
          <t>ODF-02</t>
        </is>
      </c>
      <c r="F11" s="102" t="inlineStr">
        <is>
          <t>Trái</t>
        </is>
      </c>
      <c r="G11" s="102" t="inlineStr">
        <is>
          <t>H2-C5</t>
        </is>
      </c>
      <c r="H11" s="102" t="inlineStr">
        <is>
          <t>TR-A1/11</t>
        </is>
      </c>
      <c r="I11" s="102" t="inlineStr">
        <is>
          <t>Ống 2 Cam / Xám</t>
        </is>
      </c>
      <c r="J11" s="102" t="inlineStr">
        <is>
          <t>TU-A5</t>
        </is>
      </c>
      <c r="K11" s="102" t="inlineStr">
        <is>
          <t>TU-A5/S3</t>
        </is>
      </c>
      <c r="L11" s="102">
        <f>COUNTIF('Thuê bao'!$F$2:$F$677,K11)</f>
        <v/>
      </c>
      <c r="M11" s="102">
        <f>COUNTIFS('Thuê bao'!$F$2:$F$677,K11,'Thuê bao'!$N$2:$N$677,"Hoạt động")</f>
        <v/>
      </c>
      <c r="N11" s="102" t="inlineStr">
        <is>
          <t>A-38</t>
        </is>
      </c>
      <c r="O11" s="102" t="inlineStr">
        <is>
          <t>H1-C7</t>
        </is>
      </c>
      <c r="P11" s="102" t="inlineStr">
        <is>
          <t>H4-C2</t>
        </is>
      </c>
    </row>
    <row r="12">
      <c r="A12" s="15" t="inlineStr">
        <is>
          <t>PON-02</t>
        </is>
      </c>
      <c r="B12" s="102" t="inlineStr">
        <is>
          <t>S4-02</t>
        </is>
      </c>
      <c r="C12" s="102" t="inlineStr">
        <is>
          <t>A-8</t>
        </is>
      </c>
      <c r="D12" s="105" t="inlineStr">
        <is>
          <t>Dự phòng</t>
        </is>
      </c>
      <c r="E12" s="102" t="inlineStr">
        <is>
          <t>—</t>
        </is>
      </c>
      <c r="F12" s="102" t="inlineStr">
        <is>
          <t>—</t>
        </is>
      </c>
      <c r="G12" s="102" t="inlineStr">
        <is>
          <t>—</t>
        </is>
      </c>
      <c r="H12" s="102" t="inlineStr">
        <is>
          <t>—</t>
        </is>
      </c>
      <c r="I12" s="102" t="inlineStr">
        <is>
          <t>—</t>
        </is>
      </c>
      <c r="J12" s="102" t="inlineStr">
        <is>
          <t>—</t>
        </is>
      </c>
      <c r="K12" s="102" t="inlineStr">
        <is>
          <t>—</t>
        </is>
      </c>
      <c r="L12" s="102" t="n">
        <v>0</v>
      </c>
      <c r="M12" s="102" t="n">
        <v>0</v>
      </c>
      <c r="N12" s="102" t="inlineStr">
        <is>
          <t>A-38</t>
        </is>
      </c>
      <c r="O12" s="102" t="inlineStr">
        <is>
          <t>H1-C8</t>
        </is>
      </c>
      <c r="P12" s="102" t="inlineStr">
        <is>
          <t>H4-C2</t>
        </is>
      </c>
    </row>
    <row r="13">
      <c r="A13" s="103" t="inlineStr">
        <is>
          <t>PON-03</t>
        </is>
      </c>
      <c r="B13" s="99" t="inlineStr">
        <is>
          <t>S4-03</t>
        </is>
      </c>
      <c r="C13" s="99" t="inlineStr">
        <is>
          <t>A-9</t>
        </is>
      </c>
      <c r="D13" s="99" t="inlineStr">
        <is>
          <t>Đã dùng</t>
        </is>
      </c>
      <c r="E13" s="99" t="inlineStr">
        <is>
          <t>ODF-02</t>
        </is>
      </c>
      <c r="F13" s="99" t="inlineStr">
        <is>
          <t>Trái</t>
        </is>
      </c>
      <c r="G13" s="99" t="inlineStr">
        <is>
          <t>H3-C5</t>
        </is>
      </c>
      <c r="H13" s="99" t="inlineStr">
        <is>
          <t>TR-A1/17</t>
        </is>
      </c>
      <c r="I13" s="99" t="inlineStr">
        <is>
          <t>Ống 3 Xanh lá / Xám</t>
        </is>
      </c>
      <c r="J13" s="99" t="inlineStr">
        <is>
          <t>TU-A7</t>
        </is>
      </c>
      <c r="K13" s="99" t="inlineStr">
        <is>
          <t>TU-A7/S1</t>
        </is>
      </c>
      <c r="L13" s="99">
        <f>COUNTIF('Thuê bao'!$F$2:$F$677,K13)</f>
        <v/>
      </c>
      <c r="M13" s="99">
        <f>COUNTIFS('Thuê bao'!$F$2:$F$677,K13,'Thuê bao'!$N$2:$N$677,"Hoạt động")</f>
        <v/>
      </c>
      <c r="N13" s="99" t="inlineStr">
        <is>
          <t>A-39</t>
        </is>
      </c>
      <c r="O13" s="99" t="inlineStr">
        <is>
          <t>H1-C9</t>
        </is>
      </c>
      <c r="P13" s="99" t="inlineStr">
        <is>
          <t>H4-C3</t>
        </is>
      </c>
    </row>
    <row r="14">
      <c r="A14" s="103" t="inlineStr">
        <is>
          <t>PON-03</t>
        </is>
      </c>
      <c r="B14" s="99" t="inlineStr">
        <is>
          <t>S4-03</t>
        </is>
      </c>
      <c r="C14" s="99" t="inlineStr">
        <is>
          <t>A-10</t>
        </is>
      </c>
      <c r="D14" s="99" t="inlineStr">
        <is>
          <t>Đã dùng</t>
        </is>
      </c>
      <c r="E14" s="99" t="inlineStr">
        <is>
          <t>ODF-02</t>
        </is>
      </c>
      <c r="F14" s="99" t="inlineStr">
        <is>
          <t>Trái</t>
        </is>
      </c>
      <c r="G14" s="99" t="inlineStr">
        <is>
          <t>H3-C6</t>
        </is>
      </c>
      <c r="H14" s="99" t="inlineStr">
        <is>
          <t>TR-A1/18</t>
        </is>
      </c>
      <c r="I14" s="99" t="inlineStr">
        <is>
          <t>Ống 3 Xanh lá / Trắng</t>
        </is>
      </c>
      <c r="J14" s="99" t="inlineStr">
        <is>
          <t>TU-A7</t>
        </is>
      </c>
      <c r="K14" s="99" t="inlineStr">
        <is>
          <t>TU-A7/S2</t>
        </is>
      </c>
      <c r="L14" s="99">
        <f>COUNTIF('Thuê bao'!$F$2:$F$677,K14)</f>
        <v/>
      </c>
      <c r="M14" s="99">
        <f>COUNTIFS('Thuê bao'!$F$2:$F$677,K14,'Thuê bao'!$N$2:$N$677,"Hoạt động")</f>
        <v/>
      </c>
      <c r="N14" s="99" t="inlineStr">
        <is>
          <t>A-39</t>
        </is>
      </c>
      <c r="O14" s="99" t="inlineStr">
        <is>
          <t>H1-C10</t>
        </is>
      </c>
      <c r="P14" s="99" t="inlineStr">
        <is>
          <t>H4-C3</t>
        </is>
      </c>
    </row>
    <row r="15">
      <c r="A15" s="103" t="inlineStr">
        <is>
          <t>PON-03</t>
        </is>
      </c>
      <c r="B15" s="99" t="inlineStr">
        <is>
          <t>S4-03</t>
        </is>
      </c>
      <c r="C15" s="99" t="inlineStr">
        <is>
          <t>A-11</t>
        </is>
      </c>
      <c r="D15" s="99" t="inlineStr">
        <is>
          <t>Đã dùng</t>
        </is>
      </c>
      <c r="E15" s="99" t="inlineStr">
        <is>
          <t>ODF-02</t>
        </is>
      </c>
      <c r="F15" s="99" t="inlineStr">
        <is>
          <t>Trái</t>
        </is>
      </c>
      <c r="G15" s="99" t="inlineStr">
        <is>
          <t>H4-C1</t>
        </is>
      </c>
      <c r="H15" s="99" t="inlineStr">
        <is>
          <t>TR-A1/19</t>
        </is>
      </c>
      <c r="I15" s="99" t="inlineStr">
        <is>
          <t>Ống 4 Nâu / Xanh dương</t>
        </is>
      </c>
      <c r="J15" s="99" t="inlineStr">
        <is>
          <t>TU-A7</t>
        </is>
      </c>
      <c r="K15" s="99" t="inlineStr">
        <is>
          <t>TU-A7/S3</t>
        </is>
      </c>
      <c r="L15" s="99">
        <f>COUNTIF('Thuê bao'!$F$2:$F$677,K15)</f>
        <v/>
      </c>
      <c r="M15" s="99">
        <f>COUNTIFS('Thuê bao'!$F$2:$F$677,K15,'Thuê bao'!$N$2:$N$677,"Hoạt động")</f>
        <v/>
      </c>
      <c r="N15" s="99" t="inlineStr">
        <is>
          <t>A-39</t>
        </is>
      </c>
      <c r="O15" s="99" t="inlineStr">
        <is>
          <t>H1-C11</t>
        </is>
      </c>
      <c r="P15" s="99" t="inlineStr">
        <is>
          <t>H4-C3</t>
        </is>
      </c>
    </row>
    <row r="16">
      <c r="A16" s="103" t="inlineStr">
        <is>
          <t>PON-03</t>
        </is>
      </c>
      <c r="B16" s="99" t="inlineStr">
        <is>
          <t>S4-03</t>
        </is>
      </c>
      <c r="C16" s="99" t="inlineStr">
        <is>
          <t>A-12</t>
        </is>
      </c>
      <c r="D16" s="104" t="inlineStr">
        <is>
          <t>Dự phòng</t>
        </is>
      </c>
      <c r="E16" s="99" t="inlineStr">
        <is>
          <t>—</t>
        </is>
      </c>
      <c r="F16" s="99" t="inlineStr">
        <is>
          <t>—</t>
        </is>
      </c>
      <c r="G16" s="99" t="inlineStr">
        <is>
          <t>—</t>
        </is>
      </c>
      <c r="H16" s="99" t="inlineStr">
        <is>
          <t>—</t>
        </is>
      </c>
      <c r="I16" s="99" t="inlineStr">
        <is>
          <t>—</t>
        </is>
      </c>
      <c r="J16" s="99" t="inlineStr">
        <is>
          <t>—</t>
        </is>
      </c>
      <c r="K16" s="99" t="inlineStr">
        <is>
          <t>—</t>
        </is>
      </c>
      <c r="L16" s="99" t="n">
        <v>0</v>
      </c>
      <c r="M16" s="99" t="n">
        <v>0</v>
      </c>
      <c r="N16" s="99" t="inlineStr">
        <is>
          <t>A-39</t>
        </is>
      </c>
      <c r="O16" s="99" t="inlineStr">
        <is>
          <t>H1-C12</t>
        </is>
      </c>
      <c r="P16" s="99" t="inlineStr">
        <is>
          <t>H4-C3</t>
        </is>
      </c>
    </row>
    <row r="17">
      <c r="A17" s="15" t="inlineStr">
        <is>
          <t>PON-04</t>
        </is>
      </c>
      <c r="B17" s="102" t="inlineStr">
        <is>
          <t>S4-04</t>
        </is>
      </c>
      <c r="C17" s="102" t="inlineStr">
        <is>
          <t>A-13</t>
        </is>
      </c>
      <c r="D17" s="102" t="inlineStr">
        <is>
          <t>Đã dùng</t>
        </is>
      </c>
      <c r="E17" s="102" t="inlineStr">
        <is>
          <t>ODF-08/09</t>
        </is>
      </c>
      <c r="F17" s="102" t="inlineStr">
        <is>
          <t>Trái</t>
        </is>
      </c>
      <c r="G17" s="102" t="inlineStr">
        <is>
          <t>H1-C1</t>
        </is>
      </c>
      <c r="H17" s="102" t="inlineStr">
        <is>
          <t>TR-A2/01</t>
        </is>
      </c>
      <c r="I17" s="102" t="inlineStr">
        <is>
          <t>Ống 1 Xanh dương / Xanh dương</t>
        </is>
      </c>
      <c r="J17" s="102" t="inlineStr">
        <is>
          <t>TU-A9</t>
        </is>
      </c>
      <c r="K17" s="102" t="inlineStr">
        <is>
          <t>TU-A9/S1</t>
        </is>
      </c>
      <c r="L17" s="102">
        <f>COUNTIF('Thuê bao'!$F$2:$F$677,K17)</f>
        <v/>
      </c>
      <c r="M17" s="102">
        <f>COUNTIFS('Thuê bao'!$F$2:$F$677,K17,'Thuê bao'!$N$2:$N$677,"Hoạt động")</f>
        <v/>
      </c>
      <c r="N17" s="102" t="inlineStr">
        <is>
          <t>A-40</t>
        </is>
      </c>
      <c r="O17" s="102" t="inlineStr">
        <is>
          <t>H2-C1</t>
        </is>
      </c>
      <c r="P17" s="102" t="inlineStr">
        <is>
          <t>H4-C4</t>
        </is>
      </c>
    </row>
    <row r="18">
      <c r="A18" s="15" t="inlineStr">
        <is>
          <t>PON-04</t>
        </is>
      </c>
      <c r="B18" s="102" t="inlineStr">
        <is>
          <t>S4-04</t>
        </is>
      </c>
      <c r="C18" s="102" t="inlineStr">
        <is>
          <t>A-14</t>
        </is>
      </c>
      <c r="D18" s="102" t="inlineStr">
        <is>
          <t>Đã dùng</t>
        </is>
      </c>
      <c r="E18" s="102" t="inlineStr">
        <is>
          <t>ODF-08/09</t>
        </is>
      </c>
      <c r="F18" s="102" t="inlineStr">
        <is>
          <t>Trái</t>
        </is>
      </c>
      <c r="G18" s="102" t="inlineStr">
        <is>
          <t>H1-C2</t>
        </is>
      </c>
      <c r="H18" s="102" t="inlineStr">
        <is>
          <t>TR-A2/02</t>
        </is>
      </c>
      <c r="I18" s="102" t="inlineStr">
        <is>
          <t>Ống 1 Xanh dương / Cam</t>
        </is>
      </c>
      <c r="J18" s="102" t="inlineStr">
        <is>
          <t>TU-A9</t>
        </is>
      </c>
      <c r="K18" s="102" t="inlineStr">
        <is>
          <t>TU-A9/S2</t>
        </is>
      </c>
      <c r="L18" s="102">
        <f>COUNTIF('Thuê bao'!$F$2:$F$677,K18)</f>
        <v/>
      </c>
      <c r="M18" s="102">
        <f>COUNTIFS('Thuê bao'!$F$2:$F$677,K18,'Thuê bao'!$N$2:$N$677,"Hoạt động")</f>
        <v/>
      </c>
      <c r="N18" s="102" t="inlineStr">
        <is>
          <t>A-40</t>
        </is>
      </c>
      <c r="O18" s="102" t="inlineStr">
        <is>
          <t>H2-C2</t>
        </is>
      </c>
      <c r="P18" s="102" t="inlineStr">
        <is>
          <t>H4-C4</t>
        </is>
      </c>
    </row>
    <row r="19">
      <c r="A19" s="15" t="inlineStr">
        <is>
          <t>PON-04</t>
        </is>
      </c>
      <c r="B19" s="102" t="inlineStr">
        <is>
          <t>S4-04</t>
        </is>
      </c>
      <c r="C19" s="102" t="inlineStr">
        <is>
          <t>A-15</t>
        </is>
      </c>
      <c r="D19" s="102" t="inlineStr">
        <is>
          <t>Đã dùng</t>
        </is>
      </c>
      <c r="E19" s="102" t="inlineStr">
        <is>
          <t>ODF-08/09</t>
        </is>
      </c>
      <c r="F19" s="102" t="inlineStr">
        <is>
          <t>Trái</t>
        </is>
      </c>
      <c r="G19" s="102" t="inlineStr">
        <is>
          <t>H1-C3</t>
        </is>
      </c>
      <c r="H19" s="102" t="inlineStr">
        <is>
          <t>TR-A2/03</t>
        </is>
      </c>
      <c r="I19" s="102" t="inlineStr">
        <is>
          <t>Ống 1 Xanh dương / Xanh lá</t>
        </is>
      </c>
      <c r="J19" s="102" t="inlineStr">
        <is>
          <t>TU-A9</t>
        </is>
      </c>
      <c r="K19" s="102" t="inlineStr">
        <is>
          <t>TU-A9/S3</t>
        </is>
      </c>
      <c r="L19" s="102">
        <f>COUNTIF('Thuê bao'!$F$2:$F$677,K19)</f>
        <v/>
      </c>
      <c r="M19" s="102">
        <f>COUNTIFS('Thuê bao'!$F$2:$F$677,K19,'Thuê bao'!$N$2:$N$677,"Hoạt động")</f>
        <v/>
      </c>
      <c r="N19" s="102" t="inlineStr">
        <is>
          <t>A-40</t>
        </is>
      </c>
      <c r="O19" s="102" t="inlineStr">
        <is>
          <t>H2-C3</t>
        </is>
      </c>
      <c r="P19" s="102" t="inlineStr">
        <is>
          <t>H4-C4</t>
        </is>
      </c>
    </row>
    <row r="20">
      <c r="A20" s="15" t="inlineStr">
        <is>
          <t>PON-04</t>
        </is>
      </c>
      <c r="B20" s="102" t="inlineStr">
        <is>
          <t>S4-04</t>
        </is>
      </c>
      <c r="C20" s="102" t="inlineStr">
        <is>
          <t>A-16</t>
        </is>
      </c>
      <c r="D20" s="105" t="inlineStr">
        <is>
          <t>Dự phòng</t>
        </is>
      </c>
      <c r="E20" s="102" t="inlineStr">
        <is>
          <t>—</t>
        </is>
      </c>
      <c r="F20" s="102" t="inlineStr">
        <is>
          <t>—</t>
        </is>
      </c>
      <c r="G20" s="102" t="inlineStr">
        <is>
          <t>—</t>
        </is>
      </c>
      <c r="H20" s="102" t="inlineStr">
        <is>
          <t>—</t>
        </is>
      </c>
      <c r="I20" s="102" t="inlineStr">
        <is>
          <t>—</t>
        </is>
      </c>
      <c r="J20" s="102" t="inlineStr">
        <is>
          <t>—</t>
        </is>
      </c>
      <c r="K20" s="102" t="inlineStr">
        <is>
          <t>—</t>
        </is>
      </c>
      <c r="L20" s="102" t="n">
        <v>0</v>
      </c>
      <c r="M20" s="102" t="n">
        <v>0</v>
      </c>
      <c r="N20" s="102" t="inlineStr">
        <is>
          <t>A-40</t>
        </is>
      </c>
      <c r="O20" s="102" t="inlineStr">
        <is>
          <t>H2-C4</t>
        </is>
      </c>
      <c r="P20" s="102" t="inlineStr">
        <is>
          <t>H4-C4</t>
        </is>
      </c>
    </row>
    <row r="21">
      <c r="A21" s="103" t="inlineStr">
        <is>
          <t>PON-05</t>
        </is>
      </c>
      <c r="B21" s="99" t="inlineStr">
        <is>
          <t>S4-05</t>
        </is>
      </c>
      <c r="C21" s="99" t="inlineStr">
        <is>
          <t>A-17</t>
        </is>
      </c>
      <c r="D21" s="99" t="inlineStr">
        <is>
          <t>Đã dùng</t>
        </is>
      </c>
      <c r="E21" s="99" t="inlineStr">
        <is>
          <t>ODF-08/09</t>
        </is>
      </c>
      <c r="F21" s="99" t="inlineStr">
        <is>
          <t>Trái</t>
        </is>
      </c>
      <c r="G21" s="99" t="inlineStr">
        <is>
          <t>H2-C3</t>
        </is>
      </c>
      <c r="H21" s="99" t="inlineStr">
        <is>
          <t>TR-A2/09</t>
        </is>
      </c>
      <c r="I21" s="99" t="inlineStr">
        <is>
          <t>Ống 2 Cam / Xanh lá</t>
        </is>
      </c>
      <c r="J21" s="99" t="inlineStr">
        <is>
          <t>TU-A12</t>
        </is>
      </c>
      <c r="K21" s="99" t="inlineStr">
        <is>
          <t>TU-A12/S1</t>
        </is>
      </c>
      <c r="L21" s="99">
        <f>COUNTIF('Thuê bao'!$F$2:$F$677,K21)</f>
        <v/>
      </c>
      <c r="M21" s="99">
        <f>COUNTIFS('Thuê bao'!$F$2:$F$677,K21,'Thuê bao'!$N$2:$N$677,"Hoạt động")</f>
        <v/>
      </c>
      <c r="N21" s="99" t="inlineStr">
        <is>
          <t>A-41</t>
        </is>
      </c>
      <c r="O21" s="99" t="inlineStr">
        <is>
          <t>H2-C5</t>
        </is>
      </c>
      <c r="P21" s="99" t="inlineStr">
        <is>
          <t>H4-C5</t>
        </is>
      </c>
    </row>
    <row r="22">
      <c r="A22" s="103" t="inlineStr">
        <is>
          <t>PON-05</t>
        </is>
      </c>
      <c r="B22" s="99" t="inlineStr">
        <is>
          <t>S4-05</t>
        </is>
      </c>
      <c r="C22" s="99" t="inlineStr">
        <is>
          <t>A-18</t>
        </is>
      </c>
      <c r="D22" s="99" t="inlineStr">
        <is>
          <t>Đã dùng</t>
        </is>
      </c>
      <c r="E22" s="99" t="inlineStr">
        <is>
          <t>ODF-08/09</t>
        </is>
      </c>
      <c r="F22" s="99" t="inlineStr">
        <is>
          <t>Trái</t>
        </is>
      </c>
      <c r="G22" s="99" t="inlineStr">
        <is>
          <t>H2-C4</t>
        </is>
      </c>
      <c r="H22" s="99" t="inlineStr">
        <is>
          <t>TR-A2/10</t>
        </is>
      </c>
      <c r="I22" s="99" t="inlineStr">
        <is>
          <t>Ống 2 Cam / Nâu</t>
        </is>
      </c>
      <c r="J22" s="99" t="inlineStr">
        <is>
          <t>TU-A12</t>
        </is>
      </c>
      <c r="K22" s="99" t="inlineStr">
        <is>
          <t>TU-A12/S2</t>
        </is>
      </c>
      <c r="L22" s="99">
        <f>COUNTIF('Thuê bao'!$F$2:$F$677,K22)</f>
        <v/>
      </c>
      <c r="M22" s="99">
        <f>COUNTIFS('Thuê bao'!$F$2:$F$677,K22,'Thuê bao'!$N$2:$N$677,"Hoạt động")</f>
        <v/>
      </c>
      <c r="N22" s="99" t="inlineStr">
        <is>
          <t>A-41</t>
        </is>
      </c>
      <c r="O22" s="99" t="inlineStr">
        <is>
          <t>H2-C6</t>
        </is>
      </c>
      <c r="P22" s="99" t="inlineStr">
        <is>
          <t>H4-C5</t>
        </is>
      </c>
    </row>
    <row r="23">
      <c r="A23" s="103" t="inlineStr">
        <is>
          <t>PON-05</t>
        </is>
      </c>
      <c r="B23" s="99" t="inlineStr">
        <is>
          <t>S4-05</t>
        </is>
      </c>
      <c r="C23" s="99" t="inlineStr">
        <is>
          <t>A-19</t>
        </is>
      </c>
      <c r="D23" s="99" t="inlineStr">
        <is>
          <t>Đã dùng</t>
        </is>
      </c>
      <c r="E23" s="99" t="inlineStr">
        <is>
          <t>ODF-08/09</t>
        </is>
      </c>
      <c r="F23" s="99" t="inlineStr">
        <is>
          <t>Trái</t>
        </is>
      </c>
      <c r="G23" s="99" t="inlineStr">
        <is>
          <t>H2-C5</t>
        </is>
      </c>
      <c r="H23" s="99" t="inlineStr">
        <is>
          <t>TR-A2/11</t>
        </is>
      </c>
      <c r="I23" s="99" t="inlineStr">
        <is>
          <t>Ống 2 Cam / Xám</t>
        </is>
      </c>
      <c r="J23" s="99" t="inlineStr">
        <is>
          <t>TU-A12</t>
        </is>
      </c>
      <c r="K23" s="99" t="inlineStr">
        <is>
          <t>TU-A12/S3</t>
        </is>
      </c>
      <c r="L23" s="99">
        <f>COUNTIF('Thuê bao'!$F$2:$F$677,K23)</f>
        <v/>
      </c>
      <c r="M23" s="99">
        <f>COUNTIFS('Thuê bao'!$F$2:$F$677,K23,'Thuê bao'!$N$2:$N$677,"Hoạt động")</f>
        <v/>
      </c>
      <c r="N23" s="99" t="inlineStr">
        <is>
          <t>A-41</t>
        </is>
      </c>
      <c r="O23" s="99" t="inlineStr">
        <is>
          <t>H2-C7</t>
        </is>
      </c>
      <c r="P23" s="99" t="inlineStr">
        <is>
          <t>H4-C5</t>
        </is>
      </c>
    </row>
    <row r="24">
      <c r="A24" s="103" t="inlineStr">
        <is>
          <t>PON-05</t>
        </is>
      </c>
      <c r="B24" s="99" t="inlineStr">
        <is>
          <t>S4-05</t>
        </is>
      </c>
      <c r="C24" s="99" t="inlineStr">
        <is>
          <t>A-20</t>
        </is>
      </c>
      <c r="D24" s="104" t="inlineStr">
        <is>
          <t>Dự phòng</t>
        </is>
      </c>
      <c r="E24" s="99" t="inlineStr">
        <is>
          <t>—</t>
        </is>
      </c>
      <c r="F24" s="99" t="inlineStr">
        <is>
          <t>—</t>
        </is>
      </c>
      <c r="G24" s="99" t="inlineStr">
        <is>
          <t>—</t>
        </is>
      </c>
      <c r="H24" s="99" t="inlineStr">
        <is>
          <t>—</t>
        </is>
      </c>
      <c r="I24" s="99" t="inlineStr">
        <is>
          <t>—</t>
        </is>
      </c>
      <c r="J24" s="99" t="inlineStr">
        <is>
          <t>—</t>
        </is>
      </c>
      <c r="K24" s="99" t="inlineStr">
        <is>
          <t>—</t>
        </is>
      </c>
      <c r="L24" s="99" t="n">
        <v>0</v>
      </c>
      <c r="M24" s="99" t="n">
        <v>0</v>
      </c>
      <c r="N24" s="99" t="inlineStr">
        <is>
          <t>A-41</t>
        </is>
      </c>
      <c r="O24" s="99" t="inlineStr">
        <is>
          <t>H2-C8</t>
        </is>
      </c>
      <c r="P24" s="99" t="inlineStr">
        <is>
          <t>H4-C5</t>
        </is>
      </c>
    </row>
    <row r="25">
      <c r="A25" s="15" t="inlineStr">
        <is>
          <t>PON-06</t>
        </is>
      </c>
      <c r="B25" s="102" t="inlineStr">
        <is>
          <t>S4-06</t>
        </is>
      </c>
      <c r="C25" s="102" t="inlineStr">
        <is>
          <t>A-21</t>
        </is>
      </c>
      <c r="D25" s="102" t="inlineStr">
        <is>
          <t>Đã dùng</t>
        </is>
      </c>
      <c r="E25" s="102" t="inlineStr">
        <is>
          <t>ODF-08/09</t>
        </is>
      </c>
      <c r="F25" s="102" t="inlineStr">
        <is>
          <t>Trái</t>
        </is>
      </c>
      <c r="G25" s="102" t="inlineStr">
        <is>
          <t>H3-C5</t>
        </is>
      </c>
      <c r="H25" s="102" t="inlineStr">
        <is>
          <t>TR-A2/17</t>
        </is>
      </c>
      <c r="I25" s="102" t="inlineStr">
        <is>
          <t>Ống 3 Xanh lá / Xám</t>
        </is>
      </c>
      <c r="J25" s="102" t="inlineStr">
        <is>
          <t>TU-A15</t>
        </is>
      </c>
      <c r="K25" s="102" t="inlineStr">
        <is>
          <t>TU-A15/S1</t>
        </is>
      </c>
      <c r="L25" s="102">
        <f>COUNTIF('Thuê bao'!$F$2:$F$677,K25)</f>
        <v/>
      </c>
      <c r="M25" s="102">
        <f>COUNTIFS('Thuê bao'!$F$2:$F$677,K25,'Thuê bao'!$N$2:$N$677,"Hoạt động")</f>
        <v/>
      </c>
      <c r="N25" s="102" t="inlineStr">
        <is>
          <t>A-42</t>
        </is>
      </c>
      <c r="O25" s="102" t="inlineStr">
        <is>
          <t>H2-C9</t>
        </is>
      </c>
      <c r="P25" s="102" t="inlineStr">
        <is>
          <t>H4-C6</t>
        </is>
      </c>
    </row>
    <row r="26">
      <c r="A26" s="15" t="inlineStr">
        <is>
          <t>PON-06</t>
        </is>
      </c>
      <c r="B26" s="102" t="inlineStr">
        <is>
          <t>S4-06</t>
        </is>
      </c>
      <c r="C26" s="102" t="inlineStr">
        <is>
          <t>A-22</t>
        </is>
      </c>
      <c r="D26" s="102" t="inlineStr">
        <is>
          <t>Đã dùng</t>
        </is>
      </c>
      <c r="E26" s="102" t="inlineStr">
        <is>
          <t>ODF-08/09</t>
        </is>
      </c>
      <c r="F26" s="102" t="inlineStr">
        <is>
          <t>Trái</t>
        </is>
      </c>
      <c r="G26" s="102" t="inlineStr">
        <is>
          <t>H3-C6</t>
        </is>
      </c>
      <c r="H26" s="102" t="inlineStr">
        <is>
          <t>TR-A2/18</t>
        </is>
      </c>
      <c r="I26" s="102" t="inlineStr">
        <is>
          <t>Ống 3 Xanh lá / Trắng</t>
        </is>
      </c>
      <c r="J26" s="102" t="inlineStr">
        <is>
          <t>TU-A15</t>
        </is>
      </c>
      <c r="K26" s="102" t="inlineStr">
        <is>
          <t>TU-A15/S2</t>
        </is>
      </c>
      <c r="L26" s="102">
        <f>COUNTIF('Thuê bao'!$F$2:$F$677,K26)</f>
        <v/>
      </c>
      <c r="M26" s="102">
        <f>COUNTIFS('Thuê bao'!$F$2:$F$677,K26,'Thuê bao'!$N$2:$N$677,"Hoạt động")</f>
        <v/>
      </c>
      <c r="N26" s="102" t="inlineStr">
        <is>
          <t>A-42</t>
        </is>
      </c>
      <c r="O26" s="102" t="inlineStr">
        <is>
          <t>H2-C10</t>
        </is>
      </c>
      <c r="P26" s="102" t="inlineStr">
        <is>
          <t>H4-C6</t>
        </is>
      </c>
    </row>
    <row r="27">
      <c r="A27" s="15" t="inlineStr">
        <is>
          <t>PON-06</t>
        </is>
      </c>
      <c r="B27" s="102" t="inlineStr">
        <is>
          <t>S4-06</t>
        </is>
      </c>
      <c r="C27" s="102" t="inlineStr">
        <is>
          <t>A-23</t>
        </is>
      </c>
      <c r="D27" s="102" t="inlineStr">
        <is>
          <t>Đã dùng</t>
        </is>
      </c>
      <c r="E27" s="102" t="inlineStr">
        <is>
          <t>ODF-08/09</t>
        </is>
      </c>
      <c r="F27" s="102" t="inlineStr">
        <is>
          <t>Trái</t>
        </is>
      </c>
      <c r="G27" s="102" t="inlineStr">
        <is>
          <t>H4-C1</t>
        </is>
      </c>
      <c r="H27" s="102" t="inlineStr">
        <is>
          <t>TR-A2/19</t>
        </is>
      </c>
      <c r="I27" s="102" t="inlineStr">
        <is>
          <t>Ống 4 Nâu / Xanh dương</t>
        </is>
      </c>
      <c r="J27" s="102" t="inlineStr">
        <is>
          <t>TU-A15</t>
        </is>
      </c>
      <c r="K27" s="102" t="inlineStr">
        <is>
          <t>TU-A15/S3</t>
        </is>
      </c>
      <c r="L27" s="102">
        <f>COUNTIF('Thuê bao'!$F$2:$F$677,K27)</f>
        <v/>
      </c>
      <c r="M27" s="102">
        <f>COUNTIFS('Thuê bao'!$F$2:$F$677,K27,'Thuê bao'!$N$2:$N$677,"Hoạt động")</f>
        <v/>
      </c>
      <c r="N27" s="102" t="inlineStr">
        <is>
          <t>A-42</t>
        </is>
      </c>
      <c r="O27" s="102" t="inlineStr">
        <is>
          <t>H2-C11</t>
        </is>
      </c>
      <c r="P27" s="102" t="inlineStr">
        <is>
          <t>H4-C6</t>
        </is>
      </c>
    </row>
    <row r="28">
      <c r="A28" s="15" t="inlineStr">
        <is>
          <t>PON-06</t>
        </is>
      </c>
      <c r="B28" s="102" t="inlineStr">
        <is>
          <t>S4-06</t>
        </is>
      </c>
      <c r="C28" s="102" t="inlineStr">
        <is>
          <t>A-24</t>
        </is>
      </c>
      <c r="D28" s="105" t="inlineStr">
        <is>
          <t>Dự phòng</t>
        </is>
      </c>
      <c r="E28" s="102" t="inlineStr">
        <is>
          <t>—</t>
        </is>
      </c>
      <c r="F28" s="102" t="inlineStr">
        <is>
          <t>—</t>
        </is>
      </c>
      <c r="G28" s="102" t="inlineStr">
        <is>
          <t>—</t>
        </is>
      </c>
      <c r="H28" s="102" t="inlineStr">
        <is>
          <t>—</t>
        </is>
      </c>
      <c r="I28" s="102" t="inlineStr">
        <is>
          <t>—</t>
        </is>
      </c>
      <c r="J28" s="102" t="inlineStr">
        <is>
          <t>—</t>
        </is>
      </c>
      <c r="K28" s="102" t="inlineStr">
        <is>
          <t>—</t>
        </is>
      </c>
      <c r="L28" s="102" t="n">
        <v>0</v>
      </c>
      <c r="M28" s="102" t="n">
        <v>0</v>
      </c>
      <c r="N28" s="102" t="inlineStr">
        <is>
          <t>A-42</t>
        </is>
      </c>
      <c r="O28" s="102" t="inlineStr">
        <is>
          <t>H2-C12</t>
        </is>
      </c>
      <c r="P28" s="102" t="inlineStr">
        <is>
          <t>H4-C6</t>
        </is>
      </c>
    </row>
    <row r="29">
      <c r="A29" s="103" t="inlineStr">
        <is>
          <t>PON-07</t>
        </is>
      </c>
      <c r="B29" s="99" t="inlineStr">
        <is>
          <t>S4-07</t>
        </is>
      </c>
      <c r="C29" s="99" t="inlineStr">
        <is>
          <t>A-25</t>
        </is>
      </c>
      <c r="D29" s="99" t="inlineStr">
        <is>
          <t>Đã dùng</t>
        </is>
      </c>
      <c r="E29" s="99" t="inlineStr">
        <is>
          <t>ODF-17/18</t>
        </is>
      </c>
      <c r="F29" s="99" t="inlineStr">
        <is>
          <t>Trái</t>
        </is>
      </c>
      <c r="G29" s="99" t="inlineStr">
        <is>
          <t>H1-C1</t>
        </is>
      </c>
      <c r="H29" s="99" t="inlineStr">
        <is>
          <t>TR-A3/01</t>
        </is>
      </c>
      <c r="I29" s="99" t="inlineStr">
        <is>
          <t>Ống 1 Xanh dương / Xanh dương</t>
        </is>
      </c>
      <c r="J29" s="99" t="inlineStr">
        <is>
          <t>TU-A18</t>
        </is>
      </c>
      <c r="K29" s="99" t="inlineStr">
        <is>
          <t>TU-A18/S1</t>
        </is>
      </c>
      <c r="L29" s="99">
        <f>COUNTIF('Thuê bao'!$F$2:$F$677,K29)</f>
        <v/>
      </c>
      <c r="M29" s="99">
        <f>COUNTIFS('Thuê bao'!$F$2:$F$677,K29,'Thuê bao'!$N$2:$N$677,"Hoạt động")</f>
        <v/>
      </c>
      <c r="N29" s="99" t="inlineStr">
        <is>
          <t>A-43</t>
        </is>
      </c>
      <c r="O29" s="99" t="inlineStr">
        <is>
          <t>H3-C1</t>
        </is>
      </c>
      <c r="P29" s="99" t="inlineStr">
        <is>
          <t>H4-C7</t>
        </is>
      </c>
    </row>
    <row r="30">
      <c r="A30" s="103" t="inlineStr">
        <is>
          <t>PON-07</t>
        </is>
      </c>
      <c r="B30" s="99" t="inlineStr">
        <is>
          <t>S4-07</t>
        </is>
      </c>
      <c r="C30" s="99" t="inlineStr">
        <is>
          <t>A-26</t>
        </is>
      </c>
      <c r="D30" s="99" t="inlineStr">
        <is>
          <t>Đã dùng</t>
        </is>
      </c>
      <c r="E30" s="99" t="inlineStr">
        <is>
          <t>ODF-17/18</t>
        </is>
      </c>
      <c r="F30" s="99" t="inlineStr">
        <is>
          <t>Trái</t>
        </is>
      </c>
      <c r="G30" s="99" t="inlineStr">
        <is>
          <t>H1-C2</t>
        </is>
      </c>
      <c r="H30" s="99" t="inlineStr">
        <is>
          <t>TR-A3/02</t>
        </is>
      </c>
      <c r="I30" s="99" t="inlineStr">
        <is>
          <t>Ống 1 Xanh dương / Cam</t>
        </is>
      </c>
      <c r="J30" s="99" t="inlineStr">
        <is>
          <t>TU-A18</t>
        </is>
      </c>
      <c r="K30" s="99" t="inlineStr">
        <is>
          <t>TU-A18/S2</t>
        </is>
      </c>
      <c r="L30" s="99">
        <f>COUNTIF('Thuê bao'!$F$2:$F$677,K30)</f>
        <v/>
      </c>
      <c r="M30" s="99">
        <f>COUNTIFS('Thuê bao'!$F$2:$F$677,K30,'Thuê bao'!$N$2:$N$677,"Hoạt động")</f>
        <v/>
      </c>
      <c r="N30" s="99" t="inlineStr">
        <is>
          <t>A-43</t>
        </is>
      </c>
      <c r="O30" s="99" t="inlineStr">
        <is>
          <t>H3-C2</t>
        </is>
      </c>
      <c r="P30" s="99" t="inlineStr">
        <is>
          <t>H4-C7</t>
        </is>
      </c>
    </row>
    <row r="31">
      <c r="A31" s="103" t="inlineStr">
        <is>
          <t>PON-07</t>
        </is>
      </c>
      <c r="B31" s="99" t="inlineStr">
        <is>
          <t>S4-07</t>
        </is>
      </c>
      <c r="C31" s="99" t="inlineStr">
        <is>
          <t>A-27</t>
        </is>
      </c>
      <c r="D31" s="99" t="inlineStr">
        <is>
          <t>Đã dùng</t>
        </is>
      </c>
      <c r="E31" s="99" t="inlineStr">
        <is>
          <t>ODF-17/18</t>
        </is>
      </c>
      <c r="F31" s="99" t="inlineStr">
        <is>
          <t>Trái</t>
        </is>
      </c>
      <c r="G31" s="99" t="inlineStr">
        <is>
          <t>H1-C3</t>
        </is>
      </c>
      <c r="H31" s="99" t="inlineStr">
        <is>
          <t>TR-A3/03</t>
        </is>
      </c>
      <c r="I31" s="99" t="inlineStr">
        <is>
          <t>Ống 1 Xanh dương / Xanh lá</t>
        </is>
      </c>
      <c r="J31" s="99" t="inlineStr">
        <is>
          <t>TU-A18</t>
        </is>
      </c>
      <c r="K31" s="99" t="inlineStr">
        <is>
          <t>TU-A18/S3</t>
        </is>
      </c>
      <c r="L31" s="99">
        <f>COUNTIF('Thuê bao'!$F$2:$F$677,K31)</f>
        <v/>
      </c>
      <c r="M31" s="99">
        <f>COUNTIFS('Thuê bao'!$F$2:$F$677,K31,'Thuê bao'!$N$2:$N$677,"Hoạt động")</f>
        <v/>
      </c>
      <c r="N31" s="99" t="inlineStr">
        <is>
          <t>A-43</t>
        </is>
      </c>
      <c r="O31" s="99" t="inlineStr">
        <is>
          <t>H3-C3</t>
        </is>
      </c>
      <c r="P31" s="99" t="inlineStr">
        <is>
          <t>H4-C7</t>
        </is>
      </c>
    </row>
    <row r="32">
      <c r="A32" s="103" t="inlineStr">
        <is>
          <t>PON-07</t>
        </is>
      </c>
      <c r="B32" s="99" t="inlineStr">
        <is>
          <t>S4-07</t>
        </is>
      </c>
      <c r="C32" s="99" t="inlineStr">
        <is>
          <t>A-28</t>
        </is>
      </c>
      <c r="D32" s="104" t="inlineStr">
        <is>
          <t>Dự phòng</t>
        </is>
      </c>
      <c r="E32" s="99" t="inlineStr">
        <is>
          <t>—</t>
        </is>
      </c>
      <c r="F32" s="99" t="inlineStr">
        <is>
          <t>—</t>
        </is>
      </c>
      <c r="G32" s="99" t="inlineStr">
        <is>
          <t>—</t>
        </is>
      </c>
      <c r="H32" s="99" t="inlineStr">
        <is>
          <t>—</t>
        </is>
      </c>
      <c r="I32" s="99" t="inlineStr">
        <is>
          <t>—</t>
        </is>
      </c>
      <c r="J32" s="99" t="inlineStr">
        <is>
          <t>—</t>
        </is>
      </c>
      <c r="K32" s="99" t="inlineStr">
        <is>
          <t>—</t>
        </is>
      </c>
      <c r="L32" s="99" t="n">
        <v>0</v>
      </c>
      <c r="M32" s="99" t="n">
        <v>0</v>
      </c>
      <c r="N32" s="99" t="inlineStr">
        <is>
          <t>A-43</t>
        </is>
      </c>
      <c r="O32" s="99" t="inlineStr">
        <is>
          <t>H3-C4</t>
        </is>
      </c>
      <c r="P32" s="99" t="inlineStr">
        <is>
          <t>H4-C7</t>
        </is>
      </c>
    </row>
    <row r="33">
      <c r="A33" s="15" t="inlineStr">
        <is>
          <t>PON-08</t>
        </is>
      </c>
      <c r="B33" s="102" t="inlineStr">
        <is>
          <t>S4-08</t>
        </is>
      </c>
      <c r="C33" s="102" t="inlineStr">
        <is>
          <t>A-29</t>
        </is>
      </c>
      <c r="D33" s="102" t="inlineStr">
        <is>
          <t>Đã dùng</t>
        </is>
      </c>
      <c r="E33" s="102" t="inlineStr">
        <is>
          <t>ODF-17/18</t>
        </is>
      </c>
      <c r="F33" s="102" t="inlineStr">
        <is>
          <t>Trái</t>
        </is>
      </c>
      <c r="G33" s="102" t="inlineStr">
        <is>
          <t>H2-C3</t>
        </is>
      </c>
      <c r="H33" s="102" t="inlineStr">
        <is>
          <t>TR-A3/09</t>
        </is>
      </c>
      <c r="I33" s="102" t="inlineStr">
        <is>
          <t>Ống 2 Cam / Xanh lá</t>
        </is>
      </c>
      <c r="J33" s="102" t="inlineStr">
        <is>
          <t>TU-A21</t>
        </is>
      </c>
      <c r="K33" s="102" t="inlineStr">
        <is>
          <t>TU-A21/S1</t>
        </is>
      </c>
      <c r="L33" s="102">
        <f>COUNTIF('Thuê bao'!$F$2:$F$677,K33)</f>
        <v/>
      </c>
      <c r="M33" s="102">
        <f>COUNTIFS('Thuê bao'!$F$2:$F$677,K33,'Thuê bao'!$N$2:$N$677,"Hoạt động")</f>
        <v/>
      </c>
      <c r="N33" s="102" t="inlineStr">
        <is>
          <t>A-44</t>
        </is>
      </c>
      <c r="O33" s="102" t="inlineStr">
        <is>
          <t>H3-C5</t>
        </is>
      </c>
      <c r="P33" s="102" t="inlineStr">
        <is>
          <t>H4-C8</t>
        </is>
      </c>
    </row>
    <row r="34">
      <c r="A34" s="15" t="inlineStr">
        <is>
          <t>PON-08</t>
        </is>
      </c>
      <c r="B34" s="102" t="inlineStr">
        <is>
          <t>S4-08</t>
        </is>
      </c>
      <c r="C34" s="102" t="inlineStr">
        <is>
          <t>A-30</t>
        </is>
      </c>
      <c r="D34" s="102" t="inlineStr">
        <is>
          <t>Đã dùng</t>
        </is>
      </c>
      <c r="E34" s="102" t="inlineStr">
        <is>
          <t>ODF-17/18</t>
        </is>
      </c>
      <c r="F34" s="102" t="inlineStr">
        <is>
          <t>Trái</t>
        </is>
      </c>
      <c r="G34" s="102" t="inlineStr">
        <is>
          <t>H2-C4</t>
        </is>
      </c>
      <c r="H34" s="102" t="inlineStr">
        <is>
          <t>TR-A3/10</t>
        </is>
      </c>
      <c r="I34" s="102" t="inlineStr">
        <is>
          <t>Ống 2 Cam / Nâu</t>
        </is>
      </c>
      <c r="J34" s="102" t="inlineStr">
        <is>
          <t>TU-A21</t>
        </is>
      </c>
      <c r="K34" s="102" t="inlineStr">
        <is>
          <t>TU-A21/S2</t>
        </is>
      </c>
      <c r="L34" s="102">
        <f>COUNTIF('Thuê bao'!$F$2:$F$677,K34)</f>
        <v/>
      </c>
      <c r="M34" s="102">
        <f>COUNTIFS('Thuê bao'!$F$2:$F$677,K34,'Thuê bao'!$N$2:$N$677,"Hoạt động")</f>
        <v/>
      </c>
      <c r="N34" s="102" t="inlineStr">
        <is>
          <t>A-44</t>
        </is>
      </c>
      <c r="O34" s="102" t="inlineStr">
        <is>
          <t>H3-C6</t>
        </is>
      </c>
      <c r="P34" s="102" t="inlineStr">
        <is>
          <t>H4-C8</t>
        </is>
      </c>
    </row>
    <row r="35">
      <c r="A35" s="15" t="inlineStr">
        <is>
          <t>PON-08</t>
        </is>
      </c>
      <c r="B35" s="102" t="inlineStr">
        <is>
          <t>S4-08</t>
        </is>
      </c>
      <c r="C35" s="102" t="inlineStr">
        <is>
          <t>A-31</t>
        </is>
      </c>
      <c r="D35" s="102" t="inlineStr">
        <is>
          <t>Đã dùng</t>
        </is>
      </c>
      <c r="E35" s="102" t="inlineStr">
        <is>
          <t>ODF-17/18</t>
        </is>
      </c>
      <c r="F35" s="102" t="inlineStr">
        <is>
          <t>Trái</t>
        </is>
      </c>
      <c r="G35" s="102" t="inlineStr">
        <is>
          <t>H2-C5</t>
        </is>
      </c>
      <c r="H35" s="102" t="inlineStr">
        <is>
          <t>TR-A3/11</t>
        </is>
      </c>
      <c r="I35" s="102" t="inlineStr">
        <is>
          <t>Ống 2 Cam / Xám</t>
        </is>
      </c>
      <c r="J35" s="102" t="inlineStr">
        <is>
          <t>TU-A21</t>
        </is>
      </c>
      <c r="K35" s="102" t="inlineStr">
        <is>
          <t>TU-A21/S3</t>
        </is>
      </c>
      <c r="L35" s="102">
        <f>COUNTIF('Thuê bao'!$F$2:$F$677,K35)</f>
        <v/>
      </c>
      <c r="M35" s="102">
        <f>COUNTIFS('Thuê bao'!$F$2:$F$677,K35,'Thuê bao'!$N$2:$N$677,"Hoạt động")</f>
        <v/>
      </c>
      <c r="N35" s="102" t="inlineStr">
        <is>
          <t>A-44</t>
        </is>
      </c>
      <c r="O35" s="102" t="inlineStr">
        <is>
          <t>H3-C7</t>
        </is>
      </c>
      <c r="P35" s="102" t="inlineStr">
        <is>
          <t>H4-C8</t>
        </is>
      </c>
    </row>
    <row r="36">
      <c r="A36" s="15" t="inlineStr">
        <is>
          <t>PON-08</t>
        </is>
      </c>
      <c r="B36" s="102" t="inlineStr">
        <is>
          <t>S4-08</t>
        </is>
      </c>
      <c r="C36" s="102" t="inlineStr">
        <is>
          <t>A-32</t>
        </is>
      </c>
      <c r="D36" s="102" t="inlineStr">
        <is>
          <t>Đã dùng</t>
        </is>
      </c>
      <c r="E36" s="102" t="inlineStr">
        <is>
          <t>ODF-17/18</t>
        </is>
      </c>
      <c r="F36" s="102" t="inlineStr">
        <is>
          <t>Trái</t>
        </is>
      </c>
      <c r="G36" s="102" t="inlineStr">
        <is>
          <t>H3-C5</t>
        </is>
      </c>
      <c r="H36" s="102" t="inlineStr">
        <is>
          <t>TR-A3/17</t>
        </is>
      </c>
      <c r="I36" s="102" t="inlineStr">
        <is>
          <t>Ống 3 Xanh lá / Xám</t>
        </is>
      </c>
      <c r="J36" s="102" t="inlineStr">
        <is>
          <t>TU-A23</t>
        </is>
      </c>
      <c r="K36" s="102" t="inlineStr">
        <is>
          <t>TU-A23/S1</t>
        </is>
      </c>
      <c r="L36" s="102">
        <f>COUNTIF('Thuê bao'!$F$2:$F$677,K36)</f>
        <v/>
      </c>
      <c r="M36" s="102">
        <f>COUNTIFS('Thuê bao'!$F$2:$F$677,K36,'Thuê bao'!$N$2:$N$677,"Hoạt động")</f>
        <v/>
      </c>
      <c r="N36" s="102" t="inlineStr">
        <is>
          <t>A-44</t>
        </is>
      </c>
      <c r="O36" s="102" t="inlineStr">
        <is>
          <t>H3-C8</t>
        </is>
      </c>
      <c r="P36" s="102" t="inlineStr">
        <is>
          <t>H4-C8</t>
        </is>
      </c>
    </row>
    <row r="37">
      <c r="A37" s="103" t="inlineStr">
        <is>
          <t>PON-09</t>
        </is>
      </c>
      <c r="B37" s="99" t="inlineStr">
        <is>
          <t>S4-09</t>
        </is>
      </c>
      <c r="C37" s="99" t="inlineStr">
        <is>
          <t>B-1</t>
        </is>
      </c>
      <c r="D37" s="99" t="inlineStr">
        <is>
          <t>Đã dùng</t>
        </is>
      </c>
      <c r="E37" s="99" t="inlineStr">
        <is>
          <t>ODF-02</t>
        </is>
      </c>
      <c r="F37" s="99" t="inlineStr">
        <is>
          <t>Phải</t>
        </is>
      </c>
      <c r="G37" s="99" t="inlineStr">
        <is>
          <t>H1-C1</t>
        </is>
      </c>
      <c r="H37" s="99" t="inlineStr">
        <is>
          <t>TR-B1/01</t>
        </is>
      </c>
      <c r="I37" s="99" t="inlineStr">
        <is>
          <t>Ống 1 Xanh dương / Xanh dương</t>
        </is>
      </c>
      <c r="J37" s="99" t="inlineStr">
        <is>
          <t>TU-B2</t>
        </is>
      </c>
      <c r="K37" s="99" t="inlineStr">
        <is>
          <t>TU-B2/S1</t>
        </is>
      </c>
      <c r="L37" s="99">
        <f>COUNTIF('Thuê bao'!$F$2:$F$677,K37)</f>
        <v/>
      </c>
      <c r="M37" s="99">
        <f>COUNTIFS('Thuê bao'!$F$2:$F$677,K37,'Thuê bao'!$N$2:$N$677,"Hoạt động")</f>
        <v/>
      </c>
      <c r="N37" s="99" t="inlineStr">
        <is>
          <t>B-37</t>
        </is>
      </c>
      <c r="O37" s="99" t="inlineStr">
        <is>
          <t>H1-C1</t>
        </is>
      </c>
      <c r="P37" s="99" t="inlineStr">
        <is>
          <t>H4-C1</t>
        </is>
      </c>
    </row>
    <row r="38">
      <c r="A38" s="103" t="inlineStr">
        <is>
          <t>PON-09</t>
        </is>
      </c>
      <c r="B38" s="99" t="inlineStr">
        <is>
          <t>S4-09</t>
        </is>
      </c>
      <c r="C38" s="99" t="inlineStr">
        <is>
          <t>B-2</t>
        </is>
      </c>
      <c r="D38" s="99" t="inlineStr">
        <is>
          <t>Đã dùng</t>
        </is>
      </c>
      <c r="E38" s="99" t="inlineStr">
        <is>
          <t>ODF-02</t>
        </is>
      </c>
      <c r="F38" s="99" t="inlineStr">
        <is>
          <t>Phải</t>
        </is>
      </c>
      <c r="G38" s="99" t="inlineStr">
        <is>
          <t>H1-C2</t>
        </is>
      </c>
      <c r="H38" s="99" t="inlineStr">
        <is>
          <t>TR-B1/02</t>
        </is>
      </c>
      <c r="I38" s="99" t="inlineStr">
        <is>
          <t>Ống 1 Xanh dương / Cam</t>
        </is>
      </c>
      <c r="J38" s="99" t="inlineStr">
        <is>
          <t>TU-B2</t>
        </is>
      </c>
      <c r="K38" s="99" t="inlineStr">
        <is>
          <t>TU-B2/S2</t>
        </is>
      </c>
      <c r="L38" s="99">
        <f>COUNTIF('Thuê bao'!$F$2:$F$677,K38)</f>
        <v/>
      </c>
      <c r="M38" s="99">
        <f>COUNTIFS('Thuê bao'!$F$2:$F$677,K38,'Thuê bao'!$N$2:$N$677,"Hoạt động")</f>
        <v/>
      </c>
      <c r="N38" s="99" t="inlineStr">
        <is>
          <t>B-37</t>
        </is>
      </c>
      <c r="O38" s="99" t="inlineStr">
        <is>
          <t>H1-C2</t>
        </is>
      </c>
      <c r="P38" s="99" t="inlineStr">
        <is>
          <t>H4-C1</t>
        </is>
      </c>
    </row>
    <row r="39">
      <c r="A39" s="103" t="inlineStr">
        <is>
          <t>PON-09</t>
        </is>
      </c>
      <c r="B39" s="99" t="inlineStr">
        <is>
          <t>S4-09</t>
        </is>
      </c>
      <c r="C39" s="99" t="inlineStr">
        <is>
          <t>B-3</t>
        </is>
      </c>
      <c r="D39" s="99" t="inlineStr">
        <is>
          <t>Đã dùng</t>
        </is>
      </c>
      <c r="E39" s="99" t="inlineStr">
        <is>
          <t>ODF-02</t>
        </is>
      </c>
      <c r="F39" s="99" t="inlineStr">
        <is>
          <t>Phải</t>
        </is>
      </c>
      <c r="G39" s="99" t="inlineStr">
        <is>
          <t>H1-C3</t>
        </is>
      </c>
      <c r="H39" s="99" t="inlineStr">
        <is>
          <t>TR-B1/03</t>
        </is>
      </c>
      <c r="I39" s="99" t="inlineStr">
        <is>
          <t>Ống 1 Xanh dương / Xanh lá</t>
        </is>
      </c>
      <c r="J39" s="99" t="inlineStr">
        <is>
          <t>TU-B2</t>
        </is>
      </c>
      <c r="K39" s="99" t="inlineStr">
        <is>
          <t>TU-B2/S3</t>
        </is>
      </c>
      <c r="L39" s="99">
        <f>COUNTIF('Thuê bao'!$F$2:$F$677,K39)</f>
        <v/>
      </c>
      <c r="M39" s="99">
        <f>COUNTIFS('Thuê bao'!$F$2:$F$677,K39,'Thuê bao'!$N$2:$N$677,"Hoạt động")</f>
        <v/>
      </c>
      <c r="N39" s="99" t="inlineStr">
        <is>
          <t>B-37</t>
        </is>
      </c>
      <c r="O39" s="99" t="inlineStr">
        <is>
          <t>H1-C3</t>
        </is>
      </c>
      <c r="P39" s="99" t="inlineStr">
        <is>
          <t>H4-C1</t>
        </is>
      </c>
    </row>
    <row r="40">
      <c r="A40" s="103" t="inlineStr">
        <is>
          <t>PON-09</t>
        </is>
      </c>
      <c r="B40" s="99" t="inlineStr">
        <is>
          <t>S4-09</t>
        </is>
      </c>
      <c r="C40" s="99" t="inlineStr">
        <is>
          <t>B-4</t>
        </is>
      </c>
      <c r="D40" s="104" t="inlineStr">
        <is>
          <t>Dự phòng</t>
        </is>
      </c>
      <c r="E40" s="99" t="inlineStr">
        <is>
          <t>—</t>
        </is>
      </c>
      <c r="F40" s="99" t="inlineStr">
        <is>
          <t>—</t>
        </is>
      </c>
      <c r="G40" s="99" t="inlineStr">
        <is>
          <t>—</t>
        </is>
      </c>
      <c r="H40" s="99" t="inlineStr">
        <is>
          <t>—</t>
        </is>
      </c>
      <c r="I40" s="99" t="inlineStr">
        <is>
          <t>—</t>
        </is>
      </c>
      <c r="J40" s="99" t="inlineStr">
        <is>
          <t>—</t>
        </is>
      </c>
      <c r="K40" s="99" t="inlineStr">
        <is>
          <t>—</t>
        </is>
      </c>
      <c r="L40" s="99" t="n">
        <v>0</v>
      </c>
      <c r="M40" s="99" t="n">
        <v>0</v>
      </c>
      <c r="N40" s="99" t="inlineStr">
        <is>
          <t>B-37</t>
        </is>
      </c>
      <c r="O40" s="99" t="inlineStr">
        <is>
          <t>H1-C4</t>
        </is>
      </c>
      <c r="P40" s="99" t="inlineStr">
        <is>
          <t>H4-C1</t>
        </is>
      </c>
    </row>
    <row r="41">
      <c r="A41" s="15" t="inlineStr">
        <is>
          <t>PON-10</t>
        </is>
      </c>
      <c r="B41" s="102" t="inlineStr">
        <is>
          <t>S4-10</t>
        </is>
      </c>
      <c r="C41" s="102" t="inlineStr">
        <is>
          <t>B-5</t>
        </is>
      </c>
      <c r="D41" s="102" t="inlineStr">
        <is>
          <t>Đã dùng</t>
        </is>
      </c>
      <c r="E41" s="102" t="inlineStr">
        <is>
          <t>ODF-02</t>
        </is>
      </c>
      <c r="F41" s="102" t="inlineStr">
        <is>
          <t>Phải</t>
        </is>
      </c>
      <c r="G41" s="102" t="inlineStr">
        <is>
          <t>H1-C4</t>
        </is>
      </c>
      <c r="H41" s="102" t="inlineStr">
        <is>
          <t>TR-B1/04</t>
        </is>
      </c>
      <c r="I41" s="102" t="inlineStr">
        <is>
          <t>Ống 1 Xanh dương / Nâu</t>
        </is>
      </c>
      <c r="J41" s="102" t="inlineStr">
        <is>
          <t>TU-B2</t>
        </is>
      </c>
      <c r="K41" s="102" t="inlineStr">
        <is>
          <t>TU-B2/S4</t>
        </is>
      </c>
      <c r="L41" s="102">
        <f>COUNTIF('Thuê bao'!$F$2:$F$677,K41)</f>
        <v/>
      </c>
      <c r="M41" s="102">
        <f>COUNTIFS('Thuê bao'!$F$2:$F$677,K41,'Thuê bao'!$N$2:$N$677,"Hoạt động")</f>
        <v/>
      </c>
      <c r="N41" s="102" t="inlineStr">
        <is>
          <t>B-38</t>
        </is>
      </c>
      <c r="O41" s="102" t="inlineStr">
        <is>
          <t>H1-C5</t>
        </is>
      </c>
      <c r="P41" s="102" t="inlineStr">
        <is>
          <t>H4-C2</t>
        </is>
      </c>
    </row>
    <row r="42">
      <c r="A42" s="15" t="inlineStr">
        <is>
          <t>PON-10</t>
        </is>
      </c>
      <c r="B42" s="102" t="inlineStr">
        <is>
          <t>S4-10</t>
        </is>
      </c>
      <c r="C42" s="102" t="inlineStr">
        <is>
          <t>B-6</t>
        </is>
      </c>
      <c r="D42" s="102" t="inlineStr">
        <is>
          <t>Đã dùng</t>
        </is>
      </c>
      <c r="E42" s="102" t="inlineStr">
        <is>
          <t>ODF-02</t>
        </is>
      </c>
      <c r="F42" s="102" t="inlineStr">
        <is>
          <t>Phải</t>
        </is>
      </c>
      <c r="G42" s="102" t="inlineStr">
        <is>
          <t>H1-C5</t>
        </is>
      </c>
      <c r="H42" s="102" t="inlineStr">
        <is>
          <t>TR-B1/05</t>
        </is>
      </c>
      <c r="I42" s="102" t="inlineStr">
        <is>
          <t>Ống 1 Xanh dương / Xám</t>
        </is>
      </c>
      <c r="J42" s="102" t="inlineStr">
        <is>
          <t>TU-B2</t>
        </is>
      </c>
      <c r="K42" s="102" t="inlineStr">
        <is>
          <t>TU-B2/S5</t>
        </is>
      </c>
      <c r="L42" s="102">
        <f>COUNTIF('Thuê bao'!$F$2:$F$677,K42)</f>
        <v/>
      </c>
      <c r="M42" s="102">
        <f>COUNTIFS('Thuê bao'!$F$2:$F$677,K42,'Thuê bao'!$N$2:$N$677,"Hoạt động")</f>
        <v/>
      </c>
      <c r="N42" s="102" t="inlineStr">
        <is>
          <t>B-38</t>
        </is>
      </c>
      <c r="O42" s="102" t="inlineStr">
        <is>
          <t>H1-C6</t>
        </is>
      </c>
      <c r="P42" s="102" t="inlineStr">
        <is>
          <t>H4-C2</t>
        </is>
      </c>
    </row>
    <row r="43">
      <c r="A43" s="15" t="inlineStr">
        <is>
          <t>PON-10</t>
        </is>
      </c>
      <c r="B43" s="102" t="inlineStr">
        <is>
          <t>S4-10</t>
        </is>
      </c>
      <c r="C43" s="102" t="inlineStr">
        <is>
          <t>B-7</t>
        </is>
      </c>
      <c r="D43" s="102" t="inlineStr">
        <is>
          <t>Đã dùng</t>
        </is>
      </c>
      <c r="E43" s="102" t="inlineStr">
        <is>
          <t>ODF-02</t>
        </is>
      </c>
      <c r="F43" s="102" t="inlineStr">
        <is>
          <t>Phải</t>
        </is>
      </c>
      <c r="G43" s="102" t="inlineStr">
        <is>
          <t>H2-C3</t>
        </is>
      </c>
      <c r="H43" s="102" t="inlineStr">
        <is>
          <t>TR-B1/09</t>
        </is>
      </c>
      <c r="I43" s="102" t="inlineStr">
        <is>
          <t>Ống 2 Cam / Xanh lá</t>
        </is>
      </c>
      <c r="J43" s="102" t="inlineStr">
        <is>
          <t>TU-B5</t>
        </is>
      </c>
      <c r="K43" s="102" t="inlineStr">
        <is>
          <t>TU-B5/S1</t>
        </is>
      </c>
      <c r="L43" s="102">
        <f>COUNTIF('Thuê bao'!$F$2:$F$677,K43)</f>
        <v/>
      </c>
      <c r="M43" s="102">
        <f>COUNTIFS('Thuê bao'!$F$2:$F$677,K43,'Thuê bao'!$N$2:$N$677,"Hoạt động")</f>
        <v/>
      </c>
      <c r="N43" s="102" t="inlineStr">
        <is>
          <t>B-38</t>
        </is>
      </c>
      <c r="O43" s="102" t="inlineStr">
        <is>
          <t>H1-C7</t>
        </is>
      </c>
      <c r="P43" s="102" t="inlineStr">
        <is>
          <t>H4-C2</t>
        </is>
      </c>
    </row>
    <row r="44">
      <c r="A44" s="15" t="inlineStr">
        <is>
          <t>PON-10</t>
        </is>
      </c>
      <c r="B44" s="102" t="inlineStr">
        <is>
          <t>S4-10</t>
        </is>
      </c>
      <c r="C44" s="102" t="inlineStr">
        <is>
          <t>B-8</t>
        </is>
      </c>
      <c r="D44" s="105" t="inlineStr">
        <is>
          <t>Dự phòng</t>
        </is>
      </c>
      <c r="E44" s="102" t="inlineStr">
        <is>
          <t>—</t>
        </is>
      </c>
      <c r="F44" s="102" t="inlineStr">
        <is>
          <t>—</t>
        </is>
      </c>
      <c r="G44" s="102" t="inlineStr">
        <is>
          <t>—</t>
        </is>
      </c>
      <c r="H44" s="102" t="inlineStr">
        <is>
          <t>—</t>
        </is>
      </c>
      <c r="I44" s="102" t="inlineStr">
        <is>
          <t>—</t>
        </is>
      </c>
      <c r="J44" s="102" t="inlineStr">
        <is>
          <t>—</t>
        </is>
      </c>
      <c r="K44" s="102" t="inlineStr">
        <is>
          <t>—</t>
        </is>
      </c>
      <c r="L44" s="102" t="n">
        <v>0</v>
      </c>
      <c r="M44" s="102" t="n">
        <v>0</v>
      </c>
      <c r="N44" s="102" t="inlineStr">
        <is>
          <t>B-38</t>
        </is>
      </c>
      <c r="O44" s="102" t="inlineStr">
        <is>
          <t>H1-C8</t>
        </is>
      </c>
      <c r="P44" s="102" t="inlineStr">
        <is>
          <t>H4-C2</t>
        </is>
      </c>
    </row>
    <row r="45">
      <c r="A45" s="103" t="inlineStr">
        <is>
          <t>PON-11</t>
        </is>
      </c>
      <c r="B45" s="99" t="inlineStr">
        <is>
          <t>S4-11</t>
        </is>
      </c>
      <c r="C45" s="99" t="inlineStr">
        <is>
          <t>B-9</t>
        </is>
      </c>
      <c r="D45" s="99" t="inlineStr">
        <is>
          <t>Đã dùng</t>
        </is>
      </c>
      <c r="E45" s="99" t="inlineStr">
        <is>
          <t>ODF-02</t>
        </is>
      </c>
      <c r="F45" s="99" t="inlineStr">
        <is>
          <t>Phải</t>
        </is>
      </c>
      <c r="G45" s="99" t="inlineStr">
        <is>
          <t>H2-C4</t>
        </is>
      </c>
      <c r="H45" s="99" t="inlineStr">
        <is>
          <t>TR-B1/10</t>
        </is>
      </c>
      <c r="I45" s="99" t="inlineStr">
        <is>
          <t>Ống 2 Cam / Nâu</t>
        </is>
      </c>
      <c r="J45" s="99" t="inlineStr">
        <is>
          <t>TU-B5</t>
        </is>
      </c>
      <c r="K45" s="99" t="inlineStr">
        <is>
          <t>TU-B5/S2</t>
        </is>
      </c>
      <c r="L45" s="99">
        <f>COUNTIF('Thuê bao'!$F$2:$F$677,K45)</f>
        <v/>
      </c>
      <c r="M45" s="99">
        <f>COUNTIFS('Thuê bao'!$F$2:$F$677,K45,'Thuê bao'!$N$2:$N$677,"Hoạt động")</f>
        <v/>
      </c>
      <c r="N45" s="99" t="inlineStr">
        <is>
          <t>B-39</t>
        </is>
      </c>
      <c r="O45" s="99" t="inlineStr">
        <is>
          <t>H1-C9</t>
        </is>
      </c>
      <c r="P45" s="99" t="inlineStr">
        <is>
          <t>H4-C3</t>
        </is>
      </c>
    </row>
    <row r="46">
      <c r="A46" s="103" t="inlineStr">
        <is>
          <t>PON-11</t>
        </is>
      </c>
      <c r="B46" s="99" t="inlineStr">
        <is>
          <t>S4-11</t>
        </is>
      </c>
      <c r="C46" s="99" t="inlineStr">
        <is>
          <t>B-10</t>
        </is>
      </c>
      <c r="D46" s="99" t="inlineStr">
        <is>
          <t>Đã dùng</t>
        </is>
      </c>
      <c r="E46" s="99" t="inlineStr">
        <is>
          <t>ODF-02</t>
        </is>
      </c>
      <c r="F46" s="99" t="inlineStr">
        <is>
          <t>Phải</t>
        </is>
      </c>
      <c r="G46" s="99" t="inlineStr">
        <is>
          <t>H2-C5</t>
        </is>
      </c>
      <c r="H46" s="99" t="inlineStr">
        <is>
          <t>TR-B1/11</t>
        </is>
      </c>
      <c r="I46" s="99" t="inlineStr">
        <is>
          <t>Ống 2 Cam / Xám</t>
        </is>
      </c>
      <c r="J46" s="99" t="inlineStr">
        <is>
          <t>TU-B5</t>
        </is>
      </c>
      <c r="K46" s="99" t="inlineStr">
        <is>
          <t>TU-B5/S3</t>
        </is>
      </c>
      <c r="L46" s="99">
        <f>COUNTIF('Thuê bao'!$F$2:$F$677,K46)</f>
        <v/>
      </c>
      <c r="M46" s="99">
        <f>COUNTIFS('Thuê bao'!$F$2:$F$677,K46,'Thuê bao'!$N$2:$N$677,"Hoạt động")</f>
        <v/>
      </c>
      <c r="N46" s="99" t="inlineStr">
        <is>
          <t>B-39</t>
        </is>
      </c>
      <c r="O46" s="99" t="inlineStr">
        <is>
          <t>H1-C10</t>
        </is>
      </c>
      <c r="P46" s="99" t="inlineStr">
        <is>
          <t>H4-C3</t>
        </is>
      </c>
    </row>
    <row r="47">
      <c r="A47" s="103" t="inlineStr">
        <is>
          <t>PON-11</t>
        </is>
      </c>
      <c r="B47" s="99" t="inlineStr">
        <is>
          <t>S4-11</t>
        </is>
      </c>
      <c r="C47" s="99" t="inlineStr">
        <is>
          <t>B-11</t>
        </is>
      </c>
      <c r="D47" s="99" t="inlineStr">
        <is>
          <t>Đã dùng</t>
        </is>
      </c>
      <c r="E47" s="99" t="inlineStr">
        <is>
          <t>ODF-08/09</t>
        </is>
      </c>
      <c r="F47" s="99" t="inlineStr">
        <is>
          <t>Phải</t>
        </is>
      </c>
      <c r="G47" s="99" t="inlineStr">
        <is>
          <t>H1-C1</t>
        </is>
      </c>
      <c r="H47" s="99" t="inlineStr">
        <is>
          <t>TR-B2/01</t>
        </is>
      </c>
      <c r="I47" s="99" t="inlineStr">
        <is>
          <t>Ống 1 Xanh dương / Xanh dương</t>
        </is>
      </c>
      <c r="J47" s="99" t="inlineStr">
        <is>
          <t>TU-B8</t>
        </is>
      </c>
      <c r="K47" s="99" t="inlineStr">
        <is>
          <t>TU-B8/S1</t>
        </is>
      </c>
      <c r="L47" s="99">
        <f>COUNTIF('Thuê bao'!$F$2:$F$677,K47)</f>
        <v/>
      </c>
      <c r="M47" s="99">
        <f>COUNTIFS('Thuê bao'!$F$2:$F$677,K47,'Thuê bao'!$N$2:$N$677,"Hoạt động")</f>
        <v/>
      </c>
      <c r="N47" s="99" t="inlineStr">
        <is>
          <t>B-39</t>
        </is>
      </c>
      <c r="O47" s="99" t="inlineStr">
        <is>
          <t>H1-C11</t>
        </is>
      </c>
      <c r="P47" s="99" t="inlineStr">
        <is>
          <t>H4-C3</t>
        </is>
      </c>
    </row>
    <row r="48">
      <c r="A48" s="103" t="inlineStr">
        <is>
          <t>PON-11</t>
        </is>
      </c>
      <c r="B48" s="99" t="inlineStr">
        <is>
          <t>S4-11</t>
        </is>
      </c>
      <c r="C48" s="99" t="inlineStr">
        <is>
          <t>B-12</t>
        </is>
      </c>
      <c r="D48" s="104" t="inlineStr">
        <is>
          <t>Dự phòng</t>
        </is>
      </c>
      <c r="E48" s="99" t="inlineStr">
        <is>
          <t>—</t>
        </is>
      </c>
      <c r="F48" s="99" t="inlineStr">
        <is>
          <t>—</t>
        </is>
      </c>
      <c r="G48" s="99" t="inlineStr">
        <is>
          <t>—</t>
        </is>
      </c>
      <c r="H48" s="99" t="inlineStr">
        <is>
          <t>—</t>
        </is>
      </c>
      <c r="I48" s="99" t="inlineStr">
        <is>
          <t>—</t>
        </is>
      </c>
      <c r="J48" s="99" t="inlineStr">
        <is>
          <t>—</t>
        </is>
      </c>
      <c r="K48" s="99" t="inlineStr">
        <is>
          <t>—</t>
        </is>
      </c>
      <c r="L48" s="99" t="n">
        <v>0</v>
      </c>
      <c r="M48" s="99" t="n">
        <v>0</v>
      </c>
      <c r="N48" s="99" t="inlineStr">
        <is>
          <t>B-39</t>
        </is>
      </c>
      <c r="O48" s="99" t="inlineStr">
        <is>
          <t>H1-C12</t>
        </is>
      </c>
      <c r="P48" s="99" t="inlineStr">
        <is>
          <t>H4-C3</t>
        </is>
      </c>
    </row>
    <row r="49">
      <c r="A49" s="15" t="inlineStr">
        <is>
          <t>PON-12</t>
        </is>
      </c>
      <c r="B49" s="102" t="inlineStr">
        <is>
          <t>S4-12</t>
        </is>
      </c>
      <c r="C49" s="102" t="inlineStr">
        <is>
          <t>B-13</t>
        </is>
      </c>
      <c r="D49" s="102" t="inlineStr">
        <is>
          <t>Đã dùng</t>
        </is>
      </c>
      <c r="E49" s="102" t="inlineStr">
        <is>
          <t>ODF-08/09</t>
        </is>
      </c>
      <c r="F49" s="102" t="inlineStr">
        <is>
          <t>Phải</t>
        </is>
      </c>
      <c r="G49" s="102" t="inlineStr">
        <is>
          <t>H1-C2</t>
        </is>
      </c>
      <c r="H49" s="102" t="inlineStr">
        <is>
          <t>TR-B2/02</t>
        </is>
      </c>
      <c r="I49" s="102" t="inlineStr">
        <is>
          <t>Ống 1 Xanh dương / Cam</t>
        </is>
      </c>
      <c r="J49" s="102" t="inlineStr">
        <is>
          <t>TU-B8</t>
        </is>
      </c>
      <c r="K49" s="102" t="inlineStr">
        <is>
          <t>TU-B8/S2</t>
        </is>
      </c>
      <c r="L49" s="102">
        <f>COUNTIF('Thuê bao'!$F$2:$F$677,K49)</f>
        <v/>
      </c>
      <c r="M49" s="102">
        <f>COUNTIFS('Thuê bao'!$F$2:$F$677,K49,'Thuê bao'!$N$2:$N$677,"Hoạt động")</f>
        <v/>
      </c>
      <c r="N49" s="102" t="inlineStr">
        <is>
          <t>B-40</t>
        </is>
      </c>
      <c r="O49" s="102" t="inlineStr">
        <is>
          <t>H2-C1</t>
        </is>
      </c>
      <c r="P49" s="102" t="inlineStr">
        <is>
          <t>H4-C4</t>
        </is>
      </c>
    </row>
    <row r="50">
      <c r="A50" s="15" t="inlineStr">
        <is>
          <t>PON-12</t>
        </is>
      </c>
      <c r="B50" s="102" t="inlineStr">
        <is>
          <t>S4-12</t>
        </is>
      </c>
      <c r="C50" s="102" t="inlineStr">
        <is>
          <t>B-14</t>
        </is>
      </c>
      <c r="D50" s="102" t="inlineStr">
        <is>
          <t>Đã dùng</t>
        </is>
      </c>
      <c r="E50" s="102" t="inlineStr">
        <is>
          <t>ODF-08/09</t>
        </is>
      </c>
      <c r="F50" s="102" t="inlineStr">
        <is>
          <t>Phải</t>
        </is>
      </c>
      <c r="G50" s="102" t="inlineStr">
        <is>
          <t>H1-C3</t>
        </is>
      </c>
      <c r="H50" s="102" t="inlineStr">
        <is>
          <t>TR-B2/03</t>
        </is>
      </c>
      <c r="I50" s="102" t="inlineStr">
        <is>
          <t>Ống 1 Xanh dương / Xanh lá</t>
        </is>
      </c>
      <c r="J50" s="102" t="inlineStr">
        <is>
          <t>TU-B8</t>
        </is>
      </c>
      <c r="K50" s="102" t="inlineStr">
        <is>
          <t>TU-B8/S3</t>
        </is>
      </c>
      <c r="L50" s="102">
        <f>COUNTIF('Thuê bao'!$F$2:$F$677,K50)</f>
        <v/>
      </c>
      <c r="M50" s="102">
        <f>COUNTIFS('Thuê bao'!$F$2:$F$677,K50,'Thuê bao'!$N$2:$N$677,"Hoạt động")</f>
        <v/>
      </c>
      <c r="N50" s="102" t="inlineStr">
        <is>
          <t>B-40</t>
        </is>
      </c>
      <c r="O50" s="102" t="inlineStr">
        <is>
          <t>H2-C2</t>
        </is>
      </c>
      <c r="P50" s="102" t="inlineStr">
        <is>
          <t>H4-C4</t>
        </is>
      </c>
    </row>
    <row r="51">
      <c r="A51" s="15" t="inlineStr">
        <is>
          <t>PON-12</t>
        </is>
      </c>
      <c r="B51" s="102" t="inlineStr">
        <is>
          <t>S4-12</t>
        </is>
      </c>
      <c r="C51" s="102" t="inlineStr">
        <is>
          <t>B-15</t>
        </is>
      </c>
      <c r="D51" s="102" t="inlineStr">
        <is>
          <t>Đã dùng</t>
        </is>
      </c>
      <c r="E51" s="102" t="inlineStr">
        <is>
          <t>ODF-08/09</t>
        </is>
      </c>
      <c r="F51" s="102" t="inlineStr">
        <is>
          <t>Phải</t>
        </is>
      </c>
      <c r="G51" s="102" t="inlineStr">
        <is>
          <t>H2-C3</t>
        </is>
      </c>
      <c r="H51" s="102" t="inlineStr">
        <is>
          <t>TR-B2/09</t>
        </is>
      </c>
      <c r="I51" s="102" t="inlineStr">
        <is>
          <t>Ống 2 Cam / Xanh lá</t>
        </is>
      </c>
      <c r="J51" s="102" t="inlineStr">
        <is>
          <t>TU-B11</t>
        </is>
      </c>
      <c r="K51" s="102" t="inlineStr">
        <is>
          <t>TU-B11/S1</t>
        </is>
      </c>
      <c r="L51" s="102">
        <f>COUNTIF('Thuê bao'!$F$2:$F$677,K51)</f>
        <v/>
      </c>
      <c r="M51" s="102">
        <f>COUNTIFS('Thuê bao'!$F$2:$F$677,K51,'Thuê bao'!$N$2:$N$677,"Hoạt động")</f>
        <v/>
      </c>
      <c r="N51" s="102" t="inlineStr">
        <is>
          <t>B-40</t>
        </is>
      </c>
      <c r="O51" s="102" t="inlineStr">
        <is>
          <t>H2-C3</t>
        </is>
      </c>
      <c r="P51" s="102" t="inlineStr">
        <is>
          <t>H4-C4</t>
        </is>
      </c>
    </row>
    <row r="52">
      <c r="A52" s="15" t="inlineStr">
        <is>
          <t>PON-12</t>
        </is>
      </c>
      <c r="B52" s="102" t="inlineStr">
        <is>
          <t>S4-12</t>
        </is>
      </c>
      <c r="C52" s="102" t="inlineStr">
        <is>
          <t>B-16</t>
        </is>
      </c>
      <c r="D52" s="105" t="inlineStr">
        <is>
          <t>Dự phòng</t>
        </is>
      </c>
      <c r="E52" s="102" t="inlineStr">
        <is>
          <t>—</t>
        </is>
      </c>
      <c r="F52" s="102" t="inlineStr">
        <is>
          <t>—</t>
        </is>
      </c>
      <c r="G52" s="102" t="inlineStr">
        <is>
          <t>—</t>
        </is>
      </c>
      <c r="H52" s="102" t="inlineStr">
        <is>
          <t>—</t>
        </is>
      </c>
      <c r="I52" s="102" t="inlineStr">
        <is>
          <t>—</t>
        </is>
      </c>
      <c r="J52" s="102" t="inlineStr">
        <is>
          <t>—</t>
        </is>
      </c>
      <c r="K52" s="102" t="inlineStr">
        <is>
          <t>—</t>
        </is>
      </c>
      <c r="L52" s="102" t="n">
        <v>0</v>
      </c>
      <c r="M52" s="102" t="n">
        <v>0</v>
      </c>
      <c r="N52" s="102" t="inlineStr">
        <is>
          <t>B-40</t>
        </is>
      </c>
      <c r="O52" s="102" t="inlineStr">
        <is>
          <t>H2-C4</t>
        </is>
      </c>
      <c r="P52" s="102" t="inlineStr">
        <is>
          <t>H4-C4</t>
        </is>
      </c>
    </row>
    <row r="53">
      <c r="A53" s="103" t="inlineStr">
        <is>
          <t>PON-13</t>
        </is>
      </c>
      <c r="B53" s="99" t="inlineStr">
        <is>
          <t>S4-13</t>
        </is>
      </c>
      <c r="C53" s="99" t="inlineStr">
        <is>
          <t>B-17</t>
        </is>
      </c>
      <c r="D53" s="99" t="inlineStr">
        <is>
          <t>Đã dùng</t>
        </is>
      </c>
      <c r="E53" s="99" t="inlineStr">
        <is>
          <t>ODF-08/09</t>
        </is>
      </c>
      <c r="F53" s="99" t="inlineStr">
        <is>
          <t>Phải</t>
        </is>
      </c>
      <c r="G53" s="99" t="inlineStr">
        <is>
          <t>H2-C4</t>
        </is>
      </c>
      <c r="H53" s="99" t="inlineStr">
        <is>
          <t>TR-B2/10</t>
        </is>
      </c>
      <c r="I53" s="99" t="inlineStr">
        <is>
          <t>Ống 2 Cam / Nâu</t>
        </is>
      </c>
      <c r="J53" s="99" t="inlineStr">
        <is>
          <t>TU-B11</t>
        </is>
      </c>
      <c r="K53" s="99" t="inlineStr">
        <is>
          <t>TU-B11/S2</t>
        </is>
      </c>
      <c r="L53" s="99">
        <f>COUNTIF('Thuê bao'!$F$2:$F$677,K53)</f>
        <v/>
      </c>
      <c r="M53" s="99">
        <f>COUNTIFS('Thuê bao'!$F$2:$F$677,K53,'Thuê bao'!$N$2:$N$677,"Hoạt động")</f>
        <v/>
      </c>
      <c r="N53" s="99" t="inlineStr">
        <is>
          <t>B-41</t>
        </is>
      </c>
      <c r="O53" s="99" t="inlineStr">
        <is>
          <t>H2-C5</t>
        </is>
      </c>
      <c r="P53" s="99" t="inlineStr">
        <is>
          <t>H4-C5</t>
        </is>
      </c>
    </row>
    <row r="54">
      <c r="A54" s="103" t="inlineStr">
        <is>
          <t>PON-13</t>
        </is>
      </c>
      <c r="B54" s="99" t="inlineStr">
        <is>
          <t>S4-13</t>
        </is>
      </c>
      <c r="C54" s="99" t="inlineStr">
        <is>
          <t>B-18</t>
        </is>
      </c>
      <c r="D54" s="99" t="inlineStr">
        <is>
          <t>Đã dùng</t>
        </is>
      </c>
      <c r="E54" s="99" t="inlineStr">
        <is>
          <t>ODF-08/09</t>
        </is>
      </c>
      <c r="F54" s="99" t="inlineStr">
        <is>
          <t>Phải</t>
        </is>
      </c>
      <c r="G54" s="99" t="inlineStr">
        <is>
          <t>H2-C5</t>
        </is>
      </c>
      <c r="H54" s="99" t="inlineStr">
        <is>
          <t>TR-B2/11</t>
        </is>
      </c>
      <c r="I54" s="99" t="inlineStr">
        <is>
          <t>Ống 2 Cam / Xám</t>
        </is>
      </c>
      <c r="J54" s="99" t="inlineStr">
        <is>
          <t>TU-B11</t>
        </is>
      </c>
      <c r="K54" s="99" t="inlineStr">
        <is>
          <t>TU-B11/S3</t>
        </is>
      </c>
      <c r="L54" s="99">
        <f>COUNTIF('Thuê bao'!$F$2:$F$677,K54)</f>
        <v/>
      </c>
      <c r="M54" s="99">
        <f>COUNTIFS('Thuê bao'!$F$2:$F$677,K54,'Thuê bao'!$N$2:$N$677,"Hoạt động")</f>
        <v/>
      </c>
      <c r="N54" s="99" t="inlineStr">
        <is>
          <t>B-41</t>
        </is>
      </c>
      <c r="O54" s="99" t="inlineStr">
        <is>
          <t>H2-C6</t>
        </is>
      </c>
      <c r="P54" s="99" t="inlineStr">
        <is>
          <t>H4-C5</t>
        </is>
      </c>
    </row>
    <row r="55">
      <c r="A55" s="103" t="inlineStr">
        <is>
          <t>PON-13</t>
        </is>
      </c>
      <c r="B55" s="99" t="inlineStr">
        <is>
          <t>S4-13</t>
        </is>
      </c>
      <c r="C55" s="99" t="inlineStr">
        <is>
          <t>B-19</t>
        </is>
      </c>
      <c r="D55" s="99" t="inlineStr">
        <is>
          <t>Đã dùng</t>
        </is>
      </c>
      <c r="E55" s="99" t="inlineStr">
        <is>
          <t>ODF-08/09</t>
        </is>
      </c>
      <c r="F55" s="99" t="inlineStr">
        <is>
          <t>Phải</t>
        </is>
      </c>
      <c r="G55" s="99" t="inlineStr">
        <is>
          <t>H3-C5</t>
        </is>
      </c>
      <c r="H55" s="99" t="inlineStr">
        <is>
          <t>TR-B2/17</t>
        </is>
      </c>
      <c r="I55" s="99" t="inlineStr">
        <is>
          <t>Ống 3 Xanh lá / Xám</t>
        </is>
      </c>
      <c r="J55" s="99" t="inlineStr">
        <is>
          <t>TU-B14</t>
        </is>
      </c>
      <c r="K55" s="99" t="inlineStr">
        <is>
          <t>TU-B14/S1</t>
        </is>
      </c>
      <c r="L55" s="99">
        <f>COUNTIF('Thuê bao'!$F$2:$F$677,K55)</f>
        <v/>
      </c>
      <c r="M55" s="99">
        <f>COUNTIFS('Thuê bao'!$F$2:$F$677,K55,'Thuê bao'!$N$2:$N$677,"Hoạt động")</f>
        <v/>
      </c>
      <c r="N55" s="99" t="inlineStr">
        <is>
          <t>B-41</t>
        </is>
      </c>
      <c r="O55" s="99" t="inlineStr">
        <is>
          <t>H2-C7</t>
        </is>
      </c>
      <c r="P55" s="99" t="inlineStr">
        <is>
          <t>H4-C5</t>
        </is>
      </c>
    </row>
    <row r="56">
      <c r="A56" s="103" t="inlineStr">
        <is>
          <t>PON-13</t>
        </is>
      </c>
      <c r="B56" s="99" t="inlineStr">
        <is>
          <t>S4-13</t>
        </is>
      </c>
      <c r="C56" s="99" t="inlineStr">
        <is>
          <t>B-20</t>
        </is>
      </c>
      <c r="D56" s="104" t="inlineStr">
        <is>
          <t>Dự phòng</t>
        </is>
      </c>
      <c r="E56" s="99" t="inlineStr">
        <is>
          <t>—</t>
        </is>
      </c>
      <c r="F56" s="99" t="inlineStr">
        <is>
          <t>—</t>
        </is>
      </c>
      <c r="G56" s="99" t="inlineStr">
        <is>
          <t>—</t>
        </is>
      </c>
      <c r="H56" s="99" t="inlineStr">
        <is>
          <t>—</t>
        </is>
      </c>
      <c r="I56" s="99" t="inlineStr">
        <is>
          <t>—</t>
        </is>
      </c>
      <c r="J56" s="99" t="inlineStr">
        <is>
          <t>—</t>
        </is>
      </c>
      <c r="K56" s="99" t="inlineStr">
        <is>
          <t>—</t>
        </is>
      </c>
      <c r="L56" s="99" t="n">
        <v>0</v>
      </c>
      <c r="M56" s="99" t="n">
        <v>0</v>
      </c>
      <c r="N56" s="99" t="inlineStr">
        <is>
          <t>B-41</t>
        </is>
      </c>
      <c r="O56" s="99" t="inlineStr">
        <is>
          <t>H2-C8</t>
        </is>
      </c>
      <c r="P56" s="99" t="inlineStr">
        <is>
          <t>H4-C5</t>
        </is>
      </c>
    </row>
    <row r="57">
      <c r="A57" s="15" t="inlineStr">
        <is>
          <t>PON-14</t>
        </is>
      </c>
      <c r="B57" s="102" t="inlineStr">
        <is>
          <t>S4-14</t>
        </is>
      </c>
      <c r="C57" s="102" t="inlineStr">
        <is>
          <t>B-21</t>
        </is>
      </c>
      <c r="D57" s="102" t="inlineStr">
        <is>
          <t>Đã dùng</t>
        </is>
      </c>
      <c r="E57" s="102" t="inlineStr">
        <is>
          <t>ODF-08/09</t>
        </is>
      </c>
      <c r="F57" s="102" t="inlineStr">
        <is>
          <t>Phải</t>
        </is>
      </c>
      <c r="G57" s="102" t="inlineStr">
        <is>
          <t>H3-C6</t>
        </is>
      </c>
      <c r="H57" s="102" t="inlineStr">
        <is>
          <t>TR-B2/18</t>
        </is>
      </c>
      <c r="I57" s="102" t="inlineStr">
        <is>
          <t>Ống 3 Xanh lá / Trắng</t>
        </is>
      </c>
      <c r="J57" s="102" t="inlineStr">
        <is>
          <t>TU-B14</t>
        </is>
      </c>
      <c r="K57" s="102" t="inlineStr">
        <is>
          <t>TU-B14/S2</t>
        </is>
      </c>
      <c r="L57" s="102">
        <f>COUNTIF('Thuê bao'!$F$2:$F$677,K57)</f>
        <v/>
      </c>
      <c r="M57" s="102">
        <f>COUNTIFS('Thuê bao'!$F$2:$F$677,K57,'Thuê bao'!$N$2:$N$677,"Hoạt động")</f>
        <v/>
      </c>
      <c r="N57" s="102" t="inlineStr">
        <is>
          <t>B-42</t>
        </is>
      </c>
      <c r="O57" s="102" t="inlineStr">
        <is>
          <t>H2-C9</t>
        </is>
      </c>
      <c r="P57" s="102" t="inlineStr">
        <is>
          <t>H4-C6</t>
        </is>
      </c>
    </row>
    <row r="58">
      <c r="A58" s="15" t="inlineStr">
        <is>
          <t>PON-14</t>
        </is>
      </c>
      <c r="B58" s="102" t="inlineStr">
        <is>
          <t>S4-14</t>
        </is>
      </c>
      <c r="C58" s="102" t="inlineStr">
        <is>
          <t>B-22</t>
        </is>
      </c>
      <c r="D58" s="102" t="inlineStr">
        <is>
          <t>Đã dùng</t>
        </is>
      </c>
      <c r="E58" s="102" t="inlineStr">
        <is>
          <t>ODF-08/09</t>
        </is>
      </c>
      <c r="F58" s="102" t="inlineStr">
        <is>
          <t>Phải</t>
        </is>
      </c>
      <c r="G58" s="102" t="inlineStr">
        <is>
          <t>H4-C1</t>
        </is>
      </c>
      <c r="H58" s="102" t="inlineStr">
        <is>
          <t>TR-B2/19</t>
        </is>
      </c>
      <c r="I58" s="102" t="inlineStr">
        <is>
          <t>Ống 4 Nâu / Xanh dương</t>
        </is>
      </c>
      <c r="J58" s="102" t="inlineStr">
        <is>
          <t>TU-B14</t>
        </is>
      </c>
      <c r="K58" s="102" t="inlineStr">
        <is>
          <t>TU-B14/S3</t>
        </is>
      </c>
      <c r="L58" s="102">
        <f>COUNTIF('Thuê bao'!$F$2:$F$677,K58)</f>
        <v/>
      </c>
      <c r="M58" s="102">
        <f>COUNTIFS('Thuê bao'!$F$2:$F$677,K58,'Thuê bao'!$N$2:$N$677,"Hoạt động")</f>
        <v/>
      </c>
      <c r="N58" s="102" t="inlineStr">
        <is>
          <t>B-42</t>
        </is>
      </c>
      <c r="O58" s="102" t="inlineStr">
        <is>
          <t>H2-C10</t>
        </is>
      </c>
      <c r="P58" s="102" t="inlineStr">
        <is>
          <t>H4-C6</t>
        </is>
      </c>
    </row>
    <row r="59">
      <c r="A59" s="15" t="inlineStr">
        <is>
          <t>PON-14</t>
        </is>
      </c>
      <c r="B59" s="102" t="inlineStr">
        <is>
          <t>S4-14</t>
        </is>
      </c>
      <c r="C59" s="102" t="inlineStr">
        <is>
          <t>B-23</t>
        </is>
      </c>
      <c r="D59" s="102" t="inlineStr">
        <is>
          <t>Đã dùng</t>
        </is>
      </c>
      <c r="E59" s="102" t="inlineStr">
        <is>
          <t>ODF-17/18</t>
        </is>
      </c>
      <c r="F59" s="102" t="inlineStr">
        <is>
          <t>Phải</t>
        </is>
      </c>
      <c r="G59" s="102" t="inlineStr">
        <is>
          <t>H1-C1</t>
        </is>
      </c>
      <c r="H59" s="102" t="inlineStr">
        <is>
          <t>TR-B3/01</t>
        </is>
      </c>
      <c r="I59" s="102" t="inlineStr">
        <is>
          <t>Ống 1 Xanh dương / Xanh dương</t>
        </is>
      </c>
      <c r="J59" s="102" t="inlineStr">
        <is>
          <t>TU-B17</t>
        </is>
      </c>
      <c r="K59" s="102" t="inlineStr">
        <is>
          <t>TU-B17/S1</t>
        </is>
      </c>
      <c r="L59" s="102">
        <f>COUNTIF('Thuê bao'!$F$2:$F$677,K59)</f>
        <v/>
      </c>
      <c r="M59" s="102">
        <f>COUNTIFS('Thuê bao'!$F$2:$F$677,K59,'Thuê bao'!$N$2:$N$677,"Hoạt động")</f>
        <v/>
      </c>
      <c r="N59" s="102" t="inlineStr">
        <is>
          <t>B-42</t>
        </is>
      </c>
      <c r="O59" s="102" t="inlineStr">
        <is>
          <t>H2-C11</t>
        </is>
      </c>
      <c r="P59" s="102" t="inlineStr">
        <is>
          <t>H4-C6</t>
        </is>
      </c>
    </row>
    <row r="60">
      <c r="A60" s="15" t="inlineStr">
        <is>
          <t>PON-14</t>
        </is>
      </c>
      <c r="B60" s="102" t="inlineStr">
        <is>
          <t>S4-14</t>
        </is>
      </c>
      <c r="C60" s="102" t="inlineStr">
        <is>
          <t>B-24</t>
        </is>
      </c>
      <c r="D60" s="105" t="inlineStr">
        <is>
          <t>Dự phòng</t>
        </is>
      </c>
      <c r="E60" s="102" t="inlineStr">
        <is>
          <t>—</t>
        </is>
      </c>
      <c r="F60" s="102" t="inlineStr">
        <is>
          <t>—</t>
        </is>
      </c>
      <c r="G60" s="102" t="inlineStr">
        <is>
          <t>—</t>
        </is>
      </c>
      <c r="H60" s="102" t="inlineStr">
        <is>
          <t>—</t>
        </is>
      </c>
      <c r="I60" s="102" t="inlineStr">
        <is>
          <t>—</t>
        </is>
      </c>
      <c r="J60" s="102" t="inlineStr">
        <is>
          <t>—</t>
        </is>
      </c>
      <c r="K60" s="102" t="inlineStr">
        <is>
          <t>—</t>
        </is>
      </c>
      <c r="L60" s="102" t="n">
        <v>0</v>
      </c>
      <c r="M60" s="102" t="n">
        <v>0</v>
      </c>
      <c r="N60" s="102" t="inlineStr">
        <is>
          <t>B-42</t>
        </is>
      </c>
      <c r="O60" s="102" t="inlineStr">
        <is>
          <t>H2-C12</t>
        </is>
      </c>
      <c r="P60" s="102" t="inlineStr">
        <is>
          <t>H4-C6</t>
        </is>
      </c>
    </row>
    <row r="61">
      <c r="A61" s="103" t="inlineStr">
        <is>
          <t>PON-15</t>
        </is>
      </c>
      <c r="B61" s="99" t="inlineStr">
        <is>
          <t>S4-15</t>
        </is>
      </c>
      <c r="C61" s="99" t="inlineStr">
        <is>
          <t>B-25</t>
        </is>
      </c>
      <c r="D61" s="99" t="inlineStr">
        <is>
          <t>Đã dùng</t>
        </is>
      </c>
      <c r="E61" s="99" t="inlineStr">
        <is>
          <t>ODF-17/18</t>
        </is>
      </c>
      <c r="F61" s="99" t="inlineStr">
        <is>
          <t>Phải</t>
        </is>
      </c>
      <c r="G61" s="99" t="inlineStr">
        <is>
          <t>H1-C2</t>
        </is>
      </c>
      <c r="H61" s="99" t="inlineStr">
        <is>
          <t>TR-B3/02</t>
        </is>
      </c>
      <c r="I61" s="99" t="inlineStr">
        <is>
          <t>Ống 1 Xanh dương / Cam</t>
        </is>
      </c>
      <c r="J61" s="99" t="inlineStr">
        <is>
          <t>TU-B17</t>
        </is>
      </c>
      <c r="K61" s="99" t="inlineStr">
        <is>
          <t>TU-B17/S2</t>
        </is>
      </c>
      <c r="L61" s="99">
        <f>COUNTIF('Thuê bao'!$F$2:$F$677,K61)</f>
        <v/>
      </c>
      <c r="M61" s="99">
        <f>COUNTIFS('Thuê bao'!$F$2:$F$677,K61,'Thuê bao'!$N$2:$N$677,"Hoạt động")</f>
        <v/>
      </c>
      <c r="N61" s="99" t="inlineStr">
        <is>
          <t>B-43</t>
        </is>
      </c>
      <c r="O61" s="99" t="inlineStr">
        <is>
          <t>H3-C1</t>
        </is>
      </c>
      <c r="P61" s="99" t="inlineStr">
        <is>
          <t>H4-C7</t>
        </is>
      </c>
    </row>
    <row r="62">
      <c r="A62" s="103" t="inlineStr">
        <is>
          <t>PON-15</t>
        </is>
      </c>
      <c r="B62" s="99" t="inlineStr">
        <is>
          <t>S4-15</t>
        </is>
      </c>
      <c r="C62" s="99" t="inlineStr">
        <is>
          <t>B-26</t>
        </is>
      </c>
      <c r="D62" s="99" t="inlineStr">
        <is>
          <t>Đã dùng</t>
        </is>
      </c>
      <c r="E62" s="99" t="inlineStr">
        <is>
          <t>ODF-17/18</t>
        </is>
      </c>
      <c r="F62" s="99" t="inlineStr">
        <is>
          <t>Phải</t>
        </is>
      </c>
      <c r="G62" s="99" t="inlineStr">
        <is>
          <t>H1-C3</t>
        </is>
      </c>
      <c r="H62" s="99" t="inlineStr">
        <is>
          <t>TR-B3/03</t>
        </is>
      </c>
      <c r="I62" s="99" t="inlineStr">
        <is>
          <t>Ống 1 Xanh dương / Xanh lá</t>
        </is>
      </c>
      <c r="J62" s="99" t="inlineStr">
        <is>
          <t>TU-B17</t>
        </is>
      </c>
      <c r="K62" s="99" t="inlineStr">
        <is>
          <t>TU-B17/S3</t>
        </is>
      </c>
      <c r="L62" s="99">
        <f>COUNTIF('Thuê bao'!$F$2:$F$677,K62)</f>
        <v/>
      </c>
      <c r="M62" s="99">
        <f>COUNTIFS('Thuê bao'!$F$2:$F$677,K62,'Thuê bao'!$N$2:$N$677,"Hoạt động")</f>
        <v/>
      </c>
      <c r="N62" s="99" t="inlineStr">
        <is>
          <t>B-43</t>
        </is>
      </c>
      <c r="O62" s="99" t="inlineStr">
        <is>
          <t>H3-C2</t>
        </is>
      </c>
      <c r="P62" s="99" t="inlineStr">
        <is>
          <t>H4-C7</t>
        </is>
      </c>
    </row>
    <row r="63">
      <c r="A63" s="103" t="inlineStr">
        <is>
          <t>PON-15</t>
        </is>
      </c>
      <c r="B63" s="99" t="inlineStr">
        <is>
          <t>S4-15</t>
        </is>
      </c>
      <c r="C63" s="99" t="inlineStr">
        <is>
          <t>B-27</t>
        </is>
      </c>
      <c r="D63" s="99" t="inlineStr">
        <is>
          <t>Đã dùng</t>
        </is>
      </c>
      <c r="E63" s="99" t="inlineStr">
        <is>
          <t>ODF-17/18</t>
        </is>
      </c>
      <c r="F63" s="99" t="inlineStr">
        <is>
          <t>Phải</t>
        </is>
      </c>
      <c r="G63" s="99" t="inlineStr">
        <is>
          <t>H2-C3</t>
        </is>
      </c>
      <c r="H63" s="99" t="inlineStr">
        <is>
          <t>TR-B3/09</t>
        </is>
      </c>
      <c r="I63" s="99" t="inlineStr">
        <is>
          <t>Ống 2 Cam / Xanh lá</t>
        </is>
      </c>
      <c r="J63" s="99" t="inlineStr">
        <is>
          <t>TU-B20</t>
        </is>
      </c>
      <c r="K63" s="99" t="inlineStr">
        <is>
          <t>TU-B20/S1</t>
        </is>
      </c>
      <c r="L63" s="99">
        <f>COUNTIF('Thuê bao'!$F$2:$F$677,K63)</f>
        <v/>
      </c>
      <c r="M63" s="99">
        <f>COUNTIFS('Thuê bao'!$F$2:$F$677,K63,'Thuê bao'!$N$2:$N$677,"Hoạt động")</f>
        <v/>
      </c>
      <c r="N63" s="99" t="inlineStr">
        <is>
          <t>B-43</t>
        </is>
      </c>
      <c r="O63" s="99" t="inlineStr">
        <is>
          <t>H3-C3</t>
        </is>
      </c>
      <c r="P63" s="99" t="inlineStr">
        <is>
          <t>H4-C7</t>
        </is>
      </c>
    </row>
    <row r="64">
      <c r="A64" s="103" t="inlineStr">
        <is>
          <t>PON-15</t>
        </is>
      </c>
      <c r="B64" s="99" t="inlineStr">
        <is>
          <t>S4-15</t>
        </is>
      </c>
      <c r="C64" s="99" t="inlineStr">
        <is>
          <t>B-28</t>
        </is>
      </c>
      <c r="D64" s="104" t="inlineStr">
        <is>
          <t>Dự phòng</t>
        </is>
      </c>
      <c r="E64" s="99" t="inlineStr">
        <is>
          <t>—</t>
        </is>
      </c>
      <c r="F64" s="99" t="inlineStr">
        <is>
          <t>—</t>
        </is>
      </c>
      <c r="G64" s="99" t="inlineStr">
        <is>
          <t>—</t>
        </is>
      </c>
      <c r="H64" s="99" t="inlineStr">
        <is>
          <t>—</t>
        </is>
      </c>
      <c r="I64" s="99" t="inlineStr">
        <is>
          <t>—</t>
        </is>
      </c>
      <c r="J64" s="99" t="inlineStr">
        <is>
          <t>—</t>
        </is>
      </c>
      <c r="K64" s="99" t="inlineStr">
        <is>
          <t>—</t>
        </is>
      </c>
      <c r="L64" s="99" t="n">
        <v>0</v>
      </c>
      <c r="M64" s="99" t="n">
        <v>0</v>
      </c>
      <c r="N64" s="99" t="inlineStr">
        <is>
          <t>B-43</t>
        </is>
      </c>
      <c r="O64" s="99" t="inlineStr">
        <is>
          <t>H3-C4</t>
        </is>
      </c>
      <c r="P64" s="99" t="inlineStr">
        <is>
          <t>H4-C7</t>
        </is>
      </c>
    </row>
    <row r="65">
      <c r="A65" s="15" t="inlineStr">
        <is>
          <t>PON-16</t>
        </is>
      </c>
      <c r="B65" s="102" t="inlineStr">
        <is>
          <t>S4-16</t>
        </is>
      </c>
      <c r="C65" s="102" t="inlineStr">
        <is>
          <t>B-29</t>
        </is>
      </c>
      <c r="D65" s="102" t="inlineStr">
        <is>
          <t>Đã dùng</t>
        </is>
      </c>
      <c r="E65" s="102" t="inlineStr">
        <is>
          <t>ODF-17/18</t>
        </is>
      </c>
      <c r="F65" s="102" t="inlineStr">
        <is>
          <t>Phải</t>
        </is>
      </c>
      <c r="G65" s="102" t="inlineStr">
        <is>
          <t>H2-C4</t>
        </is>
      </c>
      <c r="H65" s="102" t="inlineStr">
        <is>
          <t>TR-B3/10</t>
        </is>
      </c>
      <c r="I65" s="102" t="inlineStr">
        <is>
          <t>Ống 2 Cam / Nâu</t>
        </is>
      </c>
      <c r="J65" s="102" t="inlineStr">
        <is>
          <t>TU-B20</t>
        </is>
      </c>
      <c r="K65" s="102" t="inlineStr">
        <is>
          <t>TU-B20/S2</t>
        </is>
      </c>
      <c r="L65" s="102">
        <f>COUNTIF('Thuê bao'!$F$2:$F$677,K65)</f>
        <v/>
      </c>
      <c r="M65" s="102">
        <f>COUNTIFS('Thuê bao'!$F$2:$F$677,K65,'Thuê bao'!$N$2:$N$677,"Hoạt động")</f>
        <v/>
      </c>
      <c r="N65" s="102" t="inlineStr">
        <is>
          <t>B-44</t>
        </is>
      </c>
      <c r="O65" s="102" t="inlineStr">
        <is>
          <t>H3-C5</t>
        </is>
      </c>
      <c r="P65" s="102" t="inlineStr">
        <is>
          <t>H4-C8</t>
        </is>
      </c>
    </row>
    <row r="66">
      <c r="A66" s="15" t="inlineStr">
        <is>
          <t>PON-16</t>
        </is>
      </c>
      <c r="B66" s="102" t="inlineStr">
        <is>
          <t>S4-16</t>
        </is>
      </c>
      <c r="C66" s="102" t="inlineStr">
        <is>
          <t>B-30</t>
        </is>
      </c>
      <c r="D66" s="102" t="inlineStr">
        <is>
          <t>Đã dùng</t>
        </is>
      </c>
      <c r="E66" s="102" t="inlineStr">
        <is>
          <t>ODF-17/18</t>
        </is>
      </c>
      <c r="F66" s="102" t="inlineStr">
        <is>
          <t>Phải</t>
        </is>
      </c>
      <c r="G66" s="102" t="inlineStr">
        <is>
          <t>H2-C5</t>
        </is>
      </c>
      <c r="H66" s="102" t="inlineStr">
        <is>
          <t>TR-B3/11</t>
        </is>
      </c>
      <c r="I66" s="102" t="inlineStr">
        <is>
          <t>Ống 2 Cam / Xám</t>
        </is>
      </c>
      <c r="J66" s="102" t="inlineStr">
        <is>
          <t>TU-B20</t>
        </is>
      </c>
      <c r="K66" s="102" t="inlineStr">
        <is>
          <t>TU-B20/S3</t>
        </is>
      </c>
      <c r="L66" s="102">
        <f>COUNTIF('Thuê bao'!$F$2:$F$677,K66)</f>
        <v/>
      </c>
      <c r="M66" s="102">
        <f>COUNTIFS('Thuê bao'!$F$2:$F$677,K66,'Thuê bao'!$N$2:$N$677,"Hoạt động")</f>
        <v/>
      </c>
      <c r="N66" s="102" t="inlineStr">
        <is>
          <t>B-44</t>
        </is>
      </c>
      <c r="O66" s="102" t="inlineStr">
        <is>
          <t>H3-C6</t>
        </is>
      </c>
      <c r="P66" s="102" t="inlineStr">
        <is>
          <t>H4-C8</t>
        </is>
      </c>
    </row>
    <row r="67">
      <c r="A67" s="15" t="inlineStr">
        <is>
          <t>PON-16</t>
        </is>
      </c>
      <c r="B67" s="102" t="inlineStr">
        <is>
          <t>S4-16</t>
        </is>
      </c>
      <c r="C67" s="102" t="inlineStr">
        <is>
          <t>B-31</t>
        </is>
      </c>
      <c r="D67" s="102" t="inlineStr">
        <is>
          <t>Đã dùng</t>
        </is>
      </c>
      <c r="E67" s="102" t="inlineStr">
        <is>
          <t>ODF-17/18</t>
        </is>
      </c>
      <c r="F67" s="102" t="inlineStr">
        <is>
          <t>Phải</t>
        </is>
      </c>
      <c r="G67" s="102" t="inlineStr">
        <is>
          <t>H3-C5</t>
        </is>
      </c>
      <c r="H67" s="102" t="inlineStr">
        <is>
          <t>TR-B3/17</t>
        </is>
      </c>
      <c r="I67" s="102" t="inlineStr">
        <is>
          <t>Ống 3 Xanh lá / Xám</t>
        </is>
      </c>
      <c r="J67" s="102" t="inlineStr">
        <is>
          <t>TU-B23</t>
        </is>
      </c>
      <c r="K67" s="102" t="inlineStr">
        <is>
          <t>TU-B23/S1</t>
        </is>
      </c>
      <c r="L67" s="102">
        <f>COUNTIF('Thuê bao'!$F$2:$F$677,K67)</f>
        <v/>
      </c>
      <c r="M67" s="102">
        <f>COUNTIFS('Thuê bao'!$F$2:$F$677,K67,'Thuê bao'!$N$2:$N$677,"Hoạt động")</f>
        <v/>
      </c>
      <c r="N67" s="102" t="inlineStr">
        <is>
          <t>B-44</t>
        </is>
      </c>
      <c r="O67" s="102" t="inlineStr">
        <is>
          <t>H3-C7</t>
        </is>
      </c>
      <c r="P67" s="102" t="inlineStr">
        <is>
          <t>H4-C8</t>
        </is>
      </c>
    </row>
    <row r="68">
      <c r="A68" s="15" t="inlineStr">
        <is>
          <t>PON-16</t>
        </is>
      </c>
      <c r="B68" s="102" t="inlineStr">
        <is>
          <t>S4-16</t>
        </is>
      </c>
      <c r="C68" s="102" t="inlineStr">
        <is>
          <t>B-32</t>
        </is>
      </c>
      <c r="D68" s="102" t="inlineStr">
        <is>
          <t>Đã dùng</t>
        </is>
      </c>
      <c r="E68" s="102" t="inlineStr">
        <is>
          <t>ODF-17/18</t>
        </is>
      </c>
      <c r="F68" s="102" t="inlineStr">
        <is>
          <t>Phải</t>
        </is>
      </c>
      <c r="G68" s="102" t="inlineStr">
        <is>
          <t>H3-C6</t>
        </is>
      </c>
      <c r="H68" s="102" t="inlineStr">
        <is>
          <t>TR-B3/18</t>
        </is>
      </c>
      <c r="I68" s="102" t="inlineStr">
        <is>
          <t>Ống 3 Xanh lá / Trắng</t>
        </is>
      </c>
      <c r="J68" s="102" t="inlineStr">
        <is>
          <t>TU-B23</t>
        </is>
      </c>
      <c r="K68" s="102" t="inlineStr">
        <is>
          <t>TU-B23/S2</t>
        </is>
      </c>
      <c r="L68" s="102">
        <f>COUNTIF('Thuê bao'!$F$2:$F$677,K68)</f>
        <v/>
      </c>
      <c r="M68" s="102">
        <f>COUNTIFS('Thuê bao'!$F$2:$F$677,K68,'Thuê bao'!$N$2:$N$677,"Hoạt động")</f>
        <v/>
      </c>
      <c r="N68" s="102" t="inlineStr">
        <is>
          <t>B-44</t>
        </is>
      </c>
      <c r="O68" s="102" t="inlineStr">
        <is>
          <t>H3-C8</t>
        </is>
      </c>
      <c r="P68" s="102" t="inlineStr">
        <is>
          <t>H4-C8</t>
        </is>
      </c>
    </row>
  </sheetData>
  <autoFilter ref="A4:P68"/>
  <conditionalFormatting sqref="D5:D68">
    <cfRule type="cellIs" priority="1" operator="equal" dxfId="1">
      <formula>"Dự phòng"</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2F6FDE"/>
    <outlinePr summaryBelow="1" summaryRight="1"/>
    <pageSetUpPr fitToPage="1"/>
  </sheetPr>
  <dimension ref="A1:Z10"/>
  <sheetViews>
    <sheetView showGridLines="0" workbookViewId="0">
      <selection activeCell="A1" sqref="A1"/>
    </sheetView>
  </sheetViews>
  <sheetFormatPr baseColWidth="8" defaultRowHeight="15"/>
  <cols>
    <col width="9"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3"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s>
  <sheetData>
    <row r="1">
      <c r="A1" s="1" t="inlineStr">
        <is>
          <t>ODF 96FO tại Phòng máy – chia 2 nửa 4×12: TRÁI = Tháp A, PHẢI = Tháp B</t>
        </is>
      </c>
    </row>
    <row r="2">
      <c r="A2" s="2" t="inlineStr">
        <is>
          <t>Mỗi nửa 48 cổng, đếm từ DƯỚI lên, từ TRÁI qua phải, mỗi nửa đếm lại từ 1 (hàng 1 = cổng 1-12). Cổng 1-32 = đầu ra splitter (4 cổng/splitter); 33-36 trống; 37-44 = đầu vào splitter (nối OLT); 45-48 trống.</t>
        </is>
      </c>
    </row>
    <row r="3">
      <c r="B3" s="71" t="inlineStr">
        <is>
          <t>NỬA TRÁI – THÁP A (PON 1-8)</t>
        </is>
      </c>
      <c r="O3" s="71" t="inlineStr">
        <is>
          <t>NỬA PHẢI – THÁP B (PON 9-16)</t>
        </is>
      </c>
    </row>
    <row r="4" ht="58" customHeight="1">
      <c r="A4" s="106" t="inlineStr">
        <is>
          <t>Hàng 4</t>
        </is>
      </c>
      <c r="B4" s="107" t="inlineStr">
        <is>
          <t>A-37  VÀO
S4-01
OLT PON-01</t>
        </is>
      </c>
      <c r="C4" s="108" t="inlineStr">
        <is>
          <t>A-38  VÀO
S4-02
OLT PON-02</t>
        </is>
      </c>
      <c r="D4" s="109" t="inlineStr">
        <is>
          <t>A-39  VÀO
S4-03
OLT PON-03</t>
        </is>
      </c>
      <c r="E4" s="110" t="inlineStr">
        <is>
          <t>A-40  VÀO
S4-04
OLT PON-04</t>
        </is>
      </c>
      <c r="F4" s="111" t="inlineStr">
        <is>
          <t>A-41  VÀO
S4-05
OLT PON-05</t>
        </is>
      </c>
      <c r="G4" s="112" t="inlineStr">
        <is>
          <t>A-42  VÀO
S4-06
OLT PON-06</t>
        </is>
      </c>
      <c r="H4" s="113" t="inlineStr">
        <is>
          <t>A-43  VÀO
S4-07
OLT PON-07</t>
        </is>
      </c>
      <c r="I4" s="114" t="inlineStr">
        <is>
          <t>A-44  VÀO
S4-08
OLT PON-08</t>
        </is>
      </c>
      <c r="J4" s="115" t="inlineStr">
        <is>
          <t>A-45
trống</t>
        </is>
      </c>
      <c r="K4" s="115" t="inlineStr">
        <is>
          <t>A-46
trống</t>
        </is>
      </c>
      <c r="L4" s="115" t="inlineStr">
        <is>
          <t>A-47
trống</t>
        </is>
      </c>
      <c r="M4" s="115" t="inlineStr">
        <is>
          <t>A-48
trống</t>
        </is>
      </c>
      <c r="O4" s="116" t="inlineStr">
        <is>
          <t>B-37  VÀO
S4-09
OLT PON-09</t>
        </is>
      </c>
      <c r="P4" s="117" t="inlineStr">
        <is>
          <t>B-38  VÀO
S4-10
OLT PON-10</t>
        </is>
      </c>
      <c r="Q4" s="118" t="inlineStr">
        <is>
          <t>B-39  VÀO
S4-11
OLT PON-11</t>
        </is>
      </c>
      <c r="R4" s="119" t="inlineStr">
        <is>
          <t>B-40  VÀO
S4-12
OLT PON-12</t>
        </is>
      </c>
      <c r="S4" s="120" t="inlineStr">
        <is>
          <t>B-41  VÀO
S4-13
OLT PON-13</t>
        </is>
      </c>
      <c r="T4" s="121" t="inlineStr">
        <is>
          <t>B-42  VÀO
S4-14
OLT PON-14</t>
        </is>
      </c>
      <c r="U4" s="122" t="inlineStr">
        <is>
          <t>B-43  VÀO
S4-15
OLT PON-15</t>
        </is>
      </c>
      <c r="V4" s="123" t="inlineStr">
        <is>
          <t>B-44  VÀO
S4-16
OLT PON-16</t>
        </is>
      </c>
      <c r="W4" s="115" t="inlineStr">
        <is>
          <t>B-45
trống</t>
        </is>
      </c>
      <c r="X4" s="115" t="inlineStr">
        <is>
          <t>B-46
trống</t>
        </is>
      </c>
      <c r="Y4" s="115" t="inlineStr">
        <is>
          <t>B-47
trống</t>
        </is>
      </c>
      <c r="Z4" s="115" t="inlineStr">
        <is>
          <t>B-48
trống</t>
        </is>
      </c>
    </row>
    <row r="5" ht="58" customHeight="1">
      <c r="A5" s="106" t="inlineStr">
        <is>
          <t>Hàng 3</t>
        </is>
      </c>
      <c r="B5" s="124" t="inlineStr">
        <is>
          <t>A-25
A18/S1
PON-07</t>
        </is>
      </c>
      <c r="C5" s="124" t="inlineStr">
        <is>
          <t>A-26
A18/S2
PON-07</t>
        </is>
      </c>
      <c r="D5" s="124" t="inlineStr">
        <is>
          <t>A-27
A18/S3
PON-07</t>
        </is>
      </c>
      <c r="E5" s="125" t="inlineStr">
        <is>
          <t>A-28
dự phòng
PON-07</t>
        </is>
      </c>
      <c r="F5" s="126" t="inlineStr">
        <is>
          <t>A-29
A21/S1
PON-08</t>
        </is>
      </c>
      <c r="G5" s="126" t="inlineStr">
        <is>
          <t>A-30
A21/S2
PON-08</t>
        </is>
      </c>
      <c r="H5" s="126" t="inlineStr">
        <is>
          <t>A-31
A21/S3
PON-08</t>
        </is>
      </c>
      <c r="I5" s="126" t="inlineStr">
        <is>
          <t>A-32
A23/S1
PON-08</t>
        </is>
      </c>
      <c r="J5" s="115" t="inlineStr">
        <is>
          <t>A-33
trống</t>
        </is>
      </c>
      <c r="K5" s="115" t="inlineStr">
        <is>
          <t>A-34
trống</t>
        </is>
      </c>
      <c r="L5" s="115" t="inlineStr">
        <is>
          <t>A-35
trống</t>
        </is>
      </c>
      <c r="M5" s="115" t="inlineStr">
        <is>
          <t>A-36
trống</t>
        </is>
      </c>
      <c r="O5" s="127" t="inlineStr">
        <is>
          <t>B-25
B17/S2
PON-15</t>
        </is>
      </c>
      <c r="P5" s="127" t="inlineStr">
        <is>
          <t>B-26
B17/S3
PON-15</t>
        </is>
      </c>
      <c r="Q5" s="127" t="inlineStr">
        <is>
          <t>B-27
B20/S1
PON-15</t>
        </is>
      </c>
      <c r="R5" s="125" t="inlineStr">
        <is>
          <t>B-28
dự phòng
PON-15</t>
        </is>
      </c>
      <c r="S5" s="128" t="inlineStr">
        <is>
          <t>B-29
B20/S2
PON-16</t>
        </is>
      </c>
      <c r="T5" s="128" t="inlineStr">
        <is>
          <t>B-30
B20/S3
PON-16</t>
        </is>
      </c>
      <c r="U5" s="128" t="inlineStr">
        <is>
          <t>B-31
B23/S1
PON-16</t>
        </is>
      </c>
      <c r="V5" s="128" t="inlineStr">
        <is>
          <t>B-32
B23/S2
PON-16</t>
        </is>
      </c>
      <c r="W5" s="115" t="inlineStr">
        <is>
          <t>B-33
trống</t>
        </is>
      </c>
      <c r="X5" s="115" t="inlineStr">
        <is>
          <t>B-34
trống</t>
        </is>
      </c>
      <c r="Y5" s="115" t="inlineStr">
        <is>
          <t>B-35
trống</t>
        </is>
      </c>
      <c r="Z5" s="115" t="inlineStr">
        <is>
          <t>B-36
trống</t>
        </is>
      </c>
    </row>
    <row r="6" ht="58" customHeight="1">
      <c r="A6" s="106" t="inlineStr">
        <is>
          <t>Hàng 2</t>
        </is>
      </c>
      <c r="B6" s="129" t="inlineStr">
        <is>
          <t>A-13
A9/S1
PON-04</t>
        </is>
      </c>
      <c r="C6" s="129" t="inlineStr">
        <is>
          <t>A-14
A9/S2
PON-04</t>
        </is>
      </c>
      <c r="D6" s="129" t="inlineStr">
        <is>
          <t>A-15
A9/S3
PON-04</t>
        </is>
      </c>
      <c r="E6" s="125" t="inlineStr">
        <is>
          <t>A-16
dự phòng
PON-04</t>
        </is>
      </c>
      <c r="F6" s="130" t="inlineStr">
        <is>
          <t>A-17
A12/S1
PON-05</t>
        </is>
      </c>
      <c r="G6" s="130" t="inlineStr">
        <is>
          <t>A-18
A12/S2
PON-05</t>
        </is>
      </c>
      <c r="H6" s="130" t="inlineStr">
        <is>
          <t>A-19
A12/S3
PON-05</t>
        </is>
      </c>
      <c r="I6" s="125" t="inlineStr">
        <is>
          <t>A-20
dự phòng
PON-05</t>
        </is>
      </c>
      <c r="J6" s="131" t="inlineStr">
        <is>
          <t>A-21
A15/S1
PON-06</t>
        </is>
      </c>
      <c r="K6" s="131" t="inlineStr">
        <is>
          <t>A-22
A15/S2
PON-06</t>
        </is>
      </c>
      <c r="L6" s="131" t="inlineStr">
        <is>
          <t>A-23
A15/S3
PON-06</t>
        </is>
      </c>
      <c r="M6" s="125" t="inlineStr">
        <is>
          <t>A-24
dự phòng
PON-06</t>
        </is>
      </c>
      <c r="O6" s="132" t="inlineStr">
        <is>
          <t>B-13
B8/S2
PON-12</t>
        </is>
      </c>
      <c r="P6" s="132" t="inlineStr">
        <is>
          <t>B-14
B8/S3
PON-12</t>
        </is>
      </c>
      <c r="Q6" s="132" t="inlineStr">
        <is>
          <t>B-15
B11/S1
PON-12</t>
        </is>
      </c>
      <c r="R6" s="125" t="inlineStr">
        <is>
          <t>B-16
dự phòng
PON-12</t>
        </is>
      </c>
      <c r="S6" s="133" t="inlineStr">
        <is>
          <t>B-17
B11/S2
PON-13</t>
        </is>
      </c>
      <c r="T6" s="133" t="inlineStr">
        <is>
          <t>B-18
B11/S3
PON-13</t>
        </is>
      </c>
      <c r="U6" s="133" t="inlineStr">
        <is>
          <t>B-19
B14/S1
PON-13</t>
        </is>
      </c>
      <c r="V6" s="125" t="inlineStr">
        <is>
          <t>B-20
dự phòng
PON-13</t>
        </is>
      </c>
      <c r="W6" s="134" t="inlineStr">
        <is>
          <t>B-21
B14/S2
PON-14</t>
        </is>
      </c>
      <c r="X6" s="134" t="inlineStr">
        <is>
          <t>B-22
B14/S3
PON-14</t>
        </is>
      </c>
      <c r="Y6" s="134" t="inlineStr">
        <is>
          <t>B-23
B17/S1
PON-14</t>
        </is>
      </c>
      <c r="Z6" s="125" t="inlineStr">
        <is>
          <t>B-24
dự phòng
PON-14</t>
        </is>
      </c>
    </row>
    <row r="7" ht="58" customHeight="1">
      <c r="A7" s="106" t="inlineStr">
        <is>
          <t>Hàng 1</t>
        </is>
      </c>
      <c r="B7" s="135" t="inlineStr">
        <is>
          <t>A-1
A2/S1
PON-01</t>
        </is>
      </c>
      <c r="C7" s="135" t="inlineStr">
        <is>
          <t>A-2
A2/S2
PON-01</t>
        </is>
      </c>
      <c r="D7" s="135" t="inlineStr">
        <is>
          <t>A-3
A2/S3
PON-01</t>
        </is>
      </c>
      <c r="E7" s="125" t="inlineStr">
        <is>
          <t>A-4
dự phòng
PON-01</t>
        </is>
      </c>
      <c r="F7" s="136" t="inlineStr">
        <is>
          <t>A-5
A5/S1
PON-02</t>
        </is>
      </c>
      <c r="G7" s="136" t="inlineStr">
        <is>
          <t>A-6
A5/S2
PON-02</t>
        </is>
      </c>
      <c r="H7" s="136" t="inlineStr">
        <is>
          <t>A-7
A5/S3
PON-02</t>
        </is>
      </c>
      <c r="I7" s="125" t="inlineStr">
        <is>
          <t>A-8
dự phòng
PON-02</t>
        </is>
      </c>
      <c r="J7" s="137" t="inlineStr">
        <is>
          <t>A-9
A7/S1
PON-03</t>
        </is>
      </c>
      <c r="K7" s="137" t="inlineStr">
        <is>
          <t>A-10
A7/S2
PON-03</t>
        </is>
      </c>
      <c r="L7" s="137" t="inlineStr">
        <is>
          <t>A-11
A7/S3
PON-03</t>
        </is>
      </c>
      <c r="M7" s="125" t="inlineStr">
        <is>
          <t>A-12
dự phòng
PON-03</t>
        </is>
      </c>
      <c r="O7" s="138" t="inlineStr">
        <is>
          <t>B-1
B2/S1
PON-09</t>
        </is>
      </c>
      <c r="P7" s="138" t="inlineStr">
        <is>
          <t>B-2
B2/S2
PON-09</t>
        </is>
      </c>
      <c r="Q7" s="138" t="inlineStr">
        <is>
          <t>B-3
B2/S3
PON-09</t>
        </is>
      </c>
      <c r="R7" s="125" t="inlineStr">
        <is>
          <t>B-4
dự phòng
PON-09</t>
        </is>
      </c>
      <c r="S7" s="139" t="inlineStr">
        <is>
          <t>B-5
B2/S4
PON-10</t>
        </is>
      </c>
      <c r="T7" s="139" t="inlineStr">
        <is>
          <t>B-6
B2/S5
PON-10</t>
        </is>
      </c>
      <c r="U7" s="139" t="inlineStr">
        <is>
          <t>B-7
B5/S1
PON-10</t>
        </is>
      </c>
      <c r="V7" s="125" t="inlineStr">
        <is>
          <t>B-8
dự phòng
PON-10</t>
        </is>
      </c>
      <c r="W7" s="140" t="inlineStr">
        <is>
          <t>B-9
B5/S2
PON-11</t>
        </is>
      </c>
      <c r="X7" s="140" t="inlineStr">
        <is>
          <t>B-10
B5/S3
PON-11</t>
        </is>
      </c>
      <c r="Y7" s="140" t="inlineStr">
        <is>
          <t>B-11
B8/S1
PON-11</t>
        </is>
      </c>
      <c r="Z7" s="125" t="inlineStr">
        <is>
          <t>B-12
dự phòng
PON-11</t>
        </is>
      </c>
    </row>
    <row r="8">
      <c r="B8" s="141" t="inlineStr">
        <is>
          <t>Cột 1</t>
        </is>
      </c>
      <c r="C8" s="141" t="inlineStr">
        <is>
          <t>Cột 2</t>
        </is>
      </c>
      <c r="D8" s="141" t="inlineStr">
        <is>
          <t>Cột 3</t>
        </is>
      </c>
      <c r="E8" s="141" t="inlineStr">
        <is>
          <t>Cột 4</t>
        </is>
      </c>
      <c r="F8" s="141" t="inlineStr">
        <is>
          <t>Cột 5</t>
        </is>
      </c>
      <c r="G8" s="141" t="inlineStr">
        <is>
          <t>Cột 6</t>
        </is>
      </c>
      <c r="H8" s="141" t="inlineStr">
        <is>
          <t>Cột 7</t>
        </is>
      </c>
      <c r="I8" s="141" t="inlineStr">
        <is>
          <t>Cột 8</t>
        </is>
      </c>
      <c r="J8" s="141" t="inlineStr">
        <is>
          <t>Cột 9</t>
        </is>
      </c>
      <c r="K8" s="141" t="inlineStr">
        <is>
          <t>Cột 10</t>
        </is>
      </c>
      <c r="L8" s="141" t="inlineStr">
        <is>
          <t>Cột 11</t>
        </is>
      </c>
      <c r="M8" s="141" t="inlineStr">
        <is>
          <t>Cột 12</t>
        </is>
      </c>
      <c r="O8" s="141" t="inlineStr">
        <is>
          <t>Cột 1</t>
        </is>
      </c>
      <c r="P8" s="141" t="inlineStr">
        <is>
          <t>Cột 2</t>
        </is>
      </c>
      <c r="Q8" s="141" t="inlineStr">
        <is>
          <t>Cột 3</t>
        </is>
      </c>
      <c r="R8" s="141" t="inlineStr">
        <is>
          <t>Cột 4</t>
        </is>
      </c>
      <c r="S8" s="141" t="inlineStr">
        <is>
          <t>Cột 5</t>
        </is>
      </c>
      <c r="T8" s="141" t="inlineStr">
        <is>
          <t>Cột 6</t>
        </is>
      </c>
      <c r="U8" s="141" t="inlineStr">
        <is>
          <t>Cột 7</t>
        </is>
      </c>
      <c r="V8" s="141" t="inlineStr">
        <is>
          <t>Cột 8</t>
        </is>
      </c>
      <c r="W8" s="141" t="inlineStr">
        <is>
          <t>Cột 9</t>
        </is>
      </c>
      <c r="X8" s="141" t="inlineStr">
        <is>
          <t>Cột 10</t>
        </is>
      </c>
      <c r="Y8" s="141" t="inlineStr">
        <is>
          <t>Cột 11</t>
        </is>
      </c>
      <c r="Z8" s="141" t="inlineStr">
        <is>
          <t>Cột 12</t>
        </is>
      </c>
    </row>
    <row r="10">
      <c r="A10" s="75" t="inlineStr">
        <is>
          <t>Mỗi PON một màu: ô nhạt = đầu ra (tới ODF-48), ô đậm "VÀO" = đầu vào splitter (từ OLT). Ví dụ nửa trái: splitter S4-01 vào A-37, ra A-1…A-4; S4-08 vào A-44, ra A-29…A-32. Nửa phải: S4-09 vào B-37, ra B-1…B-4.</t>
        </is>
      </c>
    </row>
  </sheetData>
  <mergeCells count="2">
    <mergeCell ref="B3:M3"/>
    <mergeCell ref="O3:Z3"/>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2F6FDE"/>
    <outlinePr summaryBelow="1" summaryRight="1"/>
    <pageSetUpPr fitToPage="1"/>
  </sheetPr>
  <dimension ref="A1:O31"/>
  <sheetViews>
    <sheetView showGridLines="0" workbookViewId="0">
      <selection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ODF 48FO tại Phòng máy (tầng hầm B1) – 3 ODF × 2 khay</t>
        </is>
      </c>
    </row>
    <row r="2">
      <c r="A2" s="2" t="inlineStr">
        <is>
          <t>Khay TRÁI = Tháp A, khay PHẢI = Tháp B. Mỗi khay 4 hàng × 6 cột coupler = 24FO; đánh số từ DƯỚI lên, từ TRÁI qua (hàng 1 = dưới cùng = ống đệm 1). Nhìn từ mặt trước ODF.</t>
        </is>
      </c>
    </row>
    <row r="4">
      <c r="A4" s="142" t="inlineStr">
        <is>
          <t>ODF-02  (48FO)  –  hàn 2 cáp trục 24FO</t>
        </is>
      </c>
    </row>
    <row r="5">
      <c r="B5" s="71" t="inlineStr">
        <is>
          <t>KHAY TRÁI – THÁP A – TR-A1</t>
        </is>
      </c>
      <c r="I5" s="71" t="inlineStr">
        <is>
          <t>KHAY PHẢI – THÁP B – TR-B1</t>
        </is>
      </c>
    </row>
    <row r="6" ht="52" customHeight="1">
      <c r="A6" s="143" t="inlineStr">
        <is>
          <t>Hàng 4
ống Nâu</t>
        </is>
      </c>
      <c r="B6" s="144" t="inlineStr">
        <is>
          <t>Sợi 19 · Xanh dương
TU-A7/S3
PON-03 · P96 A-11</t>
        </is>
      </c>
      <c r="C6" s="145" t="inlineStr">
        <is>
          <t>Sợi 20 · Cam
dự phòng</t>
        </is>
      </c>
      <c r="D6" s="145" t="inlineStr">
        <is>
          <t>Sợi 21 · Xanh lá
dự phòng</t>
        </is>
      </c>
      <c r="E6" s="145" t="inlineStr">
        <is>
          <t>Sợi 22 · Nâu
dự phòng</t>
        </is>
      </c>
      <c r="F6" s="145" t="inlineStr">
        <is>
          <t>Sợi 23 · Xám
dự phòng</t>
        </is>
      </c>
      <c r="G6" s="145" t="inlineStr">
        <is>
          <t>Sợi 24 · Trắng
dự phòng</t>
        </is>
      </c>
      <c r="I6" s="145" t="inlineStr">
        <is>
          <t>Sợi 19 · Xanh dương
dự phòng</t>
        </is>
      </c>
      <c r="J6" s="145" t="inlineStr">
        <is>
          <t>Sợi 20 · Cam
dự phòng</t>
        </is>
      </c>
      <c r="K6" s="145" t="inlineStr">
        <is>
          <t>Sợi 21 · Xanh lá
dự phòng</t>
        </is>
      </c>
      <c r="L6" s="145" t="inlineStr">
        <is>
          <t>Sợi 22 · Nâu
dự phòng</t>
        </is>
      </c>
      <c r="M6" s="145" t="inlineStr">
        <is>
          <t>Sợi 23 · Xám
dự phòng</t>
        </is>
      </c>
      <c r="N6" s="145" t="inlineStr">
        <is>
          <t>Sợi 24 · Trắng
dự phòng</t>
        </is>
      </c>
    </row>
    <row r="7" ht="52" customHeight="1">
      <c r="A7" s="143" t="inlineStr">
        <is>
          <t>Hàng 3
ống Xanh lá</t>
        </is>
      </c>
      <c r="B7" s="145" t="inlineStr">
        <is>
          <t>Sợi 13 · Xanh dương
dự phòng</t>
        </is>
      </c>
      <c r="C7" s="145" t="inlineStr">
        <is>
          <t>Sợi 14 · Cam
dự phòng</t>
        </is>
      </c>
      <c r="D7" s="145" t="inlineStr">
        <is>
          <t>Sợi 15 · Xanh lá
dự phòng</t>
        </is>
      </c>
      <c r="E7" s="145" t="inlineStr">
        <is>
          <t>Sợi 16 · Nâu
dự phòng</t>
        </is>
      </c>
      <c r="F7" s="146" t="inlineStr">
        <is>
          <t>Sợi 17 · Xám
TU-A7/S1
PON-03 · P96 A-9</t>
        </is>
      </c>
      <c r="G7" s="146" t="inlineStr">
        <is>
          <t>Sợi 18 · Trắng
TU-A7/S2
PON-03 · P96 A-10</t>
        </is>
      </c>
      <c r="I7" s="145" t="inlineStr">
        <is>
          <t>Sợi 13 · Xanh dương
dự phòng</t>
        </is>
      </c>
      <c r="J7" s="145" t="inlineStr">
        <is>
          <t>Sợi 14 · Cam
dự phòng</t>
        </is>
      </c>
      <c r="K7" s="145" t="inlineStr">
        <is>
          <t>Sợi 15 · Xanh lá
dự phòng</t>
        </is>
      </c>
      <c r="L7" s="145" t="inlineStr">
        <is>
          <t>Sợi 16 · Nâu
dự phòng</t>
        </is>
      </c>
      <c r="M7" s="145" t="inlineStr">
        <is>
          <t>Sợi 17 · Xám
dự phòng</t>
        </is>
      </c>
      <c r="N7" s="145" t="inlineStr">
        <is>
          <t>Sợi 18 · Trắng
dự phòng</t>
        </is>
      </c>
    </row>
    <row r="8" ht="52" customHeight="1">
      <c r="A8" s="143" t="inlineStr">
        <is>
          <t>Hàng 2
ống Cam</t>
        </is>
      </c>
      <c r="B8" s="145" t="inlineStr">
        <is>
          <t>Sợi 7 · Xanh dương
dự phòng</t>
        </is>
      </c>
      <c r="C8" s="145" t="inlineStr">
        <is>
          <t>Sợi 8 · Cam
dự phòng</t>
        </is>
      </c>
      <c r="D8" s="147" t="inlineStr">
        <is>
          <t>Sợi 9 · Xanh lá
TU-A5/S1
PON-02 · P96 A-5</t>
        </is>
      </c>
      <c r="E8" s="147" t="inlineStr">
        <is>
          <t>Sợi 10 · Nâu
TU-A5/S2
PON-02 · P96 A-6</t>
        </is>
      </c>
      <c r="F8" s="147" t="inlineStr">
        <is>
          <t>Sợi 11 · Xám
TU-A5/S3
PON-02 · P96 A-7</t>
        </is>
      </c>
      <c r="G8" s="145" t="inlineStr">
        <is>
          <t>Sợi 12 · Trắng
dự phòng</t>
        </is>
      </c>
      <c r="I8" s="145" t="inlineStr">
        <is>
          <t>Sợi 7 · Xanh dương
dự phòng</t>
        </is>
      </c>
      <c r="J8" s="145" t="inlineStr">
        <is>
          <t>Sợi 8 · Cam
dự phòng</t>
        </is>
      </c>
      <c r="K8" s="147" t="inlineStr">
        <is>
          <t>Sợi 9 · Xanh lá
TU-B5/S1
PON-10 · P96 B-7</t>
        </is>
      </c>
      <c r="L8" s="147" t="inlineStr">
        <is>
          <t>Sợi 10 · Nâu
TU-B5/S2
PON-11 · P96 B-9</t>
        </is>
      </c>
      <c r="M8" s="147" t="inlineStr">
        <is>
          <t>Sợi 11 · Xám
TU-B5/S3
PON-11 · P96 B-10</t>
        </is>
      </c>
      <c r="N8" s="145" t="inlineStr">
        <is>
          <t>Sợi 12 · Trắng
dự phòng</t>
        </is>
      </c>
    </row>
    <row r="9" ht="52" customHeight="1">
      <c r="A9" s="143" t="inlineStr">
        <is>
          <t>Hàng 1
ống Xanh dương</t>
        </is>
      </c>
      <c r="B9" s="148" t="inlineStr">
        <is>
          <t>Sợi 1 · Xanh dương
TU-A2/S1
PON-01 · P96 A-1</t>
        </is>
      </c>
      <c r="C9" s="148" t="inlineStr">
        <is>
          <t>Sợi 2 · Cam
TU-A2/S2
PON-01 · P96 A-2</t>
        </is>
      </c>
      <c r="D9" s="148" t="inlineStr">
        <is>
          <t>Sợi 3 · Xanh lá
TU-A2/S3
PON-01 · P96 A-3</t>
        </is>
      </c>
      <c r="E9" s="145" t="inlineStr">
        <is>
          <t>Sợi 4 · Nâu
dự phòng</t>
        </is>
      </c>
      <c r="F9" s="145" t="inlineStr">
        <is>
          <t>Sợi 5 · Xám
dự phòng</t>
        </is>
      </c>
      <c r="G9" s="145" t="inlineStr">
        <is>
          <t>Sợi 6 · Trắng
dự phòng</t>
        </is>
      </c>
      <c r="I9" s="148" t="inlineStr">
        <is>
          <t>Sợi 1 · Xanh dương
TU-B2/S1
PON-09 · P96 B-1</t>
        </is>
      </c>
      <c r="J9" s="148" t="inlineStr">
        <is>
          <t>Sợi 2 · Cam
TU-B2/S2
PON-09 · P96 B-2</t>
        </is>
      </c>
      <c r="K9" s="148" t="inlineStr">
        <is>
          <t>Sợi 3 · Xanh lá
TU-B2/S3
PON-09 · P96 B-3</t>
        </is>
      </c>
      <c r="L9" s="148" t="inlineStr">
        <is>
          <t>Sợi 4 · Nâu
TU-B2/S4
PON-10 · P96 B-5</t>
        </is>
      </c>
      <c r="M9" s="148" t="inlineStr">
        <is>
          <t>Sợi 5 · Xám
TU-B2/S5
PON-10 · P96 B-6</t>
        </is>
      </c>
      <c r="N9" s="145" t="inlineStr">
        <is>
          <t>Sợi 6 · Trắng
dự phòng</t>
        </is>
      </c>
    </row>
    <row r="10">
      <c r="B10" s="141" t="inlineStr">
        <is>
          <t>Cột 1</t>
        </is>
      </c>
      <c r="C10" s="141" t="inlineStr">
        <is>
          <t>Cột 2</t>
        </is>
      </c>
      <c r="D10" s="141" t="inlineStr">
        <is>
          <t>Cột 3</t>
        </is>
      </c>
      <c r="E10" s="141" t="inlineStr">
        <is>
          <t>Cột 4</t>
        </is>
      </c>
      <c r="F10" s="141" t="inlineStr">
        <is>
          <t>Cột 5</t>
        </is>
      </c>
      <c r="G10" s="141" t="inlineStr">
        <is>
          <t>Cột 6</t>
        </is>
      </c>
      <c r="I10" s="141" t="inlineStr">
        <is>
          <t>Cột 1</t>
        </is>
      </c>
      <c r="J10" s="141" t="inlineStr">
        <is>
          <t>Cột 2</t>
        </is>
      </c>
      <c r="K10" s="141" t="inlineStr">
        <is>
          <t>Cột 3</t>
        </is>
      </c>
      <c r="L10" s="141" t="inlineStr">
        <is>
          <t>Cột 4</t>
        </is>
      </c>
      <c r="M10" s="141" t="inlineStr">
        <is>
          <t>Cột 5</t>
        </is>
      </c>
      <c r="N10" s="141" t="inlineStr">
        <is>
          <t>Cột 6</t>
        </is>
      </c>
    </row>
    <row r="13">
      <c r="A13" s="142" t="inlineStr">
        <is>
          <t>ODF-08/09  (48FO)  –  hàn 2 cáp trục 24FO</t>
        </is>
      </c>
    </row>
    <row r="14">
      <c r="B14" s="71" t="inlineStr">
        <is>
          <t>KHAY TRÁI – THÁP A – TR-A2</t>
        </is>
      </c>
      <c r="I14" s="71" t="inlineStr">
        <is>
          <t>KHAY PHẢI – THÁP B – TR-B2</t>
        </is>
      </c>
    </row>
    <row r="15" ht="52" customHeight="1">
      <c r="A15" s="143" t="inlineStr">
        <is>
          <t>Hàng 4
ống Nâu</t>
        </is>
      </c>
      <c r="B15" s="144" t="inlineStr">
        <is>
          <t>Sợi 19 · Xanh dương
TU-A15/S3
PON-06 · P96 A-23</t>
        </is>
      </c>
      <c r="C15" s="145" t="inlineStr">
        <is>
          <t>Sợi 20 · Cam
dự phòng</t>
        </is>
      </c>
      <c r="D15" s="145" t="inlineStr">
        <is>
          <t>Sợi 21 · Xanh lá
dự phòng</t>
        </is>
      </c>
      <c r="E15" s="145" t="inlineStr">
        <is>
          <t>Sợi 22 · Nâu
dự phòng</t>
        </is>
      </c>
      <c r="F15" s="145" t="inlineStr">
        <is>
          <t>Sợi 23 · Xám
dự phòng</t>
        </is>
      </c>
      <c r="G15" s="145" t="inlineStr">
        <is>
          <t>Sợi 24 · Trắng
dự phòng</t>
        </is>
      </c>
      <c r="I15" s="144" t="inlineStr">
        <is>
          <t>Sợi 19 · Xanh dương
TU-B14/S3
PON-14 · P96 B-22</t>
        </is>
      </c>
      <c r="J15" s="145" t="inlineStr">
        <is>
          <t>Sợi 20 · Cam
dự phòng</t>
        </is>
      </c>
      <c r="K15" s="145" t="inlineStr">
        <is>
          <t>Sợi 21 · Xanh lá
dự phòng</t>
        </is>
      </c>
      <c r="L15" s="145" t="inlineStr">
        <is>
          <t>Sợi 22 · Nâu
dự phòng</t>
        </is>
      </c>
      <c r="M15" s="145" t="inlineStr">
        <is>
          <t>Sợi 23 · Xám
dự phòng</t>
        </is>
      </c>
      <c r="N15" s="145" t="inlineStr">
        <is>
          <t>Sợi 24 · Trắng
dự phòng</t>
        </is>
      </c>
    </row>
    <row r="16" ht="52" customHeight="1">
      <c r="A16" s="143" t="inlineStr">
        <is>
          <t>Hàng 3
ống Xanh lá</t>
        </is>
      </c>
      <c r="B16" s="145" t="inlineStr">
        <is>
          <t>Sợi 13 · Xanh dương
dự phòng</t>
        </is>
      </c>
      <c r="C16" s="145" t="inlineStr">
        <is>
          <t>Sợi 14 · Cam
dự phòng</t>
        </is>
      </c>
      <c r="D16" s="145" t="inlineStr">
        <is>
          <t>Sợi 15 · Xanh lá
dự phòng</t>
        </is>
      </c>
      <c r="E16" s="145" t="inlineStr">
        <is>
          <t>Sợi 16 · Nâu
dự phòng</t>
        </is>
      </c>
      <c r="F16" s="146" t="inlineStr">
        <is>
          <t>Sợi 17 · Xám
TU-A15/S1
PON-06 · P96 A-21</t>
        </is>
      </c>
      <c r="G16" s="146" t="inlineStr">
        <is>
          <t>Sợi 18 · Trắng
TU-A15/S2
PON-06 · P96 A-22</t>
        </is>
      </c>
      <c r="I16" s="145" t="inlineStr">
        <is>
          <t>Sợi 13 · Xanh dương
dự phòng</t>
        </is>
      </c>
      <c r="J16" s="145" t="inlineStr">
        <is>
          <t>Sợi 14 · Cam
dự phòng</t>
        </is>
      </c>
      <c r="K16" s="145" t="inlineStr">
        <is>
          <t>Sợi 15 · Xanh lá
dự phòng</t>
        </is>
      </c>
      <c r="L16" s="145" t="inlineStr">
        <is>
          <t>Sợi 16 · Nâu
dự phòng</t>
        </is>
      </c>
      <c r="M16" s="146" t="inlineStr">
        <is>
          <t>Sợi 17 · Xám
TU-B14/S1
PON-13 · P96 B-19</t>
        </is>
      </c>
      <c r="N16" s="146" t="inlineStr">
        <is>
          <t>Sợi 18 · Trắng
TU-B14/S2
PON-14 · P96 B-21</t>
        </is>
      </c>
    </row>
    <row r="17" ht="52" customHeight="1">
      <c r="A17" s="143" t="inlineStr">
        <is>
          <t>Hàng 2
ống Cam</t>
        </is>
      </c>
      <c r="B17" s="145" t="inlineStr">
        <is>
          <t>Sợi 7 · Xanh dương
dự phòng</t>
        </is>
      </c>
      <c r="C17" s="145" t="inlineStr">
        <is>
          <t>Sợi 8 · Cam
dự phòng</t>
        </is>
      </c>
      <c r="D17" s="147" t="inlineStr">
        <is>
          <t>Sợi 9 · Xanh lá
TU-A12/S1
PON-05 · P96 A-17</t>
        </is>
      </c>
      <c r="E17" s="147" t="inlineStr">
        <is>
          <t>Sợi 10 · Nâu
TU-A12/S2
PON-05 · P96 A-18</t>
        </is>
      </c>
      <c r="F17" s="147" t="inlineStr">
        <is>
          <t>Sợi 11 · Xám
TU-A12/S3
PON-05 · P96 A-19</t>
        </is>
      </c>
      <c r="G17" s="145" t="inlineStr">
        <is>
          <t>Sợi 12 · Trắng
dự phòng</t>
        </is>
      </c>
      <c r="I17" s="145" t="inlineStr">
        <is>
          <t>Sợi 7 · Xanh dương
dự phòng</t>
        </is>
      </c>
      <c r="J17" s="145" t="inlineStr">
        <is>
          <t>Sợi 8 · Cam
dự phòng</t>
        </is>
      </c>
      <c r="K17" s="147" t="inlineStr">
        <is>
          <t>Sợi 9 · Xanh lá
TU-B11/S1
PON-12 · P96 B-15</t>
        </is>
      </c>
      <c r="L17" s="147" t="inlineStr">
        <is>
          <t>Sợi 10 · Nâu
TU-B11/S2
PON-13 · P96 B-17</t>
        </is>
      </c>
      <c r="M17" s="147" t="inlineStr">
        <is>
          <t>Sợi 11 · Xám
TU-B11/S3
PON-13 · P96 B-18</t>
        </is>
      </c>
      <c r="N17" s="145" t="inlineStr">
        <is>
          <t>Sợi 12 · Trắng
dự phòng</t>
        </is>
      </c>
    </row>
    <row r="18" ht="52" customHeight="1">
      <c r="A18" s="143" t="inlineStr">
        <is>
          <t>Hàng 1
ống Xanh dương</t>
        </is>
      </c>
      <c r="B18" s="148" t="inlineStr">
        <is>
          <t>Sợi 1 · Xanh dương
TU-A9/S1
PON-04 · P96 A-13</t>
        </is>
      </c>
      <c r="C18" s="148" t="inlineStr">
        <is>
          <t>Sợi 2 · Cam
TU-A9/S2
PON-04 · P96 A-14</t>
        </is>
      </c>
      <c r="D18" s="148" t="inlineStr">
        <is>
          <t>Sợi 3 · Xanh lá
TU-A9/S3
PON-04 · P96 A-15</t>
        </is>
      </c>
      <c r="E18" s="145" t="inlineStr">
        <is>
          <t>Sợi 4 · Nâu
dự phòng</t>
        </is>
      </c>
      <c r="F18" s="145" t="inlineStr">
        <is>
          <t>Sợi 5 · Xám
dự phòng</t>
        </is>
      </c>
      <c r="G18" s="145" t="inlineStr">
        <is>
          <t>Sợi 6 · Trắng
dự phòng</t>
        </is>
      </c>
      <c r="I18" s="148" t="inlineStr">
        <is>
          <t>Sợi 1 · Xanh dương
TU-B8/S1
PON-11 · P96 B-11</t>
        </is>
      </c>
      <c r="J18" s="148" t="inlineStr">
        <is>
          <t>Sợi 2 · Cam
TU-B8/S2
PON-12 · P96 B-13</t>
        </is>
      </c>
      <c r="K18" s="148" t="inlineStr">
        <is>
          <t>Sợi 3 · Xanh lá
TU-B8/S3
PON-12 · P96 B-14</t>
        </is>
      </c>
      <c r="L18" s="145" t="inlineStr">
        <is>
          <t>Sợi 4 · Nâu
dự phòng</t>
        </is>
      </c>
      <c r="M18" s="145" t="inlineStr">
        <is>
          <t>Sợi 5 · Xám
dự phòng</t>
        </is>
      </c>
      <c r="N18" s="145" t="inlineStr">
        <is>
          <t>Sợi 6 · Trắng
dự phòng</t>
        </is>
      </c>
    </row>
    <row r="19">
      <c r="B19" s="141" t="inlineStr">
        <is>
          <t>Cột 1</t>
        </is>
      </c>
      <c r="C19" s="141" t="inlineStr">
        <is>
          <t>Cột 2</t>
        </is>
      </c>
      <c r="D19" s="141" t="inlineStr">
        <is>
          <t>Cột 3</t>
        </is>
      </c>
      <c r="E19" s="141" t="inlineStr">
        <is>
          <t>Cột 4</t>
        </is>
      </c>
      <c r="F19" s="141" t="inlineStr">
        <is>
          <t>Cột 5</t>
        </is>
      </c>
      <c r="G19" s="141" t="inlineStr">
        <is>
          <t>Cột 6</t>
        </is>
      </c>
      <c r="I19" s="141" t="inlineStr">
        <is>
          <t>Cột 1</t>
        </is>
      </c>
      <c r="J19" s="141" t="inlineStr">
        <is>
          <t>Cột 2</t>
        </is>
      </c>
      <c r="K19" s="141" t="inlineStr">
        <is>
          <t>Cột 3</t>
        </is>
      </c>
      <c r="L19" s="141" t="inlineStr">
        <is>
          <t>Cột 4</t>
        </is>
      </c>
      <c r="M19" s="141" t="inlineStr">
        <is>
          <t>Cột 5</t>
        </is>
      </c>
      <c r="N19" s="141" t="inlineStr">
        <is>
          <t>Cột 6</t>
        </is>
      </c>
    </row>
    <row r="22">
      <c r="A22" s="142" t="inlineStr">
        <is>
          <t>ODF-17/18  (48FO)  –  hàn 2 cáp trục 24FO</t>
        </is>
      </c>
    </row>
    <row r="23">
      <c r="B23" s="71" t="inlineStr">
        <is>
          <t>KHAY TRÁI – THÁP A – TR-A3</t>
        </is>
      </c>
      <c r="I23" s="71" t="inlineStr">
        <is>
          <t>KHAY PHẢI – THÁP B – TR-B3</t>
        </is>
      </c>
    </row>
    <row r="24" ht="52" customHeight="1">
      <c r="A24" s="143" t="inlineStr">
        <is>
          <t>Hàng 4
ống Nâu</t>
        </is>
      </c>
      <c r="B24" s="145" t="inlineStr">
        <is>
          <t>Sợi 19 · Xanh dương
dự phòng</t>
        </is>
      </c>
      <c r="C24" s="145" t="inlineStr">
        <is>
          <t>Sợi 20 · Cam
dự phòng</t>
        </is>
      </c>
      <c r="D24" s="145" t="inlineStr">
        <is>
          <t>Sợi 21 · Xanh lá
dự phòng</t>
        </is>
      </c>
      <c r="E24" s="145" t="inlineStr">
        <is>
          <t>Sợi 22 · Nâu
dự phòng</t>
        </is>
      </c>
      <c r="F24" s="145" t="inlineStr">
        <is>
          <t>Sợi 23 · Xám
dự phòng</t>
        </is>
      </c>
      <c r="G24" s="145" t="inlineStr">
        <is>
          <t>Sợi 24 · Trắng
dự phòng</t>
        </is>
      </c>
      <c r="I24" s="145" t="inlineStr">
        <is>
          <t>Sợi 19 · Xanh dương
dự phòng</t>
        </is>
      </c>
      <c r="J24" s="145" t="inlineStr">
        <is>
          <t>Sợi 20 · Cam
dự phòng</t>
        </is>
      </c>
      <c r="K24" s="145" t="inlineStr">
        <is>
          <t>Sợi 21 · Xanh lá
dự phòng</t>
        </is>
      </c>
      <c r="L24" s="145" t="inlineStr">
        <is>
          <t>Sợi 22 · Nâu
dự phòng</t>
        </is>
      </c>
      <c r="M24" s="145" t="inlineStr">
        <is>
          <t>Sợi 23 · Xám
dự phòng</t>
        </is>
      </c>
      <c r="N24" s="145" t="inlineStr">
        <is>
          <t>Sợi 24 · Trắng
dự phòng</t>
        </is>
      </c>
    </row>
    <row r="25" ht="52" customHeight="1">
      <c r="A25" s="143" t="inlineStr">
        <is>
          <t>Hàng 3
ống Xanh lá</t>
        </is>
      </c>
      <c r="B25" s="145" t="inlineStr">
        <is>
          <t>Sợi 13 · Xanh dương
dự phòng</t>
        </is>
      </c>
      <c r="C25" s="145" t="inlineStr">
        <is>
          <t>Sợi 14 · Cam
dự phòng</t>
        </is>
      </c>
      <c r="D25" s="145" t="inlineStr">
        <is>
          <t>Sợi 15 · Xanh lá
dự phòng</t>
        </is>
      </c>
      <c r="E25" s="145" t="inlineStr">
        <is>
          <t>Sợi 16 · Nâu
dự phòng</t>
        </is>
      </c>
      <c r="F25" s="146" t="inlineStr">
        <is>
          <t>Sợi 17 · Xám
TU-A23/S1
PON-08 · P96 A-32</t>
        </is>
      </c>
      <c r="G25" s="145" t="inlineStr">
        <is>
          <t>Sợi 18 · Trắng
dự phòng</t>
        </is>
      </c>
      <c r="I25" s="145" t="inlineStr">
        <is>
          <t>Sợi 13 · Xanh dương
dự phòng</t>
        </is>
      </c>
      <c r="J25" s="145" t="inlineStr">
        <is>
          <t>Sợi 14 · Cam
dự phòng</t>
        </is>
      </c>
      <c r="K25" s="145" t="inlineStr">
        <is>
          <t>Sợi 15 · Xanh lá
dự phòng</t>
        </is>
      </c>
      <c r="L25" s="145" t="inlineStr">
        <is>
          <t>Sợi 16 · Nâu
dự phòng</t>
        </is>
      </c>
      <c r="M25" s="146" t="inlineStr">
        <is>
          <t>Sợi 17 · Xám
TU-B23/S1
PON-16 · P96 B-31</t>
        </is>
      </c>
      <c r="N25" s="146" t="inlineStr">
        <is>
          <t>Sợi 18 · Trắng
TU-B23/S2
PON-16 · P96 B-32</t>
        </is>
      </c>
    </row>
    <row r="26" ht="52" customHeight="1">
      <c r="A26" s="143" t="inlineStr">
        <is>
          <t>Hàng 2
ống Cam</t>
        </is>
      </c>
      <c r="B26" s="145" t="inlineStr">
        <is>
          <t>Sợi 7 · Xanh dương
dự phòng</t>
        </is>
      </c>
      <c r="C26" s="145" t="inlineStr">
        <is>
          <t>Sợi 8 · Cam
dự phòng</t>
        </is>
      </c>
      <c r="D26" s="147" t="inlineStr">
        <is>
          <t>Sợi 9 · Xanh lá
TU-A21/S1
PON-08 · P96 A-29</t>
        </is>
      </c>
      <c r="E26" s="147" t="inlineStr">
        <is>
          <t>Sợi 10 · Nâu
TU-A21/S2
PON-08 · P96 A-30</t>
        </is>
      </c>
      <c r="F26" s="147" t="inlineStr">
        <is>
          <t>Sợi 11 · Xám
TU-A21/S3
PON-08 · P96 A-31</t>
        </is>
      </c>
      <c r="G26" s="145" t="inlineStr">
        <is>
          <t>Sợi 12 · Trắng
dự phòng</t>
        </is>
      </c>
      <c r="I26" s="145" t="inlineStr">
        <is>
          <t>Sợi 7 · Xanh dương
dự phòng</t>
        </is>
      </c>
      <c r="J26" s="145" t="inlineStr">
        <is>
          <t>Sợi 8 · Cam
dự phòng</t>
        </is>
      </c>
      <c r="K26" s="147" t="inlineStr">
        <is>
          <t>Sợi 9 · Xanh lá
TU-B20/S1
PON-15 · P96 B-27</t>
        </is>
      </c>
      <c r="L26" s="147" t="inlineStr">
        <is>
          <t>Sợi 10 · Nâu
TU-B20/S2
PON-16 · P96 B-29</t>
        </is>
      </c>
      <c r="M26" s="147" t="inlineStr">
        <is>
          <t>Sợi 11 · Xám
TU-B20/S3
PON-16 · P96 B-30</t>
        </is>
      </c>
      <c r="N26" s="145" t="inlineStr">
        <is>
          <t>Sợi 12 · Trắng
dự phòng</t>
        </is>
      </c>
    </row>
    <row r="27" ht="52" customHeight="1">
      <c r="A27" s="143" t="inlineStr">
        <is>
          <t>Hàng 1
ống Xanh dương</t>
        </is>
      </c>
      <c r="B27" s="148" t="inlineStr">
        <is>
          <t>Sợi 1 · Xanh dương
TU-A18/S1
PON-07 · P96 A-25</t>
        </is>
      </c>
      <c r="C27" s="148" t="inlineStr">
        <is>
          <t>Sợi 2 · Cam
TU-A18/S2
PON-07 · P96 A-26</t>
        </is>
      </c>
      <c r="D27" s="148" t="inlineStr">
        <is>
          <t>Sợi 3 · Xanh lá
TU-A18/S3
PON-07 · P96 A-27</t>
        </is>
      </c>
      <c r="E27" s="145" t="inlineStr">
        <is>
          <t>Sợi 4 · Nâu
dự phòng</t>
        </is>
      </c>
      <c r="F27" s="145" t="inlineStr">
        <is>
          <t>Sợi 5 · Xám
dự phòng</t>
        </is>
      </c>
      <c r="G27" s="145" t="inlineStr">
        <is>
          <t>Sợi 6 · Trắng
dự phòng</t>
        </is>
      </c>
      <c r="I27" s="148" t="inlineStr">
        <is>
          <t>Sợi 1 · Xanh dương
TU-B17/S1
PON-14 · P96 B-23</t>
        </is>
      </c>
      <c r="J27" s="148" t="inlineStr">
        <is>
          <t>Sợi 2 · Cam
TU-B17/S2
PON-15 · P96 B-25</t>
        </is>
      </c>
      <c r="K27" s="148" t="inlineStr">
        <is>
          <t>Sợi 3 · Xanh lá
TU-B17/S3
PON-15 · P96 B-26</t>
        </is>
      </c>
      <c r="L27" s="145" t="inlineStr">
        <is>
          <t>Sợi 4 · Nâu
dự phòng</t>
        </is>
      </c>
      <c r="M27" s="145" t="inlineStr">
        <is>
          <t>Sợi 5 · Xám
dự phòng</t>
        </is>
      </c>
      <c r="N27" s="145" t="inlineStr">
        <is>
          <t>Sợi 6 · Trắng
dự phòng</t>
        </is>
      </c>
    </row>
    <row r="28">
      <c r="B28" s="141" t="inlineStr">
        <is>
          <t>Cột 1</t>
        </is>
      </c>
      <c r="C28" s="141" t="inlineStr">
        <is>
          <t>Cột 2</t>
        </is>
      </c>
      <c r="D28" s="141" t="inlineStr">
        <is>
          <t>Cột 3</t>
        </is>
      </c>
      <c r="E28" s="141" t="inlineStr">
        <is>
          <t>Cột 4</t>
        </is>
      </c>
      <c r="F28" s="141" t="inlineStr">
        <is>
          <t>Cột 5</t>
        </is>
      </c>
      <c r="G28" s="141" t="inlineStr">
        <is>
          <t>Cột 6</t>
        </is>
      </c>
      <c r="I28" s="141" t="inlineStr">
        <is>
          <t>Cột 1</t>
        </is>
      </c>
      <c r="J28" s="141" t="inlineStr">
        <is>
          <t>Cột 2</t>
        </is>
      </c>
      <c r="K28" s="141" t="inlineStr">
        <is>
          <t>Cột 3</t>
        </is>
      </c>
      <c r="L28" s="141" t="inlineStr">
        <is>
          <t>Cột 4</t>
        </is>
      </c>
      <c r="M28" s="141" t="inlineStr">
        <is>
          <t>Cột 5</t>
        </is>
      </c>
      <c r="N28" s="141" t="inlineStr">
        <is>
          <t>Cột 6</t>
        </is>
      </c>
    </row>
    <row r="31">
      <c r="A31" s="75" t="inlineStr">
        <is>
          <t>Số coupler trên ODF: khay trái 1-24 (Tháp A), khay phải 25-48 (Tháp B) = 24 + số sợi trong cáp trục.</t>
        </is>
      </c>
    </row>
  </sheetData>
  <mergeCells count="9">
    <mergeCell ref="B5:G5"/>
    <mergeCell ref="I5:N5"/>
    <mergeCell ref="B14:G14"/>
    <mergeCell ref="A13:O13"/>
    <mergeCell ref="I14:N14"/>
    <mergeCell ref="B23:G23"/>
    <mergeCell ref="I23:N23"/>
    <mergeCell ref="A22:O22"/>
    <mergeCell ref="A4:O4"/>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8C959F"/>
    <outlinePr summaryBelow="1" summaryRight="1"/>
    <pageSetUpPr fitToPage="1"/>
  </sheetPr>
  <dimension ref="A1:F70"/>
  <sheetViews>
    <sheetView showGridLines="0" workbookViewId="0">
      <pane ySplit="4" topLeftCell="A5" activePane="bottomLeft" state="frozen"/>
      <selection pane="bottomLeft" activeCell="A1" sqref="A1"/>
    </sheetView>
  </sheetViews>
  <sheetFormatPr baseColWidth="8" defaultRowHeight="15"/>
  <cols>
    <col width="6" customWidth="1" min="1" max="1"/>
    <col width="18" customWidth="1" min="2" max="2"/>
    <col width="30" customWidth="1" min="3" max="3"/>
    <col width="46" customWidth="1" min="4" max="4"/>
    <col width="44" customWidth="1" min="5" max="5"/>
    <col width="13" customWidth="1" min="6" max="6"/>
  </cols>
  <sheetData>
    <row r="1">
      <c r="A1" s="1" t="inlineStr">
        <is>
          <t>Danh sách dây nhảy tại Phòng máy</t>
        </is>
      </c>
    </row>
    <row r="2">
      <c r="A2" s="2" t="inlineStr">
        <is>
          <t>Loại 1: OLT PON → ODF-96 cổng vào (16 sợi). Loại 2: ODF-96 cổng ra → ODF-48 trục (một sợi cho mỗi splitter 1:16). Cập nhật cột "Tình trạng" khi thi công.</t>
        </is>
      </c>
    </row>
    <row r="4" ht="26" customHeight="1">
      <c r="A4" s="7" t="inlineStr">
        <is>
          <t>STT</t>
        </is>
      </c>
      <c r="B4" s="7" t="inlineStr">
        <is>
          <t>Loại</t>
        </is>
      </c>
      <c r="C4" s="7" t="inlineStr">
        <is>
          <t>Đầu A</t>
        </is>
      </c>
      <c r="D4" s="7" t="inlineStr">
        <is>
          <t>Đầu B</t>
        </is>
      </c>
      <c r="E4" s="7" t="inlineStr">
        <is>
          <t>Ghi chú</t>
        </is>
      </c>
      <c r="F4" s="7" t="inlineStr">
        <is>
          <t>Tình trạng</t>
        </is>
      </c>
    </row>
    <row r="5">
      <c r="A5" s="9" t="n">
        <v>1</v>
      </c>
      <c r="B5" s="9" t="inlineStr">
        <is>
          <t>OLT → ODF-96</t>
        </is>
      </c>
      <c r="C5" s="9" t="inlineStr">
        <is>
          <t>OLT PON-01</t>
        </is>
      </c>
      <c r="D5" s="9" t="inlineStr">
        <is>
          <t>ODF-96 nửa A cổng 37 (H4-C1)</t>
        </is>
      </c>
      <c r="E5" s="13" t="inlineStr">
        <is>
          <t>Đầu vào splitter 1:4 S4-01</t>
        </is>
      </c>
      <c r="F5" s="9" t="inlineStr">
        <is>
          <t>Chưa cắm</t>
        </is>
      </c>
    </row>
    <row r="6">
      <c r="A6" s="9" t="n">
        <v>2</v>
      </c>
      <c r="B6" s="9" t="inlineStr">
        <is>
          <t>OLT → ODF-96</t>
        </is>
      </c>
      <c r="C6" s="9" t="inlineStr">
        <is>
          <t>OLT PON-02</t>
        </is>
      </c>
      <c r="D6" s="9" t="inlineStr">
        <is>
          <t>ODF-96 nửa A cổng 38 (H4-C2)</t>
        </is>
      </c>
      <c r="E6" s="13" t="inlineStr">
        <is>
          <t>Đầu vào splitter 1:4 S4-02</t>
        </is>
      </c>
      <c r="F6" s="9" t="inlineStr">
        <is>
          <t>Chưa cắm</t>
        </is>
      </c>
    </row>
    <row r="7">
      <c r="A7" s="9" t="n">
        <v>3</v>
      </c>
      <c r="B7" s="9" t="inlineStr">
        <is>
          <t>OLT → ODF-96</t>
        </is>
      </c>
      <c r="C7" s="9" t="inlineStr">
        <is>
          <t>OLT PON-03</t>
        </is>
      </c>
      <c r="D7" s="9" t="inlineStr">
        <is>
          <t>ODF-96 nửa A cổng 39 (H4-C3)</t>
        </is>
      </c>
      <c r="E7" s="13" t="inlineStr">
        <is>
          <t>Đầu vào splitter 1:4 S4-03</t>
        </is>
      </c>
      <c r="F7" s="9" t="inlineStr">
        <is>
          <t>Chưa cắm</t>
        </is>
      </c>
    </row>
    <row r="8">
      <c r="A8" s="9" t="n">
        <v>4</v>
      </c>
      <c r="B8" s="9" t="inlineStr">
        <is>
          <t>OLT → ODF-96</t>
        </is>
      </c>
      <c r="C8" s="9" t="inlineStr">
        <is>
          <t>OLT PON-04</t>
        </is>
      </c>
      <c r="D8" s="9" t="inlineStr">
        <is>
          <t>ODF-96 nửa A cổng 40 (H4-C4)</t>
        </is>
      </c>
      <c r="E8" s="13" t="inlineStr">
        <is>
          <t>Đầu vào splitter 1:4 S4-04</t>
        </is>
      </c>
      <c r="F8" s="9" t="inlineStr">
        <is>
          <t>Chưa cắm</t>
        </is>
      </c>
    </row>
    <row r="9">
      <c r="A9" s="9" t="n">
        <v>5</v>
      </c>
      <c r="B9" s="9" t="inlineStr">
        <is>
          <t>OLT → ODF-96</t>
        </is>
      </c>
      <c r="C9" s="9" t="inlineStr">
        <is>
          <t>OLT PON-05</t>
        </is>
      </c>
      <c r="D9" s="9" t="inlineStr">
        <is>
          <t>ODF-96 nửa A cổng 41 (H4-C5)</t>
        </is>
      </c>
      <c r="E9" s="13" t="inlineStr">
        <is>
          <t>Đầu vào splitter 1:4 S4-05</t>
        </is>
      </c>
      <c r="F9" s="9" t="inlineStr">
        <is>
          <t>Chưa cắm</t>
        </is>
      </c>
    </row>
    <row r="10">
      <c r="A10" s="9" t="n">
        <v>6</v>
      </c>
      <c r="B10" s="9" t="inlineStr">
        <is>
          <t>OLT → ODF-96</t>
        </is>
      </c>
      <c r="C10" s="9" t="inlineStr">
        <is>
          <t>OLT PON-06</t>
        </is>
      </c>
      <c r="D10" s="9" t="inlineStr">
        <is>
          <t>ODF-96 nửa A cổng 42 (H4-C6)</t>
        </is>
      </c>
      <c r="E10" s="13" t="inlineStr">
        <is>
          <t>Đầu vào splitter 1:4 S4-06</t>
        </is>
      </c>
      <c r="F10" s="9" t="inlineStr">
        <is>
          <t>Chưa cắm</t>
        </is>
      </c>
    </row>
    <row r="11">
      <c r="A11" s="9" t="n">
        <v>7</v>
      </c>
      <c r="B11" s="9" t="inlineStr">
        <is>
          <t>OLT → ODF-96</t>
        </is>
      </c>
      <c r="C11" s="9" t="inlineStr">
        <is>
          <t>OLT PON-07</t>
        </is>
      </c>
      <c r="D11" s="9" t="inlineStr">
        <is>
          <t>ODF-96 nửa A cổng 43 (H4-C7)</t>
        </is>
      </c>
      <c r="E11" s="13" t="inlineStr">
        <is>
          <t>Đầu vào splitter 1:4 S4-07</t>
        </is>
      </c>
      <c r="F11" s="9" t="inlineStr">
        <is>
          <t>Chưa cắm</t>
        </is>
      </c>
    </row>
    <row r="12">
      <c r="A12" s="9" t="n">
        <v>8</v>
      </c>
      <c r="B12" s="9" t="inlineStr">
        <is>
          <t>OLT → ODF-96</t>
        </is>
      </c>
      <c r="C12" s="9" t="inlineStr">
        <is>
          <t>OLT PON-08</t>
        </is>
      </c>
      <c r="D12" s="9" t="inlineStr">
        <is>
          <t>ODF-96 nửa A cổng 44 (H4-C8)</t>
        </is>
      </c>
      <c r="E12" s="13" t="inlineStr">
        <is>
          <t>Đầu vào splitter 1:4 S4-08</t>
        </is>
      </c>
      <c r="F12" s="9" t="inlineStr">
        <is>
          <t>Chưa cắm</t>
        </is>
      </c>
    </row>
    <row r="13">
      <c r="A13" s="9" t="n">
        <v>9</v>
      </c>
      <c r="B13" s="9" t="inlineStr">
        <is>
          <t>OLT → ODF-96</t>
        </is>
      </c>
      <c r="C13" s="9" t="inlineStr">
        <is>
          <t>OLT PON-09</t>
        </is>
      </c>
      <c r="D13" s="9" t="inlineStr">
        <is>
          <t>ODF-96 nửa B cổng 37 (H4-C1)</t>
        </is>
      </c>
      <c r="E13" s="13" t="inlineStr">
        <is>
          <t>Đầu vào splitter 1:4 S4-09</t>
        </is>
      </c>
      <c r="F13" s="9" t="inlineStr">
        <is>
          <t>Chưa cắm</t>
        </is>
      </c>
    </row>
    <row r="14">
      <c r="A14" s="9" t="n">
        <v>10</v>
      </c>
      <c r="B14" s="9" t="inlineStr">
        <is>
          <t>OLT → ODF-96</t>
        </is>
      </c>
      <c r="C14" s="9" t="inlineStr">
        <is>
          <t>OLT PON-10</t>
        </is>
      </c>
      <c r="D14" s="9" t="inlineStr">
        <is>
          <t>ODF-96 nửa B cổng 38 (H4-C2)</t>
        </is>
      </c>
      <c r="E14" s="13" t="inlineStr">
        <is>
          <t>Đầu vào splitter 1:4 S4-10</t>
        </is>
      </c>
      <c r="F14" s="9" t="inlineStr">
        <is>
          <t>Chưa cắm</t>
        </is>
      </c>
    </row>
    <row r="15">
      <c r="A15" s="9" t="n">
        <v>11</v>
      </c>
      <c r="B15" s="9" t="inlineStr">
        <is>
          <t>OLT → ODF-96</t>
        </is>
      </c>
      <c r="C15" s="9" t="inlineStr">
        <is>
          <t>OLT PON-11</t>
        </is>
      </c>
      <c r="D15" s="9" t="inlineStr">
        <is>
          <t>ODF-96 nửa B cổng 39 (H4-C3)</t>
        </is>
      </c>
      <c r="E15" s="13" t="inlineStr">
        <is>
          <t>Đầu vào splitter 1:4 S4-11</t>
        </is>
      </c>
      <c r="F15" s="9" t="inlineStr">
        <is>
          <t>Chưa cắm</t>
        </is>
      </c>
    </row>
    <row r="16">
      <c r="A16" s="9" t="n">
        <v>12</v>
      </c>
      <c r="B16" s="9" t="inlineStr">
        <is>
          <t>OLT → ODF-96</t>
        </is>
      </c>
      <c r="C16" s="9" t="inlineStr">
        <is>
          <t>OLT PON-12</t>
        </is>
      </c>
      <c r="D16" s="9" t="inlineStr">
        <is>
          <t>ODF-96 nửa B cổng 40 (H4-C4)</t>
        </is>
      </c>
      <c r="E16" s="13" t="inlineStr">
        <is>
          <t>Đầu vào splitter 1:4 S4-12</t>
        </is>
      </c>
      <c r="F16" s="9" t="inlineStr">
        <is>
          <t>Chưa cắm</t>
        </is>
      </c>
    </row>
    <row r="17">
      <c r="A17" s="9" t="n">
        <v>13</v>
      </c>
      <c r="B17" s="9" t="inlineStr">
        <is>
          <t>OLT → ODF-96</t>
        </is>
      </c>
      <c r="C17" s="9" t="inlineStr">
        <is>
          <t>OLT PON-13</t>
        </is>
      </c>
      <c r="D17" s="9" t="inlineStr">
        <is>
          <t>ODF-96 nửa B cổng 41 (H4-C5)</t>
        </is>
      </c>
      <c r="E17" s="13" t="inlineStr">
        <is>
          <t>Đầu vào splitter 1:4 S4-13</t>
        </is>
      </c>
      <c r="F17" s="9" t="inlineStr">
        <is>
          <t>Chưa cắm</t>
        </is>
      </c>
    </row>
    <row r="18">
      <c r="A18" s="9" t="n">
        <v>14</v>
      </c>
      <c r="B18" s="9" t="inlineStr">
        <is>
          <t>OLT → ODF-96</t>
        </is>
      </c>
      <c r="C18" s="9" t="inlineStr">
        <is>
          <t>OLT PON-14</t>
        </is>
      </c>
      <c r="D18" s="9" t="inlineStr">
        <is>
          <t>ODF-96 nửa B cổng 42 (H4-C6)</t>
        </is>
      </c>
      <c r="E18" s="13" t="inlineStr">
        <is>
          <t>Đầu vào splitter 1:4 S4-14</t>
        </is>
      </c>
      <c r="F18" s="9" t="inlineStr">
        <is>
          <t>Chưa cắm</t>
        </is>
      </c>
    </row>
    <row r="19">
      <c r="A19" s="9" t="n">
        <v>15</v>
      </c>
      <c r="B19" s="9" t="inlineStr">
        <is>
          <t>OLT → ODF-96</t>
        </is>
      </c>
      <c r="C19" s="9" t="inlineStr">
        <is>
          <t>OLT PON-15</t>
        </is>
      </c>
      <c r="D19" s="9" t="inlineStr">
        <is>
          <t>ODF-96 nửa B cổng 43 (H4-C7)</t>
        </is>
      </c>
      <c r="E19" s="13" t="inlineStr">
        <is>
          <t>Đầu vào splitter 1:4 S4-15</t>
        </is>
      </c>
      <c r="F19" s="9" t="inlineStr">
        <is>
          <t>Chưa cắm</t>
        </is>
      </c>
    </row>
    <row r="20">
      <c r="A20" s="9" t="n">
        <v>16</v>
      </c>
      <c r="B20" s="9" t="inlineStr">
        <is>
          <t>OLT → ODF-96</t>
        </is>
      </c>
      <c r="C20" s="9" t="inlineStr">
        <is>
          <t>OLT PON-16</t>
        </is>
      </c>
      <c r="D20" s="9" t="inlineStr">
        <is>
          <t>ODF-96 nửa B cổng 44 (H4-C8)</t>
        </is>
      </c>
      <c r="E20" s="13" t="inlineStr">
        <is>
          <t>Đầu vào splitter 1:4 S4-16</t>
        </is>
      </c>
      <c r="F20" s="9" t="inlineStr">
        <is>
          <t>Chưa cắm</t>
        </is>
      </c>
    </row>
    <row r="21">
      <c r="A21" s="9" t="n">
        <v>17</v>
      </c>
      <c r="B21" s="9" t="inlineStr">
        <is>
          <t>ODF-96 → ODF-48</t>
        </is>
      </c>
      <c r="C21" s="9" t="inlineStr">
        <is>
          <t>ODF-96 nửa A cổng 1 (H1-C1)</t>
        </is>
      </c>
      <c r="D21" s="9" t="inlineStr">
        <is>
          <t>ODF-02 khay Trái H1-C1 (sợi 1 TR-A1)</t>
        </is>
      </c>
      <c r="E21" s="13" t="inlineStr">
        <is>
          <t>TU-A2/S1 · tầng 1 · PON-01 · 12 hộ</t>
        </is>
      </c>
      <c r="F21" s="9" t="inlineStr">
        <is>
          <t>Chưa cắm</t>
        </is>
      </c>
    </row>
    <row r="22">
      <c r="A22" s="9" t="n">
        <v>18</v>
      </c>
      <c r="B22" s="9" t="inlineStr">
        <is>
          <t>ODF-96 → ODF-48</t>
        </is>
      </c>
      <c r="C22" s="9" t="inlineStr">
        <is>
          <t>ODF-96 nửa A cổng 2 (H1-C2)</t>
        </is>
      </c>
      <c r="D22" s="9" t="inlineStr">
        <is>
          <t>ODF-02 khay Trái H1-C2 (sợi 2 TR-A1)</t>
        </is>
      </c>
      <c r="E22" s="13" t="inlineStr">
        <is>
          <t>TU-A2/S2 · tầng 2 · PON-01 · 14 hộ</t>
        </is>
      </c>
      <c r="F22" s="9" t="inlineStr">
        <is>
          <t>Chưa cắm</t>
        </is>
      </c>
    </row>
    <row r="23">
      <c r="A23" s="9" t="n">
        <v>19</v>
      </c>
      <c r="B23" s="9" t="inlineStr">
        <is>
          <t>ODF-96 → ODF-48</t>
        </is>
      </c>
      <c r="C23" s="9" t="inlineStr">
        <is>
          <t>ODF-96 nửa A cổng 3 (H1-C3)</t>
        </is>
      </c>
      <c r="D23" s="9" t="inlineStr">
        <is>
          <t>ODF-02 khay Trái H1-C3 (sợi 3 TR-A1)</t>
        </is>
      </c>
      <c r="E23" s="13" t="inlineStr">
        <is>
          <t>TU-A2/S3 · tầng 2 · PON-01 · 13 hộ</t>
        </is>
      </c>
      <c r="F23" s="9" t="inlineStr">
        <is>
          <t>Chưa cắm</t>
        </is>
      </c>
    </row>
    <row r="24">
      <c r="A24" s="9" t="n">
        <v>20</v>
      </c>
      <c r="B24" s="9" t="inlineStr">
        <is>
          <t>ODF-96 → ODF-48</t>
        </is>
      </c>
      <c r="C24" s="9" t="inlineStr">
        <is>
          <t>ODF-96 nửa A cổng 5 (H1-C5)</t>
        </is>
      </c>
      <c r="D24" s="9" t="inlineStr">
        <is>
          <t>ODF-02 khay Trái H2-C3 (sợi 9 TR-A1)</t>
        </is>
      </c>
      <c r="E24" s="13" t="inlineStr">
        <is>
          <t>TU-A5/S1 · tầng 3 · PON-02 · 10 hộ</t>
        </is>
      </c>
      <c r="F24" s="9" t="inlineStr">
        <is>
          <t>Chưa cắm</t>
        </is>
      </c>
    </row>
    <row r="25">
      <c r="A25" s="9" t="n">
        <v>21</v>
      </c>
      <c r="B25" s="9" t="inlineStr">
        <is>
          <t>ODF-96 → ODF-48</t>
        </is>
      </c>
      <c r="C25" s="9" t="inlineStr">
        <is>
          <t>ODF-96 nửa A cổng 6 (H1-C6)</t>
        </is>
      </c>
      <c r="D25" s="9" t="inlineStr">
        <is>
          <t>ODF-02 khay Trái H2-C4 (sợi 10 TR-A1)</t>
        </is>
      </c>
      <c r="E25" s="13" t="inlineStr">
        <is>
          <t>TU-A5/S2 · tầng 3 · PON-02 · 10 hộ</t>
        </is>
      </c>
      <c r="F25" s="9" t="inlineStr">
        <is>
          <t>Chưa cắm</t>
        </is>
      </c>
    </row>
    <row r="26">
      <c r="A26" s="9" t="n">
        <v>22</v>
      </c>
      <c r="B26" s="9" t="inlineStr">
        <is>
          <t>ODF-96 → ODF-48</t>
        </is>
      </c>
      <c r="C26" s="9" t="inlineStr">
        <is>
          <t>ODF-96 nửa A cổng 7 (H1-C7)</t>
        </is>
      </c>
      <c r="D26" s="9" t="inlineStr">
        <is>
          <t>ODF-02 khay Trái H2-C5 (sợi 11 TR-A1)</t>
        </is>
      </c>
      <c r="E26" s="13" t="inlineStr">
        <is>
          <t>TU-A5/S3 · tầng 4 · PON-02 · 15 hộ</t>
        </is>
      </c>
      <c r="F26" s="9" t="inlineStr">
        <is>
          <t>Chưa cắm</t>
        </is>
      </c>
    </row>
    <row r="27">
      <c r="A27" s="9" t="n">
        <v>23</v>
      </c>
      <c r="B27" s="9" t="inlineStr">
        <is>
          <t>ODF-96 → ODF-48</t>
        </is>
      </c>
      <c r="C27" s="9" t="inlineStr">
        <is>
          <t>ODF-96 nửa A cổng 9 (H1-C9)</t>
        </is>
      </c>
      <c r="D27" s="9" t="inlineStr">
        <is>
          <t>ODF-02 khay Trái H3-C5 (sợi 17 TR-A1)</t>
        </is>
      </c>
      <c r="E27" s="13" t="inlineStr">
        <is>
          <t>TU-A7/S1 · tầng 5 · PON-03 · 15 hộ</t>
        </is>
      </c>
      <c r="F27" s="9" t="inlineStr">
        <is>
          <t>Chưa cắm</t>
        </is>
      </c>
    </row>
    <row r="28">
      <c r="A28" s="9" t="n">
        <v>24</v>
      </c>
      <c r="B28" s="9" t="inlineStr">
        <is>
          <t>ODF-96 → ODF-48</t>
        </is>
      </c>
      <c r="C28" s="9" t="inlineStr">
        <is>
          <t>ODF-96 nửa A cổng 10 (H1-C10)</t>
        </is>
      </c>
      <c r="D28" s="9" t="inlineStr">
        <is>
          <t>ODF-02 khay Trái H3-C6 (sợi 18 TR-A1)</t>
        </is>
      </c>
      <c r="E28" s="13" t="inlineStr">
        <is>
          <t>TU-A7/S2 · tầng 6 · PON-03 · 15 hộ</t>
        </is>
      </c>
      <c r="F28" s="9" t="inlineStr">
        <is>
          <t>Chưa cắm</t>
        </is>
      </c>
    </row>
    <row r="29">
      <c r="A29" s="9" t="n">
        <v>25</v>
      </c>
      <c r="B29" s="9" t="inlineStr">
        <is>
          <t>ODF-96 → ODF-48</t>
        </is>
      </c>
      <c r="C29" s="9" t="inlineStr">
        <is>
          <t>ODF-96 nửa A cổng 11 (H1-C11)</t>
        </is>
      </c>
      <c r="D29" s="9" t="inlineStr">
        <is>
          <t>ODF-02 khay Trái H4-C1 (sợi 19 TR-A1)</t>
        </is>
      </c>
      <c r="E29" s="13" t="inlineStr">
        <is>
          <t>TU-A7/S3 · tầng 7 · PON-03 · 15 hộ</t>
        </is>
      </c>
      <c r="F29" s="9" t="inlineStr">
        <is>
          <t>Chưa cắm</t>
        </is>
      </c>
    </row>
    <row r="30">
      <c r="A30" s="9" t="n">
        <v>26</v>
      </c>
      <c r="B30" s="9" t="inlineStr">
        <is>
          <t>ODF-96 → ODF-48</t>
        </is>
      </c>
      <c r="C30" s="9" t="inlineStr">
        <is>
          <t>ODF-96 nửa A cổng 13 (H2-C1)</t>
        </is>
      </c>
      <c r="D30" s="9" t="inlineStr">
        <is>
          <t>ODF-08/09 khay Trái H1-C1 (sợi 1 TR-A2)</t>
        </is>
      </c>
      <c r="E30" s="13" t="inlineStr">
        <is>
          <t>TU-A9/S1 · tầng 8 · PON-04 · 15 hộ</t>
        </is>
      </c>
      <c r="F30" s="9" t="inlineStr">
        <is>
          <t>Chưa cắm</t>
        </is>
      </c>
    </row>
    <row r="31">
      <c r="A31" s="9" t="n">
        <v>27</v>
      </c>
      <c r="B31" s="9" t="inlineStr">
        <is>
          <t>ODF-96 → ODF-48</t>
        </is>
      </c>
      <c r="C31" s="9" t="inlineStr">
        <is>
          <t>ODF-96 nửa A cổng 14 (H2-C2)</t>
        </is>
      </c>
      <c r="D31" s="9" t="inlineStr">
        <is>
          <t>ODF-08/09 khay Trái H1-C2 (sợi 2 TR-A2)</t>
        </is>
      </c>
      <c r="E31" s="13" t="inlineStr">
        <is>
          <t>TU-A9/S2 · tầng 9 · PON-04 · 15 hộ</t>
        </is>
      </c>
      <c r="F31" s="9" t="inlineStr">
        <is>
          <t>Chưa cắm</t>
        </is>
      </c>
    </row>
    <row r="32">
      <c r="A32" s="9" t="n">
        <v>28</v>
      </c>
      <c r="B32" s="9" t="inlineStr">
        <is>
          <t>ODF-96 → ODF-48</t>
        </is>
      </c>
      <c r="C32" s="9" t="inlineStr">
        <is>
          <t>ODF-96 nửa A cổng 15 (H2-C3)</t>
        </is>
      </c>
      <c r="D32" s="9" t="inlineStr">
        <is>
          <t>ODF-08/09 khay Trái H1-C3 (sợi 3 TR-A2)</t>
        </is>
      </c>
      <c r="E32" s="13" t="inlineStr">
        <is>
          <t>TU-A9/S3 · tầng 10 · PON-04 · 15 hộ</t>
        </is>
      </c>
      <c r="F32" s="9" t="inlineStr">
        <is>
          <t>Chưa cắm</t>
        </is>
      </c>
    </row>
    <row r="33">
      <c r="A33" s="9" t="n">
        <v>29</v>
      </c>
      <c r="B33" s="9" t="inlineStr">
        <is>
          <t>ODF-96 → ODF-48</t>
        </is>
      </c>
      <c r="C33" s="9" t="inlineStr">
        <is>
          <t>ODF-96 nửa A cổng 17 (H2-C5)</t>
        </is>
      </c>
      <c r="D33" s="9" t="inlineStr">
        <is>
          <t>ODF-08/09 khay Trái H2-C3 (sợi 9 TR-A2)</t>
        </is>
      </c>
      <c r="E33" s="13" t="inlineStr">
        <is>
          <t>TU-A12/S1 · tầng 11 · PON-05 · 15 hộ</t>
        </is>
      </c>
      <c r="F33" s="9" t="inlineStr">
        <is>
          <t>Chưa cắm</t>
        </is>
      </c>
    </row>
    <row r="34">
      <c r="A34" s="9" t="n">
        <v>30</v>
      </c>
      <c r="B34" s="9" t="inlineStr">
        <is>
          <t>ODF-96 → ODF-48</t>
        </is>
      </c>
      <c r="C34" s="9" t="inlineStr">
        <is>
          <t>ODF-96 nửa A cổng 18 (H2-C6)</t>
        </is>
      </c>
      <c r="D34" s="9" t="inlineStr">
        <is>
          <t>ODF-08/09 khay Trái H2-C4 (sợi 10 TR-A2)</t>
        </is>
      </c>
      <c r="E34" s="13" t="inlineStr">
        <is>
          <t>TU-A12/S2 · tầng 12 · PON-05 · 15 hộ</t>
        </is>
      </c>
      <c r="F34" s="9" t="inlineStr">
        <is>
          <t>Chưa cắm</t>
        </is>
      </c>
    </row>
    <row r="35">
      <c r="A35" s="9" t="n">
        <v>31</v>
      </c>
      <c r="B35" s="9" t="inlineStr">
        <is>
          <t>ODF-96 → ODF-48</t>
        </is>
      </c>
      <c r="C35" s="9" t="inlineStr">
        <is>
          <t>ODF-96 nửa A cổng 19 (H2-C7)</t>
        </is>
      </c>
      <c r="D35" s="9" t="inlineStr">
        <is>
          <t>ODF-08/09 khay Trái H2-C5 (sợi 11 TR-A2)</t>
        </is>
      </c>
      <c r="E35" s="13" t="inlineStr">
        <is>
          <t>TU-A12/S3 · tầng 12A · PON-05 · 14 hộ</t>
        </is>
      </c>
      <c r="F35" s="9" t="inlineStr">
        <is>
          <t>Chưa cắm</t>
        </is>
      </c>
    </row>
    <row r="36">
      <c r="A36" s="9" t="n">
        <v>32</v>
      </c>
      <c r="B36" s="9" t="inlineStr">
        <is>
          <t>ODF-96 → ODF-48</t>
        </is>
      </c>
      <c r="C36" s="9" t="inlineStr">
        <is>
          <t>ODF-96 nửa A cổng 21 (H2-C9)</t>
        </is>
      </c>
      <c r="D36" s="9" t="inlineStr">
        <is>
          <t>ODF-08/09 khay Trái H3-C5 (sợi 17 TR-A2)</t>
        </is>
      </c>
      <c r="E36" s="13" t="inlineStr">
        <is>
          <t>TU-A15/S1 · tầng 14 · PON-06 · 14 hộ</t>
        </is>
      </c>
      <c r="F36" s="9" t="inlineStr">
        <is>
          <t>Chưa cắm</t>
        </is>
      </c>
    </row>
    <row r="37">
      <c r="A37" s="9" t="n">
        <v>33</v>
      </c>
      <c r="B37" s="9" t="inlineStr">
        <is>
          <t>ODF-96 → ODF-48</t>
        </is>
      </c>
      <c r="C37" s="9" t="inlineStr">
        <is>
          <t>ODF-96 nửa A cổng 22 (H2-C10)</t>
        </is>
      </c>
      <c r="D37" s="9" t="inlineStr">
        <is>
          <t>ODF-08/09 khay Trái H3-C6 (sợi 18 TR-A2)</t>
        </is>
      </c>
      <c r="E37" s="13" t="inlineStr">
        <is>
          <t>TU-A15/S2 · tầng 15 · PON-06 · 14 hộ</t>
        </is>
      </c>
      <c r="F37" s="9" t="inlineStr">
        <is>
          <t>Chưa cắm</t>
        </is>
      </c>
    </row>
    <row r="38">
      <c r="A38" s="9" t="n">
        <v>34</v>
      </c>
      <c r="B38" s="9" t="inlineStr">
        <is>
          <t>ODF-96 → ODF-48</t>
        </is>
      </c>
      <c r="C38" s="9" t="inlineStr">
        <is>
          <t>ODF-96 nửa A cổng 23 (H2-C11)</t>
        </is>
      </c>
      <c r="D38" s="9" t="inlineStr">
        <is>
          <t>ODF-08/09 khay Trái H4-C1 (sợi 19 TR-A2)</t>
        </is>
      </c>
      <c r="E38" s="13" t="inlineStr">
        <is>
          <t>TU-A15/S3 · tầng 16 · PON-06 · 14 hộ</t>
        </is>
      </c>
      <c r="F38" s="9" t="inlineStr">
        <is>
          <t>Chưa cắm</t>
        </is>
      </c>
    </row>
    <row r="39">
      <c r="A39" s="9" t="n">
        <v>35</v>
      </c>
      <c r="B39" s="9" t="inlineStr">
        <is>
          <t>ODF-96 → ODF-48</t>
        </is>
      </c>
      <c r="C39" s="9" t="inlineStr">
        <is>
          <t>ODF-96 nửa A cổng 25 (H3-C1)</t>
        </is>
      </c>
      <c r="D39" s="9" t="inlineStr">
        <is>
          <t>ODF-17/18 khay Trái H1-C1 (sợi 1 TR-A3)</t>
        </is>
      </c>
      <c r="E39" s="13" t="inlineStr">
        <is>
          <t>TU-A18/S1 · tầng 17 · PON-07 · 14 hộ</t>
        </is>
      </c>
      <c r="F39" s="9" t="inlineStr">
        <is>
          <t>Chưa cắm</t>
        </is>
      </c>
    </row>
    <row r="40">
      <c r="A40" s="9" t="n">
        <v>36</v>
      </c>
      <c r="B40" s="9" t="inlineStr">
        <is>
          <t>ODF-96 → ODF-48</t>
        </is>
      </c>
      <c r="C40" s="9" t="inlineStr">
        <is>
          <t>ODF-96 nửa A cổng 26 (H3-C2)</t>
        </is>
      </c>
      <c r="D40" s="9" t="inlineStr">
        <is>
          <t>ODF-17/18 khay Trái H1-C2 (sợi 2 TR-A3)</t>
        </is>
      </c>
      <c r="E40" s="13" t="inlineStr">
        <is>
          <t>TU-A18/S2 · tầng 18 · PON-07 · 14 hộ</t>
        </is>
      </c>
      <c r="F40" s="9" t="inlineStr">
        <is>
          <t>Chưa cắm</t>
        </is>
      </c>
    </row>
    <row r="41">
      <c r="A41" s="9" t="n">
        <v>37</v>
      </c>
      <c r="B41" s="9" t="inlineStr">
        <is>
          <t>ODF-96 → ODF-48</t>
        </is>
      </c>
      <c r="C41" s="9" t="inlineStr">
        <is>
          <t>ODF-96 nửa A cổng 27 (H3-C3)</t>
        </is>
      </c>
      <c r="D41" s="9" t="inlineStr">
        <is>
          <t>ODF-17/18 khay Trái H1-C3 (sợi 3 TR-A3)</t>
        </is>
      </c>
      <c r="E41" s="13" t="inlineStr">
        <is>
          <t>TU-A18/S3 · tầng 19 · PON-07 · 14 hộ</t>
        </is>
      </c>
      <c r="F41" s="9" t="inlineStr">
        <is>
          <t>Chưa cắm</t>
        </is>
      </c>
    </row>
    <row r="42">
      <c r="A42" s="9" t="n">
        <v>38</v>
      </c>
      <c r="B42" s="9" t="inlineStr">
        <is>
          <t>ODF-96 → ODF-48</t>
        </is>
      </c>
      <c r="C42" s="9" t="inlineStr">
        <is>
          <t>ODF-96 nửa A cổng 29 (H3-C5)</t>
        </is>
      </c>
      <c r="D42" s="9" t="inlineStr">
        <is>
          <t>ODF-17/18 khay Trái H2-C3 (sợi 9 TR-A3)</t>
        </is>
      </c>
      <c r="E42" s="13" t="inlineStr">
        <is>
          <t>TU-A21/S1 · tầng 20 · PON-08 · 14 hộ</t>
        </is>
      </c>
      <c r="F42" s="9" t="inlineStr">
        <is>
          <t>Chưa cắm</t>
        </is>
      </c>
    </row>
    <row r="43">
      <c r="A43" s="9" t="n">
        <v>39</v>
      </c>
      <c r="B43" s="9" t="inlineStr">
        <is>
          <t>ODF-96 → ODF-48</t>
        </is>
      </c>
      <c r="C43" s="9" t="inlineStr">
        <is>
          <t>ODF-96 nửa A cổng 30 (H3-C6)</t>
        </is>
      </c>
      <c r="D43" s="9" t="inlineStr">
        <is>
          <t>ODF-17/18 khay Trái H2-C4 (sợi 10 TR-A3)</t>
        </is>
      </c>
      <c r="E43" s="13" t="inlineStr">
        <is>
          <t>TU-A21/S2 · tầng 21 · PON-08 · 14 hộ</t>
        </is>
      </c>
      <c r="F43" s="9" t="inlineStr">
        <is>
          <t>Chưa cắm</t>
        </is>
      </c>
    </row>
    <row r="44">
      <c r="A44" s="9" t="n">
        <v>40</v>
      </c>
      <c r="B44" s="9" t="inlineStr">
        <is>
          <t>ODF-96 → ODF-48</t>
        </is>
      </c>
      <c r="C44" s="9" t="inlineStr">
        <is>
          <t>ODF-96 nửa A cổng 31 (H3-C7)</t>
        </is>
      </c>
      <c r="D44" s="9" t="inlineStr">
        <is>
          <t>ODF-17/18 khay Trái H2-C5 (sợi 11 TR-A3)</t>
        </is>
      </c>
      <c r="E44" s="13" t="inlineStr">
        <is>
          <t>TU-A21/S3 · tầng 22 · PON-08 · 14 hộ</t>
        </is>
      </c>
      <c r="F44" s="9" t="inlineStr">
        <is>
          <t>Chưa cắm</t>
        </is>
      </c>
    </row>
    <row r="45">
      <c r="A45" s="9" t="n">
        <v>41</v>
      </c>
      <c r="B45" s="9" t="inlineStr">
        <is>
          <t>ODF-96 → ODF-48</t>
        </is>
      </c>
      <c r="C45" s="9" t="inlineStr">
        <is>
          <t>ODF-96 nửa A cổng 32 (H3-C8)</t>
        </is>
      </c>
      <c r="D45" s="9" t="inlineStr">
        <is>
          <t>ODF-17/18 khay Trái H3-C5 (sợi 17 TR-A3)</t>
        </is>
      </c>
      <c r="E45" s="13" t="inlineStr">
        <is>
          <t>TU-A23/S1 · tầng 23 · PON-08 · 14 hộ</t>
        </is>
      </c>
      <c r="F45" s="9" t="inlineStr">
        <is>
          <t>Chưa cắm</t>
        </is>
      </c>
    </row>
    <row r="46">
      <c r="A46" s="9" t="n">
        <v>42</v>
      </c>
      <c r="B46" s="9" t="inlineStr">
        <is>
          <t>ODF-96 → ODF-48</t>
        </is>
      </c>
      <c r="C46" s="9" t="inlineStr">
        <is>
          <t>ODF-96 nửa B cổng 1 (H1-C1)</t>
        </is>
      </c>
      <c r="D46" s="9" t="inlineStr">
        <is>
          <t>ODF-02 khay Phải H1-C1 (sợi 1 TR-B1)</t>
        </is>
      </c>
      <c r="E46" s="13" t="inlineStr">
        <is>
          <t>TU-B2/S1 · tầng 1 · PON-09 · 9 hộ</t>
        </is>
      </c>
      <c r="F46" s="9" t="inlineStr">
        <is>
          <t>Chưa cắm</t>
        </is>
      </c>
    </row>
    <row r="47">
      <c r="A47" s="9" t="n">
        <v>43</v>
      </c>
      <c r="B47" s="9" t="inlineStr">
        <is>
          <t>ODF-96 → ODF-48</t>
        </is>
      </c>
      <c r="C47" s="9" t="inlineStr">
        <is>
          <t>ODF-96 nửa B cổng 2 (H1-C2)</t>
        </is>
      </c>
      <c r="D47" s="9" t="inlineStr">
        <is>
          <t>ODF-02 khay Phải H1-C2 (sợi 2 TR-B1)</t>
        </is>
      </c>
      <c r="E47" s="13" t="inlineStr">
        <is>
          <t>TU-B2/S2 · tầng 2 · PON-09 · 11 hộ</t>
        </is>
      </c>
      <c r="F47" s="9" t="inlineStr">
        <is>
          <t>Chưa cắm</t>
        </is>
      </c>
    </row>
    <row r="48">
      <c r="A48" s="9" t="n">
        <v>44</v>
      </c>
      <c r="B48" s="9" t="inlineStr">
        <is>
          <t>ODF-96 → ODF-48</t>
        </is>
      </c>
      <c r="C48" s="9" t="inlineStr">
        <is>
          <t>ODF-96 nửa B cổng 3 (H1-C3)</t>
        </is>
      </c>
      <c r="D48" s="9" t="inlineStr">
        <is>
          <t>ODF-02 khay Phải H1-C3 (sợi 3 TR-B1)</t>
        </is>
      </c>
      <c r="E48" s="13" t="inlineStr">
        <is>
          <t>TU-B2/S3 · tầng 2 · PON-09 · 11 hộ</t>
        </is>
      </c>
      <c r="F48" s="9" t="inlineStr">
        <is>
          <t>Chưa cắm</t>
        </is>
      </c>
    </row>
    <row r="49">
      <c r="A49" s="9" t="n">
        <v>45</v>
      </c>
      <c r="B49" s="9" t="inlineStr">
        <is>
          <t>ODF-96 → ODF-48</t>
        </is>
      </c>
      <c r="C49" s="9" t="inlineStr">
        <is>
          <t>ODF-96 nửa B cổng 5 (H1-C5)</t>
        </is>
      </c>
      <c r="D49" s="9" t="inlineStr">
        <is>
          <t>ODF-02 khay Phải H1-C4 (sợi 4 TR-B1)</t>
        </is>
      </c>
      <c r="E49" s="13" t="inlineStr">
        <is>
          <t>TU-B2/S4 · tầng 3 · PON-10 · 9 hộ</t>
        </is>
      </c>
      <c r="F49" s="9" t="inlineStr">
        <is>
          <t>Chưa cắm</t>
        </is>
      </c>
    </row>
    <row r="50">
      <c r="A50" s="9" t="n">
        <v>46</v>
      </c>
      <c r="B50" s="9" t="inlineStr">
        <is>
          <t>ODF-96 → ODF-48</t>
        </is>
      </c>
      <c r="C50" s="9" t="inlineStr">
        <is>
          <t>ODF-96 nửa B cổng 6 (H1-C6)</t>
        </is>
      </c>
      <c r="D50" s="9" t="inlineStr">
        <is>
          <t>ODF-02 khay Phải H1-C5 (sợi 5 TR-B1)</t>
        </is>
      </c>
      <c r="E50" s="13" t="inlineStr">
        <is>
          <t>TU-B2/S5 · tầng 3 · PON-10 · 8 hộ</t>
        </is>
      </c>
      <c r="F50" s="9" t="inlineStr">
        <is>
          <t>Chưa cắm</t>
        </is>
      </c>
    </row>
    <row r="51">
      <c r="A51" s="9" t="n">
        <v>47</v>
      </c>
      <c r="B51" s="9" t="inlineStr">
        <is>
          <t>ODF-96 → ODF-48</t>
        </is>
      </c>
      <c r="C51" s="9" t="inlineStr">
        <is>
          <t>ODF-96 nửa B cổng 7 (H1-C7)</t>
        </is>
      </c>
      <c r="D51" s="9" t="inlineStr">
        <is>
          <t>ODF-02 khay Phải H2-C3 (sợi 9 TR-B1)</t>
        </is>
      </c>
      <c r="E51" s="13" t="inlineStr">
        <is>
          <t>TU-B5/S1 · tầng 4 · PON-10 · 14 hộ</t>
        </is>
      </c>
      <c r="F51" s="9" t="inlineStr">
        <is>
          <t>Chưa cắm</t>
        </is>
      </c>
    </row>
    <row r="52">
      <c r="A52" s="9" t="n">
        <v>48</v>
      </c>
      <c r="B52" s="9" t="inlineStr">
        <is>
          <t>ODF-96 → ODF-48</t>
        </is>
      </c>
      <c r="C52" s="9" t="inlineStr">
        <is>
          <t>ODF-96 nửa B cổng 9 (H1-C9)</t>
        </is>
      </c>
      <c r="D52" s="9" t="inlineStr">
        <is>
          <t>ODF-02 khay Phải H2-C4 (sợi 10 TR-B1)</t>
        </is>
      </c>
      <c r="E52" s="13" t="inlineStr">
        <is>
          <t>TU-B5/S2 · tầng 5 · PON-11 · 14 hộ</t>
        </is>
      </c>
      <c r="F52" s="9" t="inlineStr">
        <is>
          <t>Chưa cắm</t>
        </is>
      </c>
    </row>
    <row r="53">
      <c r="A53" s="9" t="n">
        <v>49</v>
      </c>
      <c r="B53" s="9" t="inlineStr">
        <is>
          <t>ODF-96 → ODF-48</t>
        </is>
      </c>
      <c r="C53" s="9" t="inlineStr">
        <is>
          <t>ODF-96 nửa B cổng 10 (H1-C10)</t>
        </is>
      </c>
      <c r="D53" s="9" t="inlineStr">
        <is>
          <t>ODF-02 khay Phải H2-C5 (sợi 11 TR-B1)</t>
        </is>
      </c>
      <c r="E53" s="13" t="inlineStr">
        <is>
          <t>TU-B5/S3 · tầng 6 · PON-11 · 14 hộ</t>
        </is>
      </c>
      <c r="F53" s="9" t="inlineStr">
        <is>
          <t>Chưa cắm</t>
        </is>
      </c>
    </row>
    <row r="54">
      <c r="A54" s="9" t="n">
        <v>50</v>
      </c>
      <c r="B54" s="9" t="inlineStr">
        <is>
          <t>ODF-96 → ODF-48</t>
        </is>
      </c>
      <c r="C54" s="9" t="inlineStr">
        <is>
          <t>ODF-96 nửa B cổng 11 (H1-C11)</t>
        </is>
      </c>
      <c r="D54" s="9" t="inlineStr">
        <is>
          <t>ODF-08/09 khay Phải H1-C1 (sợi 1 TR-B2)</t>
        </is>
      </c>
      <c r="E54" s="13" t="inlineStr">
        <is>
          <t>TU-B8/S1 · tầng 7 · PON-11 · 14 hộ</t>
        </is>
      </c>
      <c r="F54" s="9" t="inlineStr">
        <is>
          <t>Chưa cắm</t>
        </is>
      </c>
    </row>
    <row r="55">
      <c r="A55" s="9" t="n">
        <v>51</v>
      </c>
      <c r="B55" s="9" t="inlineStr">
        <is>
          <t>ODF-96 → ODF-48</t>
        </is>
      </c>
      <c r="C55" s="9" t="inlineStr">
        <is>
          <t>ODF-96 nửa B cổng 13 (H2-C1)</t>
        </is>
      </c>
      <c r="D55" s="9" t="inlineStr">
        <is>
          <t>ODF-08/09 khay Phải H1-C2 (sợi 2 TR-B2)</t>
        </is>
      </c>
      <c r="E55" s="13" t="inlineStr">
        <is>
          <t>TU-B8/S2 · tầng 8 · PON-12 · 14 hộ</t>
        </is>
      </c>
      <c r="F55" s="9" t="inlineStr">
        <is>
          <t>Chưa cắm</t>
        </is>
      </c>
    </row>
    <row r="56">
      <c r="A56" s="9" t="n">
        <v>52</v>
      </c>
      <c r="B56" s="9" t="inlineStr">
        <is>
          <t>ODF-96 → ODF-48</t>
        </is>
      </c>
      <c r="C56" s="9" t="inlineStr">
        <is>
          <t>ODF-96 nửa B cổng 14 (H2-C2)</t>
        </is>
      </c>
      <c r="D56" s="9" t="inlineStr">
        <is>
          <t>ODF-08/09 khay Phải H1-C3 (sợi 3 TR-B2)</t>
        </is>
      </c>
      <c r="E56" s="13" t="inlineStr">
        <is>
          <t>TU-B8/S3 · tầng 9 · PON-12 · 14 hộ</t>
        </is>
      </c>
      <c r="F56" s="9" t="inlineStr">
        <is>
          <t>Chưa cắm</t>
        </is>
      </c>
    </row>
    <row r="57">
      <c r="A57" s="9" t="n">
        <v>53</v>
      </c>
      <c r="B57" s="9" t="inlineStr">
        <is>
          <t>ODF-96 → ODF-48</t>
        </is>
      </c>
      <c r="C57" s="9" t="inlineStr">
        <is>
          <t>ODF-96 nửa B cổng 15 (H2-C3)</t>
        </is>
      </c>
      <c r="D57" s="9" t="inlineStr">
        <is>
          <t>ODF-08/09 khay Phải H2-C3 (sợi 9 TR-B2)</t>
        </is>
      </c>
      <c r="E57" s="13" t="inlineStr">
        <is>
          <t>TU-B11/S1 · tầng 10 · PON-12 · 14 hộ</t>
        </is>
      </c>
      <c r="F57" s="9" t="inlineStr">
        <is>
          <t>Chưa cắm</t>
        </is>
      </c>
    </row>
    <row r="58">
      <c r="A58" s="9" t="n">
        <v>54</v>
      </c>
      <c r="B58" s="9" t="inlineStr">
        <is>
          <t>ODF-96 → ODF-48</t>
        </is>
      </c>
      <c r="C58" s="9" t="inlineStr">
        <is>
          <t>ODF-96 nửa B cổng 17 (H2-C5)</t>
        </is>
      </c>
      <c r="D58" s="9" t="inlineStr">
        <is>
          <t>ODF-08/09 khay Phải H2-C4 (sợi 10 TR-B2)</t>
        </is>
      </c>
      <c r="E58" s="13" t="inlineStr">
        <is>
          <t>TU-B11/S2 · tầng 11 · PON-13 · 14 hộ</t>
        </is>
      </c>
      <c r="F58" s="9" t="inlineStr">
        <is>
          <t>Chưa cắm</t>
        </is>
      </c>
    </row>
    <row r="59">
      <c r="A59" s="9" t="n">
        <v>55</v>
      </c>
      <c r="B59" s="9" t="inlineStr">
        <is>
          <t>ODF-96 → ODF-48</t>
        </is>
      </c>
      <c r="C59" s="9" t="inlineStr">
        <is>
          <t>ODF-96 nửa B cổng 18 (H2-C6)</t>
        </is>
      </c>
      <c r="D59" s="9" t="inlineStr">
        <is>
          <t>ODF-08/09 khay Phải H2-C5 (sợi 11 TR-B2)</t>
        </is>
      </c>
      <c r="E59" s="13" t="inlineStr">
        <is>
          <t>TU-B11/S3 · tầng 12 · PON-13 · 14 hộ</t>
        </is>
      </c>
      <c r="F59" s="9" t="inlineStr">
        <is>
          <t>Chưa cắm</t>
        </is>
      </c>
    </row>
    <row r="60">
      <c r="A60" s="9" t="n">
        <v>56</v>
      </c>
      <c r="B60" s="9" t="inlineStr">
        <is>
          <t>ODF-96 → ODF-48</t>
        </is>
      </c>
      <c r="C60" s="9" t="inlineStr">
        <is>
          <t>ODF-96 nửa B cổng 19 (H2-C7)</t>
        </is>
      </c>
      <c r="D60" s="9" t="inlineStr">
        <is>
          <t>ODF-08/09 khay Phải H3-C5 (sợi 17 TR-B2)</t>
        </is>
      </c>
      <c r="E60" s="13" t="inlineStr">
        <is>
          <t>TU-B14/S1 · tầng 12A · PON-13 · 14 hộ</t>
        </is>
      </c>
      <c r="F60" s="9" t="inlineStr">
        <is>
          <t>Chưa cắm</t>
        </is>
      </c>
    </row>
    <row r="61">
      <c r="A61" s="9" t="n">
        <v>57</v>
      </c>
      <c r="B61" s="9" t="inlineStr">
        <is>
          <t>ODF-96 → ODF-48</t>
        </is>
      </c>
      <c r="C61" s="9" t="inlineStr">
        <is>
          <t>ODF-96 nửa B cổng 21 (H2-C9)</t>
        </is>
      </c>
      <c r="D61" s="9" t="inlineStr">
        <is>
          <t>ODF-08/09 khay Phải H3-C6 (sợi 18 TR-B2)</t>
        </is>
      </c>
      <c r="E61" s="13" t="inlineStr">
        <is>
          <t>TU-B14/S2 · tầng 14 · PON-14 · 14 hộ</t>
        </is>
      </c>
      <c r="F61" s="9" t="inlineStr">
        <is>
          <t>Chưa cắm</t>
        </is>
      </c>
    </row>
    <row r="62">
      <c r="A62" s="9" t="n">
        <v>58</v>
      </c>
      <c r="B62" s="9" t="inlineStr">
        <is>
          <t>ODF-96 → ODF-48</t>
        </is>
      </c>
      <c r="C62" s="9" t="inlineStr">
        <is>
          <t>ODF-96 nửa B cổng 22 (H2-C10)</t>
        </is>
      </c>
      <c r="D62" s="9" t="inlineStr">
        <is>
          <t>ODF-08/09 khay Phải H4-C1 (sợi 19 TR-B2)</t>
        </is>
      </c>
      <c r="E62" s="13" t="inlineStr">
        <is>
          <t>TU-B14/S3 · tầng 15 · PON-14 · 14 hộ</t>
        </is>
      </c>
      <c r="F62" s="9" t="inlineStr">
        <is>
          <t>Chưa cắm</t>
        </is>
      </c>
    </row>
    <row r="63">
      <c r="A63" s="9" t="n">
        <v>59</v>
      </c>
      <c r="B63" s="9" t="inlineStr">
        <is>
          <t>ODF-96 → ODF-48</t>
        </is>
      </c>
      <c r="C63" s="9" t="inlineStr">
        <is>
          <t>ODF-96 nửa B cổng 23 (H2-C11)</t>
        </is>
      </c>
      <c r="D63" s="9" t="inlineStr">
        <is>
          <t>ODF-17/18 khay Phải H1-C1 (sợi 1 TR-B3)</t>
        </is>
      </c>
      <c r="E63" s="13" t="inlineStr">
        <is>
          <t>TU-B17/S1 · tầng 16 · PON-14 · 14 hộ</t>
        </is>
      </c>
      <c r="F63" s="9" t="inlineStr">
        <is>
          <t>Chưa cắm</t>
        </is>
      </c>
    </row>
    <row r="64">
      <c r="A64" s="9" t="n">
        <v>60</v>
      </c>
      <c r="B64" s="9" t="inlineStr">
        <is>
          <t>ODF-96 → ODF-48</t>
        </is>
      </c>
      <c r="C64" s="9" t="inlineStr">
        <is>
          <t>ODF-96 nửa B cổng 25 (H3-C1)</t>
        </is>
      </c>
      <c r="D64" s="9" t="inlineStr">
        <is>
          <t>ODF-17/18 khay Phải H1-C2 (sợi 2 TR-B3)</t>
        </is>
      </c>
      <c r="E64" s="13" t="inlineStr">
        <is>
          <t>TU-B17/S2 · tầng 17 · PON-15 · 14 hộ</t>
        </is>
      </c>
      <c r="F64" s="9" t="inlineStr">
        <is>
          <t>Chưa cắm</t>
        </is>
      </c>
    </row>
    <row r="65">
      <c r="A65" s="9" t="n">
        <v>61</v>
      </c>
      <c r="B65" s="9" t="inlineStr">
        <is>
          <t>ODF-96 → ODF-48</t>
        </is>
      </c>
      <c r="C65" s="9" t="inlineStr">
        <is>
          <t>ODF-96 nửa B cổng 26 (H3-C2)</t>
        </is>
      </c>
      <c r="D65" s="9" t="inlineStr">
        <is>
          <t>ODF-17/18 khay Phải H1-C3 (sợi 3 TR-B3)</t>
        </is>
      </c>
      <c r="E65" s="13" t="inlineStr">
        <is>
          <t>TU-B17/S3 · tầng 18 · PON-15 · 14 hộ</t>
        </is>
      </c>
      <c r="F65" s="9" t="inlineStr">
        <is>
          <t>Chưa cắm</t>
        </is>
      </c>
    </row>
    <row r="66">
      <c r="A66" s="9" t="n">
        <v>62</v>
      </c>
      <c r="B66" s="9" t="inlineStr">
        <is>
          <t>ODF-96 → ODF-48</t>
        </is>
      </c>
      <c r="C66" s="9" t="inlineStr">
        <is>
          <t>ODF-96 nửa B cổng 27 (H3-C3)</t>
        </is>
      </c>
      <c r="D66" s="9" t="inlineStr">
        <is>
          <t>ODF-17/18 khay Phải H2-C3 (sợi 9 TR-B3)</t>
        </is>
      </c>
      <c r="E66" s="13" t="inlineStr">
        <is>
          <t>TU-B20/S1 · tầng 19 · PON-15 · 14 hộ</t>
        </is>
      </c>
      <c r="F66" s="9" t="inlineStr">
        <is>
          <t>Chưa cắm</t>
        </is>
      </c>
    </row>
    <row r="67">
      <c r="A67" s="9" t="n">
        <v>63</v>
      </c>
      <c r="B67" s="9" t="inlineStr">
        <is>
          <t>ODF-96 → ODF-48</t>
        </is>
      </c>
      <c r="C67" s="9" t="inlineStr">
        <is>
          <t>ODF-96 nửa B cổng 29 (H3-C5)</t>
        </is>
      </c>
      <c r="D67" s="9" t="inlineStr">
        <is>
          <t>ODF-17/18 khay Phải H2-C4 (sợi 10 TR-B3)</t>
        </is>
      </c>
      <c r="E67" s="13" t="inlineStr">
        <is>
          <t>TU-B20/S2 · tầng 20 · PON-16 · 14 hộ</t>
        </is>
      </c>
      <c r="F67" s="9" t="inlineStr">
        <is>
          <t>Chưa cắm</t>
        </is>
      </c>
    </row>
    <row r="68">
      <c r="A68" s="9" t="n">
        <v>64</v>
      </c>
      <c r="B68" s="9" t="inlineStr">
        <is>
          <t>ODF-96 → ODF-48</t>
        </is>
      </c>
      <c r="C68" s="9" t="inlineStr">
        <is>
          <t>ODF-96 nửa B cổng 30 (H3-C6)</t>
        </is>
      </c>
      <c r="D68" s="9" t="inlineStr">
        <is>
          <t>ODF-17/18 khay Phải H2-C5 (sợi 11 TR-B3)</t>
        </is>
      </c>
      <c r="E68" s="13" t="inlineStr">
        <is>
          <t>TU-B20/S3 · tầng 21 · PON-16 · 14 hộ</t>
        </is>
      </c>
      <c r="F68" s="9" t="inlineStr">
        <is>
          <t>Chưa cắm</t>
        </is>
      </c>
    </row>
    <row r="69">
      <c r="A69" s="9" t="n">
        <v>65</v>
      </c>
      <c r="B69" s="9" t="inlineStr">
        <is>
          <t>ODF-96 → ODF-48</t>
        </is>
      </c>
      <c r="C69" s="9" t="inlineStr">
        <is>
          <t>ODF-96 nửa B cổng 31 (H3-C7)</t>
        </is>
      </c>
      <c r="D69" s="9" t="inlineStr">
        <is>
          <t>ODF-17/18 khay Phải H3-C5 (sợi 17 TR-B3)</t>
        </is>
      </c>
      <c r="E69" s="13" t="inlineStr">
        <is>
          <t>TU-B23/S1 · tầng 22 · PON-16 · 14 hộ</t>
        </is>
      </c>
      <c r="F69" s="9" t="inlineStr">
        <is>
          <t>Chưa cắm</t>
        </is>
      </c>
    </row>
    <row r="70">
      <c r="A70" s="9" t="n">
        <v>66</v>
      </c>
      <c r="B70" s="9" t="inlineStr">
        <is>
          <t>ODF-96 → ODF-48</t>
        </is>
      </c>
      <c r="C70" s="9" t="inlineStr">
        <is>
          <t>ODF-96 nửa B cổng 32 (H3-C8)</t>
        </is>
      </c>
      <c r="D70" s="9" t="inlineStr">
        <is>
          <t>ODF-17/18 khay Phải H3-C6 (sợi 18 TR-B3)</t>
        </is>
      </c>
      <c r="E70" s="13" t="inlineStr">
        <is>
          <t>TU-B23/S2 · tầng 23 · PON-16 · 14 hộ</t>
        </is>
      </c>
      <c r="F70" s="9" t="inlineStr">
        <is>
          <t>Chưa cắm</t>
        </is>
      </c>
    </row>
  </sheetData>
  <autoFilter ref="A4:F70"/>
  <dataValidations count="1">
    <dataValidation sqref="F5:F70" showDropDown="0" showInputMessage="0" showErrorMessage="0" allowBlank="0" type="list">
      <formula1>"Chưa cắm,Đã cắm,Đã kiểm tra"</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1E9E5A"/>
    <outlinePr summaryBelow="1" summaryRight="1"/>
    <pageSetUpPr fitToPage="1"/>
  </sheetPr>
  <dimension ref="A1:U6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6" customWidth="1" min="3" max="3"/>
    <col width="6" customWidth="1" min="4" max="4"/>
    <col width="12" customWidth="1" min="5" max="5"/>
    <col width="15" customWidth="1" min="6" max="6"/>
    <col width="9" customWidth="1" min="7" max="7"/>
    <col width="10" customWidth="1" min="8" max="8"/>
    <col width="10" customWidth="1" min="9" max="9"/>
    <col width="22" customWidth="1" min="10" max="10"/>
    <col width="12" customWidth="1" min="11" max="11"/>
    <col width="11" customWidth="1" min="12" max="12"/>
    <col width="9" customWidth="1" min="13" max="13"/>
    <col width="13" customWidth="1" min="14" max="14"/>
    <col width="24" customWidth="1" min="15" max="15"/>
    <col width="12" customWidth="1" min="16" max="16"/>
    <col width="78" customWidth="1" min="17" max="17"/>
    <col width="11" customWidth="1" min="18" max="18"/>
    <col width="8" customWidth="1" min="19" max="19"/>
    <col width="12" customWidth="1" min="20" max="20"/>
    <col width="11" customWidth="1" min="21" max="21"/>
  </cols>
  <sheetData>
    <row r="1" ht="36" customHeight="1">
      <c r="A1" s="7" t="inlineStr">
        <is>
          <t>Mã căn hộ</t>
        </is>
      </c>
      <c r="B1" s="7" t="inlineStr">
        <is>
          <t>Tháp</t>
        </is>
      </c>
      <c r="C1" s="7" t="inlineStr">
        <is>
          <t>Tầng</t>
        </is>
      </c>
      <c r="D1" s="7" t="inlineStr">
        <is>
          <t>Box</t>
        </is>
      </c>
      <c r="E1" s="7" t="inlineStr">
        <is>
          <t>Tủ phối quang</t>
        </is>
      </c>
      <c r="F1" s="7" t="inlineStr">
        <is>
          <t>Splitter 1:16</t>
        </is>
      </c>
      <c r="G1" s="7" t="inlineStr">
        <is>
          <t>Cổng splitter</t>
        </is>
      </c>
      <c r="H1" s="7" t="inlineStr">
        <is>
          <t>Cáp trục</t>
        </is>
      </c>
      <c r="I1" s="7" t="inlineStr">
        <is>
          <t>Sợi trục (1-24)</t>
        </is>
      </c>
      <c r="J1" s="7" t="inlineStr">
        <is>
          <t>Ống đệm / màu sợi</t>
        </is>
      </c>
      <c r="K1" s="7" t="inlineStr">
        <is>
          <t>Splitter PM 1:4</t>
        </is>
      </c>
      <c r="L1" s="7" t="inlineStr">
        <is>
          <t>ODF-96 cổng ra (nửa-số)</t>
        </is>
      </c>
      <c r="M1" s="7" t="inlineStr">
        <is>
          <t>PON</t>
        </is>
      </c>
      <c r="N1" s="7" t="inlineStr">
        <is>
          <t>Trạng thái</t>
        </is>
      </c>
      <c r="O1" s="7" t="inlineStr">
        <is>
          <t>Serial ONU / Ghi chú</t>
        </is>
      </c>
      <c r="P1" s="7" t="inlineStr">
        <is>
          <t>Ngày lắp</t>
        </is>
      </c>
      <c r="Q1" s="7" t="inlineStr">
        <is>
          <t>Đường quang (tự ghép)</t>
        </is>
      </c>
      <c r="R1" s="7" t="inlineStr">
        <is>
          <t>ODF-48 (trục)</t>
        </is>
      </c>
      <c r="S1" s="7" t="inlineStr">
        <is>
          <t>Khay</t>
        </is>
      </c>
      <c r="T1" s="7" t="inlineStr">
        <is>
          <t>Coupler ODF-48 (hàng-cột)</t>
        </is>
      </c>
      <c r="U1" s="7" t="inlineStr">
        <is>
          <t>ODF-96 cổng vào (nửa-số)</t>
        </is>
      </c>
    </row>
    <row r="2">
      <c r="A2" s="149" t="inlineStr">
        <is>
          <t>A-23-01</t>
        </is>
      </c>
      <c r="B2" s="99" t="inlineStr">
        <is>
          <t>A</t>
        </is>
      </c>
      <c r="C2" s="99" t="inlineStr">
        <is>
          <t>23</t>
        </is>
      </c>
      <c r="D2" s="99" t="n">
        <v>1</v>
      </c>
      <c r="E2" s="99" t="inlineStr">
        <is>
          <t>TU-A23</t>
        </is>
      </c>
      <c r="F2" s="99" t="inlineStr">
        <is>
          <t>TU-A23/S1</t>
        </is>
      </c>
      <c r="G2" s="99" t="n">
        <v>1</v>
      </c>
      <c r="H2" s="99" t="inlineStr">
        <is>
          <t>TR-A3</t>
        </is>
      </c>
      <c r="I2" s="99" t="n">
        <v>17</v>
      </c>
      <c r="J2" s="99" t="inlineStr">
        <is>
          <t>Ống 3 Xanh lá / Xám</t>
        </is>
      </c>
      <c r="K2" s="99" t="inlineStr">
        <is>
          <t>S4-08</t>
        </is>
      </c>
      <c r="L2" s="99" t="inlineStr">
        <is>
          <t>A-32</t>
        </is>
      </c>
      <c r="M2" s="99" t="inlineStr">
        <is>
          <t>PON-08</t>
        </is>
      </c>
      <c r="N2" s="99" t="inlineStr">
        <is>
          <t>Chưa lắp</t>
        </is>
      </c>
      <c r="O2" s="149" t="n"/>
      <c r="P2" s="150" t="n"/>
      <c r="Q2" s="13">
        <f>M2&amp;" &gt; P96#"&amp;U2&amp;" &gt; "&amp;K2&amp;" &gt; P96#"&amp;L2&amp;" &gt; "&amp;R2&amp;" "&amp;S2&amp;" "&amp;T2&amp;" &gt; "&amp;H2&amp;"#"&amp;I2&amp;" &gt; "&amp;F2&amp;" p"&amp;G2</f>
        <v/>
      </c>
      <c r="R2" s="9" t="inlineStr">
        <is>
          <t>ODF-17/18</t>
        </is>
      </c>
      <c r="S2" s="9" t="inlineStr">
        <is>
          <t>Trái</t>
        </is>
      </c>
      <c r="T2" s="9" t="inlineStr">
        <is>
          <t>H3-C5</t>
        </is>
      </c>
      <c r="U2" s="9" t="inlineStr">
        <is>
          <t>A-44</t>
        </is>
      </c>
    </row>
    <row r="3">
      <c r="A3" s="149" t="inlineStr">
        <is>
          <t>A-23-02</t>
        </is>
      </c>
      <c r="B3" s="99" t="inlineStr">
        <is>
          <t>A</t>
        </is>
      </c>
      <c r="C3" s="99" t="inlineStr">
        <is>
          <t>23</t>
        </is>
      </c>
      <c r="D3" s="99" t="n">
        <v>2</v>
      </c>
      <c r="E3" s="99" t="inlineStr">
        <is>
          <t>TU-A23</t>
        </is>
      </c>
      <c r="F3" s="99" t="inlineStr">
        <is>
          <t>TU-A23/S1</t>
        </is>
      </c>
      <c r="G3" s="99" t="n">
        <v>2</v>
      </c>
      <c r="H3" s="99" t="inlineStr">
        <is>
          <t>TR-A3</t>
        </is>
      </c>
      <c r="I3" s="99" t="n">
        <v>17</v>
      </c>
      <c r="J3" s="99" t="inlineStr">
        <is>
          <t>Ống 3 Xanh lá / Xám</t>
        </is>
      </c>
      <c r="K3" s="99" t="inlineStr">
        <is>
          <t>S4-08</t>
        </is>
      </c>
      <c r="L3" s="99" t="inlineStr">
        <is>
          <t>A-32</t>
        </is>
      </c>
      <c r="M3" s="99" t="inlineStr">
        <is>
          <t>PON-08</t>
        </is>
      </c>
      <c r="N3" s="99" t="inlineStr">
        <is>
          <t>Chưa lắp</t>
        </is>
      </c>
      <c r="O3" s="149" t="n"/>
      <c r="P3" s="150" t="n"/>
      <c r="Q3" s="13">
        <f>M3&amp;" &gt; P96#"&amp;U3&amp;" &gt; "&amp;K3&amp;" &gt; P96#"&amp;L3&amp;" &gt; "&amp;R3&amp;" "&amp;S3&amp;" "&amp;T3&amp;" &gt; "&amp;H3&amp;"#"&amp;I3&amp;" &gt; "&amp;F3&amp;" p"&amp;G3</f>
        <v/>
      </c>
      <c r="R3" s="9" t="inlineStr">
        <is>
          <t>ODF-17/18</t>
        </is>
      </c>
      <c r="S3" s="9" t="inlineStr">
        <is>
          <t>Trái</t>
        </is>
      </c>
      <c r="T3" s="9" t="inlineStr">
        <is>
          <t>H3-C5</t>
        </is>
      </c>
      <c r="U3" s="9" t="inlineStr">
        <is>
          <t>A-44</t>
        </is>
      </c>
    </row>
    <row r="4">
      <c r="A4" s="149" t="inlineStr">
        <is>
          <t>A-23-03</t>
        </is>
      </c>
      <c r="B4" s="99" t="inlineStr">
        <is>
          <t>A</t>
        </is>
      </c>
      <c r="C4" s="99" t="inlineStr">
        <is>
          <t>23</t>
        </is>
      </c>
      <c r="D4" s="99" t="n">
        <v>3</v>
      </c>
      <c r="E4" s="99" t="inlineStr">
        <is>
          <t>TU-A23</t>
        </is>
      </c>
      <c r="F4" s="99" t="inlineStr">
        <is>
          <t>TU-A23/S1</t>
        </is>
      </c>
      <c r="G4" s="99" t="n">
        <v>3</v>
      </c>
      <c r="H4" s="99" t="inlineStr">
        <is>
          <t>TR-A3</t>
        </is>
      </c>
      <c r="I4" s="99" t="n">
        <v>17</v>
      </c>
      <c r="J4" s="99" t="inlineStr">
        <is>
          <t>Ống 3 Xanh lá / Xám</t>
        </is>
      </c>
      <c r="K4" s="99" t="inlineStr">
        <is>
          <t>S4-08</t>
        </is>
      </c>
      <c r="L4" s="99" t="inlineStr">
        <is>
          <t>A-32</t>
        </is>
      </c>
      <c r="M4" s="99" t="inlineStr">
        <is>
          <t>PON-08</t>
        </is>
      </c>
      <c r="N4" s="99" t="inlineStr">
        <is>
          <t>Chưa lắp</t>
        </is>
      </c>
      <c r="O4" s="149" t="n"/>
      <c r="P4" s="150" t="n"/>
      <c r="Q4" s="13">
        <f>M4&amp;" &gt; P96#"&amp;U4&amp;" &gt; "&amp;K4&amp;" &gt; P96#"&amp;L4&amp;" &gt; "&amp;R4&amp;" "&amp;S4&amp;" "&amp;T4&amp;" &gt; "&amp;H4&amp;"#"&amp;I4&amp;" &gt; "&amp;F4&amp;" p"&amp;G4</f>
        <v/>
      </c>
      <c r="R4" s="9" t="inlineStr">
        <is>
          <t>ODF-17/18</t>
        </is>
      </c>
      <c r="S4" s="9" t="inlineStr">
        <is>
          <t>Trái</t>
        </is>
      </c>
      <c r="T4" s="9" t="inlineStr">
        <is>
          <t>H3-C5</t>
        </is>
      </c>
      <c r="U4" s="9" t="inlineStr">
        <is>
          <t>A-44</t>
        </is>
      </c>
    </row>
    <row r="5">
      <c r="A5" s="149" t="inlineStr">
        <is>
          <t>A-23-04</t>
        </is>
      </c>
      <c r="B5" s="99" t="inlineStr">
        <is>
          <t>A</t>
        </is>
      </c>
      <c r="C5" s="99" t="inlineStr">
        <is>
          <t>23</t>
        </is>
      </c>
      <c r="D5" s="99" t="n">
        <v>4</v>
      </c>
      <c r="E5" s="99" t="inlineStr">
        <is>
          <t>TU-A23</t>
        </is>
      </c>
      <c r="F5" s="99" t="inlineStr">
        <is>
          <t>TU-A23/S1</t>
        </is>
      </c>
      <c r="G5" s="99" t="n">
        <v>4</v>
      </c>
      <c r="H5" s="99" t="inlineStr">
        <is>
          <t>TR-A3</t>
        </is>
      </c>
      <c r="I5" s="99" t="n">
        <v>17</v>
      </c>
      <c r="J5" s="99" t="inlineStr">
        <is>
          <t>Ống 3 Xanh lá / Xám</t>
        </is>
      </c>
      <c r="K5" s="99" t="inlineStr">
        <is>
          <t>S4-08</t>
        </is>
      </c>
      <c r="L5" s="99" t="inlineStr">
        <is>
          <t>A-32</t>
        </is>
      </c>
      <c r="M5" s="99" t="inlineStr">
        <is>
          <t>PON-08</t>
        </is>
      </c>
      <c r="N5" s="99" t="inlineStr">
        <is>
          <t>Chưa lắp</t>
        </is>
      </c>
      <c r="O5" s="149" t="n"/>
      <c r="P5" s="150" t="n"/>
      <c r="Q5" s="13">
        <f>M5&amp;" &gt; P96#"&amp;U5&amp;" &gt; "&amp;K5&amp;" &gt; P96#"&amp;L5&amp;" &gt; "&amp;R5&amp;" "&amp;S5&amp;" "&amp;T5&amp;" &gt; "&amp;H5&amp;"#"&amp;I5&amp;" &gt; "&amp;F5&amp;" p"&amp;G5</f>
        <v/>
      </c>
      <c r="R5" s="9" t="inlineStr">
        <is>
          <t>ODF-17/18</t>
        </is>
      </c>
      <c r="S5" s="9" t="inlineStr">
        <is>
          <t>Trái</t>
        </is>
      </c>
      <c r="T5" s="9" t="inlineStr">
        <is>
          <t>H3-C5</t>
        </is>
      </c>
      <c r="U5" s="9" t="inlineStr">
        <is>
          <t>A-44</t>
        </is>
      </c>
    </row>
    <row r="6">
      <c r="A6" s="149" t="inlineStr">
        <is>
          <t>A-23-05</t>
        </is>
      </c>
      <c r="B6" s="99" t="inlineStr">
        <is>
          <t>A</t>
        </is>
      </c>
      <c r="C6" s="99" t="inlineStr">
        <is>
          <t>23</t>
        </is>
      </c>
      <c r="D6" s="99" t="n">
        <v>5</v>
      </c>
      <c r="E6" s="99" t="inlineStr">
        <is>
          <t>TU-A23</t>
        </is>
      </c>
      <c r="F6" s="99" t="inlineStr">
        <is>
          <t>TU-A23/S1</t>
        </is>
      </c>
      <c r="G6" s="99" t="n">
        <v>5</v>
      </c>
      <c r="H6" s="99" t="inlineStr">
        <is>
          <t>TR-A3</t>
        </is>
      </c>
      <c r="I6" s="99" t="n">
        <v>17</v>
      </c>
      <c r="J6" s="99" t="inlineStr">
        <is>
          <t>Ống 3 Xanh lá / Xám</t>
        </is>
      </c>
      <c r="K6" s="99" t="inlineStr">
        <is>
          <t>S4-08</t>
        </is>
      </c>
      <c r="L6" s="99" t="inlineStr">
        <is>
          <t>A-32</t>
        </is>
      </c>
      <c r="M6" s="99" t="inlineStr">
        <is>
          <t>PON-08</t>
        </is>
      </c>
      <c r="N6" s="99" t="inlineStr">
        <is>
          <t>Chưa lắp</t>
        </is>
      </c>
      <c r="O6" s="149" t="n"/>
      <c r="P6" s="150" t="n"/>
      <c r="Q6" s="13">
        <f>M6&amp;" &gt; P96#"&amp;U6&amp;" &gt; "&amp;K6&amp;" &gt; P96#"&amp;L6&amp;" &gt; "&amp;R6&amp;" "&amp;S6&amp;" "&amp;T6&amp;" &gt; "&amp;H6&amp;"#"&amp;I6&amp;" &gt; "&amp;F6&amp;" p"&amp;G6</f>
        <v/>
      </c>
      <c r="R6" s="9" t="inlineStr">
        <is>
          <t>ODF-17/18</t>
        </is>
      </c>
      <c r="S6" s="9" t="inlineStr">
        <is>
          <t>Trái</t>
        </is>
      </c>
      <c r="T6" s="9" t="inlineStr">
        <is>
          <t>H3-C5</t>
        </is>
      </c>
      <c r="U6" s="9" t="inlineStr">
        <is>
          <t>A-44</t>
        </is>
      </c>
    </row>
    <row r="7">
      <c r="A7" s="149" t="inlineStr">
        <is>
          <t>A-23-06</t>
        </is>
      </c>
      <c r="B7" s="99" t="inlineStr">
        <is>
          <t>A</t>
        </is>
      </c>
      <c r="C7" s="99" t="inlineStr">
        <is>
          <t>23</t>
        </is>
      </c>
      <c r="D7" s="99" t="n">
        <v>6</v>
      </c>
      <c r="E7" s="99" t="inlineStr">
        <is>
          <t>TU-A23</t>
        </is>
      </c>
      <c r="F7" s="99" t="inlineStr">
        <is>
          <t>TU-A23/S1</t>
        </is>
      </c>
      <c r="G7" s="99" t="n">
        <v>6</v>
      </c>
      <c r="H7" s="99" t="inlineStr">
        <is>
          <t>TR-A3</t>
        </is>
      </c>
      <c r="I7" s="99" t="n">
        <v>17</v>
      </c>
      <c r="J7" s="99" t="inlineStr">
        <is>
          <t>Ống 3 Xanh lá / Xám</t>
        </is>
      </c>
      <c r="K7" s="99" t="inlineStr">
        <is>
          <t>S4-08</t>
        </is>
      </c>
      <c r="L7" s="99" t="inlineStr">
        <is>
          <t>A-32</t>
        </is>
      </c>
      <c r="M7" s="99" t="inlineStr">
        <is>
          <t>PON-08</t>
        </is>
      </c>
      <c r="N7" s="99" t="inlineStr">
        <is>
          <t>Chưa lắp</t>
        </is>
      </c>
      <c r="O7" s="149" t="n"/>
      <c r="P7" s="150" t="n"/>
      <c r="Q7" s="13">
        <f>M7&amp;" &gt; P96#"&amp;U7&amp;" &gt; "&amp;K7&amp;" &gt; P96#"&amp;L7&amp;" &gt; "&amp;R7&amp;" "&amp;S7&amp;" "&amp;T7&amp;" &gt; "&amp;H7&amp;"#"&amp;I7&amp;" &gt; "&amp;F7&amp;" p"&amp;G7</f>
        <v/>
      </c>
      <c r="R7" s="9" t="inlineStr">
        <is>
          <t>ODF-17/18</t>
        </is>
      </c>
      <c r="S7" s="9" t="inlineStr">
        <is>
          <t>Trái</t>
        </is>
      </c>
      <c r="T7" s="9" t="inlineStr">
        <is>
          <t>H3-C5</t>
        </is>
      </c>
      <c r="U7" s="9" t="inlineStr">
        <is>
          <t>A-44</t>
        </is>
      </c>
    </row>
    <row r="8">
      <c r="A8" s="149" t="inlineStr">
        <is>
          <t>A-23-07</t>
        </is>
      </c>
      <c r="B8" s="99" t="inlineStr">
        <is>
          <t>A</t>
        </is>
      </c>
      <c r="C8" s="99" t="inlineStr">
        <is>
          <t>23</t>
        </is>
      </c>
      <c r="D8" s="99" t="n">
        <v>7</v>
      </c>
      <c r="E8" s="99" t="inlineStr">
        <is>
          <t>TU-A23</t>
        </is>
      </c>
      <c r="F8" s="99" t="inlineStr">
        <is>
          <t>TU-A23/S1</t>
        </is>
      </c>
      <c r="G8" s="99" t="n">
        <v>7</v>
      </c>
      <c r="H8" s="99" t="inlineStr">
        <is>
          <t>TR-A3</t>
        </is>
      </c>
      <c r="I8" s="99" t="n">
        <v>17</v>
      </c>
      <c r="J8" s="99" t="inlineStr">
        <is>
          <t>Ống 3 Xanh lá / Xám</t>
        </is>
      </c>
      <c r="K8" s="99" t="inlineStr">
        <is>
          <t>S4-08</t>
        </is>
      </c>
      <c r="L8" s="99" t="inlineStr">
        <is>
          <t>A-32</t>
        </is>
      </c>
      <c r="M8" s="99" t="inlineStr">
        <is>
          <t>PON-08</t>
        </is>
      </c>
      <c r="N8" s="99" t="inlineStr">
        <is>
          <t>Chưa lắp</t>
        </is>
      </c>
      <c r="O8" s="149" t="n"/>
      <c r="P8" s="150" t="n"/>
      <c r="Q8" s="13">
        <f>M8&amp;" &gt; P96#"&amp;U8&amp;" &gt; "&amp;K8&amp;" &gt; P96#"&amp;L8&amp;" &gt; "&amp;R8&amp;" "&amp;S8&amp;" "&amp;T8&amp;" &gt; "&amp;H8&amp;"#"&amp;I8&amp;" &gt; "&amp;F8&amp;" p"&amp;G8</f>
        <v/>
      </c>
      <c r="R8" s="9" t="inlineStr">
        <is>
          <t>ODF-17/18</t>
        </is>
      </c>
      <c r="S8" s="9" t="inlineStr">
        <is>
          <t>Trái</t>
        </is>
      </c>
      <c r="T8" s="9" t="inlineStr">
        <is>
          <t>H3-C5</t>
        </is>
      </c>
      <c r="U8" s="9" t="inlineStr">
        <is>
          <t>A-44</t>
        </is>
      </c>
    </row>
    <row r="9">
      <c r="A9" s="149" t="inlineStr">
        <is>
          <t>A-23-08</t>
        </is>
      </c>
      <c r="B9" s="99" t="inlineStr">
        <is>
          <t>A</t>
        </is>
      </c>
      <c r="C9" s="99" t="inlineStr">
        <is>
          <t>23</t>
        </is>
      </c>
      <c r="D9" s="99" t="n">
        <v>8</v>
      </c>
      <c r="E9" s="99" t="inlineStr">
        <is>
          <t>TU-A23</t>
        </is>
      </c>
      <c r="F9" s="99" t="inlineStr">
        <is>
          <t>TU-A23/S1</t>
        </is>
      </c>
      <c r="G9" s="99" t="n">
        <v>8</v>
      </c>
      <c r="H9" s="99" t="inlineStr">
        <is>
          <t>TR-A3</t>
        </is>
      </c>
      <c r="I9" s="99" t="n">
        <v>17</v>
      </c>
      <c r="J9" s="99" t="inlineStr">
        <is>
          <t>Ống 3 Xanh lá / Xám</t>
        </is>
      </c>
      <c r="K9" s="99" t="inlineStr">
        <is>
          <t>S4-08</t>
        </is>
      </c>
      <c r="L9" s="99" t="inlineStr">
        <is>
          <t>A-32</t>
        </is>
      </c>
      <c r="M9" s="99" t="inlineStr">
        <is>
          <t>PON-08</t>
        </is>
      </c>
      <c r="N9" s="99" t="inlineStr">
        <is>
          <t>Chưa lắp</t>
        </is>
      </c>
      <c r="O9" s="149" t="n"/>
      <c r="P9" s="150" t="n"/>
      <c r="Q9" s="13">
        <f>M9&amp;" &gt; P96#"&amp;U9&amp;" &gt; "&amp;K9&amp;" &gt; P96#"&amp;L9&amp;" &gt; "&amp;R9&amp;" "&amp;S9&amp;" "&amp;T9&amp;" &gt; "&amp;H9&amp;"#"&amp;I9&amp;" &gt; "&amp;F9&amp;" p"&amp;G9</f>
        <v/>
      </c>
      <c r="R9" s="9" t="inlineStr">
        <is>
          <t>ODF-17/18</t>
        </is>
      </c>
      <c r="S9" s="9" t="inlineStr">
        <is>
          <t>Trái</t>
        </is>
      </c>
      <c r="T9" s="9" t="inlineStr">
        <is>
          <t>H3-C5</t>
        </is>
      </c>
      <c r="U9" s="9" t="inlineStr">
        <is>
          <t>A-44</t>
        </is>
      </c>
    </row>
    <row r="10">
      <c r="A10" s="149" t="inlineStr">
        <is>
          <t>A-23-09</t>
        </is>
      </c>
      <c r="B10" s="99" t="inlineStr">
        <is>
          <t>A</t>
        </is>
      </c>
      <c r="C10" s="99" t="inlineStr">
        <is>
          <t>23</t>
        </is>
      </c>
      <c r="D10" s="99" t="n">
        <v>9</v>
      </c>
      <c r="E10" s="99" t="inlineStr">
        <is>
          <t>TU-A23</t>
        </is>
      </c>
      <c r="F10" s="99" t="inlineStr">
        <is>
          <t>TU-A23/S1</t>
        </is>
      </c>
      <c r="G10" s="99" t="n">
        <v>9</v>
      </c>
      <c r="H10" s="99" t="inlineStr">
        <is>
          <t>TR-A3</t>
        </is>
      </c>
      <c r="I10" s="99" t="n">
        <v>17</v>
      </c>
      <c r="J10" s="99" t="inlineStr">
        <is>
          <t>Ống 3 Xanh lá / Xám</t>
        </is>
      </c>
      <c r="K10" s="99" t="inlineStr">
        <is>
          <t>S4-08</t>
        </is>
      </c>
      <c r="L10" s="99" t="inlineStr">
        <is>
          <t>A-32</t>
        </is>
      </c>
      <c r="M10" s="99" t="inlineStr">
        <is>
          <t>PON-08</t>
        </is>
      </c>
      <c r="N10" s="99" t="inlineStr">
        <is>
          <t>Chưa lắp</t>
        </is>
      </c>
      <c r="O10" s="149" t="n"/>
      <c r="P10" s="150" t="n"/>
      <c r="Q10" s="13">
        <f>M10&amp;" &gt; P96#"&amp;U10&amp;" &gt; "&amp;K10&amp;" &gt; P96#"&amp;L10&amp;" &gt; "&amp;R10&amp;" "&amp;S10&amp;" "&amp;T10&amp;" &gt; "&amp;H10&amp;"#"&amp;I10&amp;" &gt; "&amp;F10&amp;" p"&amp;G10</f>
        <v/>
      </c>
      <c r="R10" s="9" t="inlineStr">
        <is>
          <t>ODF-17/18</t>
        </is>
      </c>
      <c r="S10" s="9" t="inlineStr">
        <is>
          <t>Trái</t>
        </is>
      </c>
      <c r="T10" s="9" t="inlineStr">
        <is>
          <t>H3-C5</t>
        </is>
      </c>
      <c r="U10" s="9" t="inlineStr">
        <is>
          <t>A-44</t>
        </is>
      </c>
    </row>
    <row r="11">
      <c r="A11" s="149" t="inlineStr">
        <is>
          <t>A-23-10</t>
        </is>
      </c>
      <c r="B11" s="99" t="inlineStr">
        <is>
          <t>A</t>
        </is>
      </c>
      <c r="C11" s="99" t="inlineStr">
        <is>
          <t>23</t>
        </is>
      </c>
      <c r="D11" s="99" t="n">
        <v>10</v>
      </c>
      <c r="E11" s="99" t="inlineStr">
        <is>
          <t>TU-A23</t>
        </is>
      </c>
      <c r="F11" s="99" t="inlineStr">
        <is>
          <t>TU-A23/S1</t>
        </is>
      </c>
      <c r="G11" s="99" t="n">
        <v>10</v>
      </c>
      <c r="H11" s="99" t="inlineStr">
        <is>
          <t>TR-A3</t>
        </is>
      </c>
      <c r="I11" s="99" t="n">
        <v>17</v>
      </c>
      <c r="J11" s="99" t="inlineStr">
        <is>
          <t>Ống 3 Xanh lá / Xám</t>
        </is>
      </c>
      <c r="K11" s="99" t="inlineStr">
        <is>
          <t>S4-08</t>
        </is>
      </c>
      <c r="L11" s="99" t="inlineStr">
        <is>
          <t>A-32</t>
        </is>
      </c>
      <c r="M11" s="99" t="inlineStr">
        <is>
          <t>PON-08</t>
        </is>
      </c>
      <c r="N11" s="99" t="inlineStr">
        <is>
          <t>Chưa lắp</t>
        </is>
      </c>
      <c r="O11" s="149" t="n"/>
      <c r="P11" s="150" t="n"/>
      <c r="Q11" s="13">
        <f>M11&amp;" &gt; P96#"&amp;U11&amp;" &gt; "&amp;K11&amp;" &gt; P96#"&amp;L11&amp;" &gt; "&amp;R11&amp;" "&amp;S11&amp;" "&amp;T11&amp;" &gt; "&amp;H11&amp;"#"&amp;I11&amp;" &gt; "&amp;F11&amp;" p"&amp;G11</f>
        <v/>
      </c>
      <c r="R11" s="9" t="inlineStr">
        <is>
          <t>ODF-17/18</t>
        </is>
      </c>
      <c r="S11" s="9" t="inlineStr">
        <is>
          <t>Trái</t>
        </is>
      </c>
      <c r="T11" s="9" t="inlineStr">
        <is>
          <t>H3-C5</t>
        </is>
      </c>
      <c r="U11" s="9" t="inlineStr">
        <is>
          <t>A-44</t>
        </is>
      </c>
    </row>
    <row r="12">
      <c r="A12" s="149" t="inlineStr">
        <is>
          <t>A-23-11</t>
        </is>
      </c>
      <c r="B12" s="99" t="inlineStr">
        <is>
          <t>A</t>
        </is>
      </c>
      <c r="C12" s="99" t="inlineStr">
        <is>
          <t>23</t>
        </is>
      </c>
      <c r="D12" s="99" t="n">
        <v>11</v>
      </c>
      <c r="E12" s="99" t="inlineStr">
        <is>
          <t>TU-A23</t>
        </is>
      </c>
      <c r="F12" s="99" t="inlineStr">
        <is>
          <t>TU-A23/S1</t>
        </is>
      </c>
      <c r="G12" s="99" t="n">
        <v>11</v>
      </c>
      <c r="H12" s="99" t="inlineStr">
        <is>
          <t>TR-A3</t>
        </is>
      </c>
      <c r="I12" s="99" t="n">
        <v>17</v>
      </c>
      <c r="J12" s="99" t="inlineStr">
        <is>
          <t>Ống 3 Xanh lá / Xám</t>
        </is>
      </c>
      <c r="K12" s="99" t="inlineStr">
        <is>
          <t>S4-08</t>
        </is>
      </c>
      <c r="L12" s="99" t="inlineStr">
        <is>
          <t>A-32</t>
        </is>
      </c>
      <c r="M12" s="99" t="inlineStr">
        <is>
          <t>PON-08</t>
        </is>
      </c>
      <c r="N12" s="99" t="inlineStr">
        <is>
          <t>Chưa lắp</t>
        </is>
      </c>
      <c r="O12" s="149" t="n"/>
      <c r="P12" s="150" t="n"/>
      <c r="Q12" s="13">
        <f>M12&amp;" &gt; P96#"&amp;U12&amp;" &gt; "&amp;K12&amp;" &gt; P96#"&amp;L12&amp;" &gt; "&amp;R12&amp;" "&amp;S12&amp;" "&amp;T12&amp;" &gt; "&amp;H12&amp;"#"&amp;I12&amp;" &gt; "&amp;F12&amp;" p"&amp;G12</f>
        <v/>
      </c>
      <c r="R12" s="9" t="inlineStr">
        <is>
          <t>ODF-17/18</t>
        </is>
      </c>
      <c r="S12" s="9" t="inlineStr">
        <is>
          <t>Trái</t>
        </is>
      </c>
      <c r="T12" s="9" t="inlineStr">
        <is>
          <t>H3-C5</t>
        </is>
      </c>
      <c r="U12" s="9" t="inlineStr">
        <is>
          <t>A-44</t>
        </is>
      </c>
    </row>
    <row r="13">
      <c r="A13" s="149" t="inlineStr">
        <is>
          <t>A-23-12</t>
        </is>
      </c>
      <c r="B13" s="99" t="inlineStr">
        <is>
          <t>A</t>
        </is>
      </c>
      <c r="C13" s="99" t="inlineStr">
        <is>
          <t>23</t>
        </is>
      </c>
      <c r="D13" s="99" t="n">
        <v>12</v>
      </c>
      <c r="E13" s="99" t="inlineStr">
        <is>
          <t>TU-A23</t>
        </is>
      </c>
      <c r="F13" s="99" t="inlineStr">
        <is>
          <t>TU-A23/S1</t>
        </is>
      </c>
      <c r="G13" s="99" t="n">
        <v>12</v>
      </c>
      <c r="H13" s="99" t="inlineStr">
        <is>
          <t>TR-A3</t>
        </is>
      </c>
      <c r="I13" s="99" t="n">
        <v>17</v>
      </c>
      <c r="J13" s="99" t="inlineStr">
        <is>
          <t>Ống 3 Xanh lá / Xám</t>
        </is>
      </c>
      <c r="K13" s="99" t="inlineStr">
        <is>
          <t>S4-08</t>
        </is>
      </c>
      <c r="L13" s="99" t="inlineStr">
        <is>
          <t>A-32</t>
        </is>
      </c>
      <c r="M13" s="99" t="inlineStr">
        <is>
          <t>PON-08</t>
        </is>
      </c>
      <c r="N13" s="99" t="inlineStr">
        <is>
          <t>Chưa lắp</t>
        </is>
      </c>
      <c r="O13" s="149" t="n"/>
      <c r="P13" s="150" t="n"/>
      <c r="Q13" s="13">
        <f>M13&amp;" &gt; P96#"&amp;U13&amp;" &gt; "&amp;K13&amp;" &gt; P96#"&amp;L13&amp;" &gt; "&amp;R13&amp;" "&amp;S13&amp;" "&amp;T13&amp;" &gt; "&amp;H13&amp;"#"&amp;I13&amp;" &gt; "&amp;F13&amp;" p"&amp;G13</f>
        <v/>
      </c>
      <c r="R13" s="9" t="inlineStr">
        <is>
          <t>ODF-17/18</t>
        </is>
      </c>
      <c r="S13" s="9" t="inlineStr">
        <is>
          <t>Trái</t>
        </is>
      </c>
      <c r="T13" s="9" t="inlineStr">
        <is>
          <t>H3-C5</t>
        </is>
      </c>
      <c r="U13" s="9" t="inlineStr">
        <is>
          <t>A-44</t>
        </is>
      </c>
    </row>
    <row r="14">
      <c r="A14" s="149" t="inlineStr">
        <is>
          <t>A-23-13</t>
        </is>
      </c>
      <c r="B14" s="99" t="inlineStr">
        <is>
          <t>A</t>
        </is>
      </c>
      <c r="C14" s="99" t="inlineStr">
        <is>
          <t>23</t>
        </is>
      </c>
      <c r="D14" s="99" t="n">
        <v>13</v>
      </c>
      <c r="E14" s="99" t="inlineStr">
        <is>
          <t>TU-A23</t>
        </is>
      </c>
      <c r="F14" s="99" t="inlineStr">
        <is>
          <t>TU-A23/S1</t>
        </is>
      </c>
      <c r="G14" s="99" t="n">
        <v>13</v>
      </c>
      <c r="H14" s="99" t="inlineStr">
        <is>
          <t>TR-A3</t>
        </is>
      </c>
      <c r="I14" s="99" t="n">
        <v>17</v>
      </c>
      <c r="J14" s="99" t="inlineStr">
        <is>
          <t>Ống 3 Xanh lá / Xám</t>
        </is>
      </c>
      <c r="K14" s="99" t="inlineStr">
        <is>
          <t>S4-08</t>
        </is>
      </c>
      <c r="L14" s="99" t="inlineStr">
        <is>
          <t>A-32</t>
        </is>
      </c>
      <c r="M14" s="99" t="inlineStr">
        <is>
          <t>PON-08</t>
        </is>
      </c>
      <c r="N14" s="99" t="inlineStr">
        <is>
          <t>Chưa lắp</t>
        </is>
      </c>
      <c r="O14" s="149" t="n"/>
      <c r="P14" s="150" t="n"/>
      <c r="Q14" s="13">
        <f>M14&amp;" &gt; P96#"&amp;U14&amp;" &gt; "&amp;K14&amp;" &gt; P96#"&amp;L14&amp;" &gt; "&amp;R14&amp;" "&amp;S14&amp;" "&amp;T14&amp;" &gt; "&amp;H14&amp;"#"&amp;I14&amp;" &gt; "&amp;F14&amp;" p"&amp;G14</f>
        <v/>
      </c>
      <c r="R14" s="9" t="inlineStr">
        <is>
          <t>ODF-17/18</t>
        </is>
      </c>
      <c r="S14" s="9" t="inlineStr">
        <is>
          <t>Trái</t>
        </is>
      </c>
      <c r="T14" s="9" t="inlineStr">
        <is>
          <t>H3-C5</t>
        </is>
      </c>
      <c r="U14" s="9" t="inlineStr">
        <is>
          <t>A-44</t>
        </is>
      </c>
    </row>
    <row r="15">
      <c r="A15" s="149" t="inlineStr">
        <is>
          <t>A-23-14</t>
        </is>
      </c>
      <c r="B15" s="99" t="inlineStr">
        <is>
          <t>A</t>
        </is>
      </c>
      <c r="C15" s="99" t="inlineStr">
        <is>
          <t>23</t>
        </is>
      </c>
      <c r="D15" s="99" t="n">
        <v>14</v>
      </c>
      <c r="E15" s="99" t="inlineStr">
        <is>
          <t>TU-A23</t>
        </is>
      </c>
      <c r="F15" s="99" t="inlineStr">
        <is>
          <t>TU-A23/S1</t>
        </is>
      </c>
      <c r="G15" s="99" t="n">
        <v>14</v>
      </c>
      <c r="H15" s="99" t="inlineStr">
        <is>
          <t>TR-A3</t>
        </is>
      </c>
      <c r="I15" s="99" t="n">
        <v>17</v>
      </c>
      <c r="J15" s="99" t="inlineStr">
        <is>
          <t>Ống 3 Xanh lá / Xám</t>
        </is>
      </c>
      <c r="K15" s="99" t="inlineStr">
        <is>
          <t>S4-08</t>
        </is>
      </c>
      <c r="L15" s="99" t="inlineStr">
        <is>
          <t>A-32</t>
        </is>
      </c>
      <c r="M15" s="99" t="inlineStr">
        <is>
          <t>PON-08</t>
        </is>
      </c>
      <c r="N15" s="99" t="inlineStr">
        <is>
          <t>Chưa lắp</t>
        </is>
      </c>
      <c r="O15" s="149" t="n"/>
      <c r="P15" s="150" t="n"/>
      <c r="Q15" s="13">
        <f>M15&amp;" &gt; P96#"&amp;U15&amp;" &gt; "&amp;K15&amp;" &gt; P96#"&amp;L15&amp;" &gt; "&amp;R15&amp;" "&amp;S15&amp;" "&amp;T15&amp;" &gt; "&amp;H15&amp;"#"&amp;I15&amp;" &gt; "&amp;F15&amp;" p"&amp;G15</f>
        <v/>
      </c>
      <c r="R15" s="9" t="inlineStr">
        <is>
          <t>ODF-17/18</t>
        </is>
      </c>
      <c r="S15" s="9" t="inlineStr">
        <is>
          <t>Trái</t>
        </is>
      </c>
      <c r="T15" s="9" t="inlineStr">
        <is>
          <t>H3-C5</t>
        </is>
      </c>
      <c r="U15" s="9" t="inlineStr">
        <is>
          <t>A-44</t>
        </is>
      </c>
    </row>
    <row r="16">
      <c r="A16" s="151" t="inlineStr">
        <is>
          <t>A-22-01</t>
        </is>
      </c>
      <c r="B16" s="102" t="inlineStr">
        <is>
          <t>A</t>
        </is>
      </c>
      <c r="C16" s="102" t="inlineStr">
        <is>
          <t>22</t>
        </is>
      </c>
      <c r="D16" s="102" t="n">
        <v>1</v>
      </c>
      <c r="E16" s="102" t="inlineStr">
        <is>
          <t>TU-A21</t>
        </is>
      </c>
      <c r="F16" s="102" t="inlineStr">
        <is>
          <t>TU-A21/S3</t>
        </is>
      </c>
      <c r="G16" s="102" t="n">
        <v>1</v>
      </c>
      <c r="H16" s="102" t="inlineStr">
        <is>
          <t>TR-A3</t>
        </is>
      </c>
      <c r="I16" s="102" t="n">
        <v>11</v>
      </c>
      <c r="J16" s="102" t="inlineStr">
        <is>
          <t>Ống 2 Cam / Xám</t>
        </is>
      </c>
      <c r="K16" s="102" t="inlineStr">
        <is>
          <t>S4-08</t>
        </is>
      </c>
      <c r="L16" s="102" t="inlineStr">
        <is>
          <t>A-31</t>
        </is>
      </c>
      <c r="M16" s="102" t="inlineStr">
        <is>
          <t>PON-08</t>
        </is>
      </c>
      <c r="N16" s="102" t="inlineStr">
        <is>
          <t>Chưa lắp</t>
        </is>
      </c>
      <c r="O16" s="151" t="n"/>
      <c r="P16" s="152" t="n"/>
      <c r="Q16" s="13">
        <f>M16&amp;" &gt; P96#"&amp;U16&amp;" &gt; "&amp;K16&amp;" &gt; P96#"&amp;L16&amp;" &gt; "&amp;R16&amp;" "&amp;S16&amp;" "&amp;T16&amp;" &gt; "&amp;H16&amp;"#"&amp;I16&amp;" &gt; "&amp;F16&amp;" p"&amp;G16</f>
        <v/>
      </c>
      <c r="R16" s="9" t="inlineStr">
        <is>
          <t>ODF-17/18</t>
        </is>
      </c>
      <c r="S16" s="9" t="inlineStr">
        <is>
          <t>Trái</t>
        </is>
      </c>
      <c r="T16" s="9" t="inlineStr">
        <is>
          <t>H2-C5</t>
        </is>
      </c>
      <c r="U16" s="9" t="inlineStr">
        <is>
          <t>A-44</t>
        </is>
      </c>
    </row>
    <row r="17">
      <c r="A17" s="151" t="inlineStr">
        <is>
          <t>A-22-02</t>
        </is>
      </c>
      <c r="B17" s="102" t="inlineStr">
        <is>
          <t>A</t>
        </is>
      </c>
      <c r="C17" s="102" t="inlineStr">
        <is>
          <t>22</t>
        </is>
      </c>
      <c r="D17" s="102" t="n">
        <v>2</v>
      </c>
      <c r="E17" s="102" t="inlineStr">
        <is>
          <t>TU-A21</t>
        </is>
      </c>
      <c r="F17" s="102" t="inlineStr">
        <is>
          <t>TU-A21/S3</t>
        </is>
      </c>
      <c r="G17" s="102" t="n">
        <v>2</v>
      </c>
      <c r="H17" s="102" t="inlineStr">
        <is>
          <t>TR-A3</t>
        </is>
      </c>
      <c r="I17" s="102" t="n">
        <v>11</v>
      </c>
      <c r="J17" s="102" t="inlineStr">
        <is>
          <t>Ống 2 Cam / Xám</t>
        </is>
      </c>
      <c r="K17" s="102" t="inlineStr">
        <is>
          <t>S4-08</t>
        </is>
      </c>
      <c r="L17" s="102" t="inlineStr">
        <is>
          <t>A-31</t>
        </is>
      </c>
      <c r="M17" s="102" t="inlineStr">
        <is>
          <t>PON-08</t>
        </is>
      </c>
      <c r="N17" s="102" t="inlineStr">
        <is>
          <t>Chưa lắp</t>
        </is>
      </c>
      <c r="O17" s="151" t="n"/>
      <c r="P17" s="152" t="n"/>
      <c r="Q17" s="13">
        <f>M17&amp;" &gt; P96#"&amp;U17&amp;" &gt; "&amp;K17&amp;" &gt; P96#"&amp;L17&amp;" &gt; "&amp;R17&amp;" "&amp;S17&amp;" "&amp;T17&amp;" &gt; "&amp;H17&amp;"#"&amp;I17&amp;" &gt; "&amp;F17&amp;" p"&amp;G17</f>
        <v/>
      </c>
      <c r="R17" s="9" t="inlineStr">
        <is>
          <t>ODF-17/18</t>
        </is>
      </c>
      <c r="S17" s="9" t="inlineStr">
        <is>
          <t>Trái</t>
        </is>
      </c>
      <c r="T17" s="9" t="inlineStr">
        <is>
          <t>H2-C5</t>
        </is>
      </c>
      <c r="U17" s="9" t="inlineStr">
        <is>
          <t>A-44</t>
        </is>
      </c>
    </row>
    <row r="18">
      <c r="A18" s="151" t="inlineStr">
        <is>
          <t>A-22-03</t>
        </is>
      </c>
      <c r="B18" s="102" t="inlineStr">
        <is>
          <t>A</t>
        </is>
      </c>
      <c r="C18" s="102" t="inlineStr">
        <is>
          <t>22</t>
        </is>
      </c>
      <c r="D18" s="102" t="n">
        <v>3</v>
      </c>
      <c r="E18" s="102" t="inlineStr">
        <is>
          <t>TU-A21</t>
        </is>
      </c>
      <c r="F18" s="102" t="inlineStr">
        <is>
          <t>TU-A21/S3</t>
        </is>
      </c>
      <c r="G18" s="102" t="n">
        <v>3</v>
      </c>
      <c r="H18" s="102" t="inlineStr">
        <is>
          <t>TR-A3</t>
        </is>
      </c>
      <c r="I18" s="102" t="n">
        <v>11</v>
      </c>
      <c r="J18" s="102" t="inlineStr">
        <is>
          <t>Ống 2 Cam / Xám</t>
        </is>
      </c>
      <c r="K18" s="102" t="inlineStr">
        <is>
          <t>S4-08</t>
        </is>
      </c>
      <c r="L18" s="102" t="inlineStr">
        <is>
          <t>A-31</t>
        </is>
      </c>
      <c r="M18" s="102" t="inlineStr">
        <is>
          <t>PON-08</t>
        </is>
      </c>
      <c r="N18" s="102" t="inlineStr">
        <is>
          <t>Chưa lắp</t>
        </is>
      </c>
      <c r="O18" s="151" t="n"/>
      <c r="P18" s="152" t="n"/>
      <c r="Q18" s="13">
        <f>M18&amp;" &gt; P96#"&amp;U18&amp;" &gt; "&amp;K18&amp;" &gt; P96#"&amp;L18&amp;" &gt; "&amp;R18&amp;" "&amp;S18&amp;" "&amp;T18&amp;" &gt; "&amp;H18&amp;"#"&amp;I18&amp;" &gt; "&amp;F18&amp;" p"&amp;G18</f>
        <v/>
      </c>
      <c r="R18" s="9" t="inlineStr">
        <is>
          <t>ODF-17/18</t>
        </is>
      </c>
      <c r="S18" s="9" t="inlineStr">
        <is>
          <t>Trái</t>
        </is>
      </c>
      <c r="T18" s="9" t="inlineStr">
        <is>
          <t>H2-C5</t>
        </is>
      </c>
      <c r="U18" s="9" t="inlineStr">
        <is>
          <t>A-44</t>
        </is>
      </c>
    </row>
    <row r="19">
      <c r="A19" s="151" t="inlineStr">
        <is>
          <t>A-22-04</t>
        </is>
      </c>
      <c r="B19" s="102" t="inlineStr">
        <is>
          <t>A</t>
        </is>
      </c>
      <c r="C19" s="102" t="inlineStr">
        <is>
          <t>22</t>
        </is>
      </c>
      <c r="D19" s="102" t="n">
        <v>4</v>
      </c>
      <c r="E19" s="102" t="inlineStr">
        <is>
          <t>TU-A21</t>
        </is>
      </c>
      <c r="F19" s="102" t="inlineStr">
        <is>
          <t>TU-A21/S3</t>
        </is>
      </c>
      <c r="G19" s="102" t="n">
        <v>4</v>
      </c>
      <c r="H19" s="102" t="inlineStr">
        <is>
          <t>TR-A3</t>
        </is>
      </c>
      <c r="I19" s="102" t="n">
        <v>11</v>
      </c>
      <c r="J19" s="102" t="inlineStr">
        <is>
          <t>Ống 2 Cam / Xám</t>
        </is>
      </c>
      <c r="K19" s="102" t="inlineStr">
        <is>
          <t>S4-08</t>
        </is>
      </c>
      <c r="L19" s="102" t="inlineStr">
        <is>
          <t>A-31</t>
        </is>
      </c>
      <c r="M19" s="102" t="inlineStr">
        <is>
          <t>PON-08</t>
        </is>
      </c>
      <c r="N19" s="102" t="inlineStr">
        <is>
          <t>Chưa lắp</t>
        </is>
      </c>
      <c r="O19" s="151" t="n"/>
      <c r="P19" s="152" t="n"/>
      <c r="Q19" s="13">
        <f>M19&amp;" &gt; P96#"&amp;U19&amp;" &gt; "&amp;K19&amp;" &gt; P96#"&amp;L19&amp;" &gt; "&amp;R19&amp;" "&amp;S19&amp;" "&amp;T19&amp;" &gt; "&amp;H19&amp;"#"&amp;I19&amp;" &gt; "&amp;F19&amp;" p"&amp;G19</f>
        <v/>
      </c>
      <c r="R19" s="9" t="inlineStr">
        <is>
          <t>ODF-17/18</t>
        </is>
      </c>
      <c r="S19" s="9" t="inlineStr">
        <is>
          <t>Trái</t>
        </is>
      </c>
      <c r="T19" s="9" t="inlineStr">
        <is>
          <t>H2-C5</t>
        </is>
      </c>
      <c r="U19" s="9" t="inlineStr">
        <is>
          <t>A-44</t>
        </is>
      </c>
    </row>
    <row r="20">
      <c r="A20" s="151" t="inlineStr">
        <is>
          <t>A-22-05</t>
        </is>
      </c>
      <c r="B20" s="102" t="inlineStr">
        <is>
          <t>A</t>
        </is>
      </c>
      <c r="C20" s="102" t="inlineStr">
        <is>
          <t>22</t>
        </is>
      </c>
      <c r="D20" s="102" t="n">
        <v>5</v>
      </c>
      <c r="E20" s="102" t="inlineStr">
        <is>
          <t>TU-A21</t>
        </is>
      </c>
      <c r="F20" s="102" t="inlineStr">
        <is>
          <t>TU-A21/S3</t>
        </is>
      </c>
      <c r="G20" s="102" t="n">
        <v>5</v>
      </c>
      <c r="H20" s="102" t="inlineStr">
        <is>
          <t>TR-A3</t>
        </is>
      </c>
      <c r="I20" s="102" t="n">
        <v>11</v>
      </c>
      <c r="J20" s="102" t="inlineStr">
        <is>
          <t>Ống 2 Cam / Xám</t>
        </is>
      </c>
      <c r="K20" s="102" t="inlineStr">
        <is>
          <t>S4-08</t>
        </is>
      </c>
      <c r="L20" s="102" t="inlineStr">
        <is>
          <t>A-31</t>
        </is>
      </c>
      <c r="M20" s="102" t="inlineStr">
        <is>
          <t>PON-08</t>
        </is>
      </c>
      <c r="N20" s="102" t="inlineStr">
        <is>
          <t>Chưa lắp</t>
        </is>
      </c>
      <c r="O20" s="151" t="n"/>
      <c r="P20" s="152" t="n"/>
      <c r="Q20" s="13">
        <f>M20&amp;" &gt; P96#"&amp;U20&amp;" &gt; "&amp;K20&amp;" &gt; P96#"&amp;L20&amp;" &gt; "&amp;R20&amp;" "&amp;S20&amp;" "&amp;T20&amp;" &gt; "&amp;H20&amp;"#"&amp;I20&amp;" &gt; "&amp;F20&amp;" p"&amp;G20</f>
        <v/>
      </c>
      <c r="R20" s="9" t="inlineStr">
        <is>
          <t>ODF-17/18</t>
        </is>
      </c>
      <c r="S20" s="9" t="inlineStr">
        <is>
          <t>Trái</t>
        </is>
      </c>
      <c r="T20" s="9" t="inlineStr">
        <is>
          <t>H2-C5</t>
        </is>
      </c>
      <c r="U20" s="9" t="inlineStr">
        <is>
          <t>A-44</t>
        </is>
      </c>
    </row>
    <row r="21">
      <c r="A21" s="151" t="inlineStr">
        <is>
          <t>A-22-06</t>
        </is>
      </c>
      <c r="B21" s="102" t="inlineStr">
        <is>
          <t>A</t>
        </is>
      </c>
      <c r="C21" s="102" t="inlineStr">
        <is>
          <t>22</t>
        </is>
      </c>
      <c r="D21" s="102" t="n">
        <v>6</v>
      </c>
      <c r="E21" s="102" t="inlineStr">
        <is>
          <t>TU-A21</t>
        </is>
      </c>
      <c r="F21" s="102" t="inlineStr">
        <is>
          <t>TU-A21/S3</t>
        </is>
      </c>
      <c r="G21" s="102" t="n">
        <v>6</v>
      </c>
      <c r="H21" s="102" t="inlineStr">
        <is>
          <t>TR-A3</t>
        </is>
      </c>
      <c r="I21" s="102" t="n">
        <v>11</v>
      </c>
      <c r="J21" s="102" t="inlineStr">
        <is>
          <t>Ống 2 Cam / Xám</t>
        </is>
      </c>
      <c r="K21" s="102" t="inlineStr">
        <is>
          <t>S4-08</t>
        </is>
      </c>
      <c r="L21" s="102" t="inlineStr">
        <is>
          <t>A-31</t>
        </is>
      </c>
      <c r="M21" s="102" t="inlineStr">
        <is>
          <t>PON-08</t>
        </is>
      </c>
      <c r="N21" s="102" t="inlineStr">
        <is>
          <t>Chưa lắp</t>
        </is>
      </c>
      <c r="O21" s="151" t="n"/>
      <c r="P21" s="152" t="n"/>
      <c r="Q21" s="13">
        <f>M21&amp;" &gt; P96#"&amp;U21&amp;" &gt; "&amp;K21&amp;" &gt; P96#"&amp;L21&amp;" &gt; "&amp;R21&amp;" "&amp;S21&amp;" "&amp;T21&amp;" &gt; "&amp;H21&amp;"#"&amp;I21&amp;" &gt; "&amp;F21&amp;" p"&amp;G21</f>
        <v/>
      </c>
      <c r="R21" s="9" t="inlineStr">
        <is>
          <t>ODF-17/18</t>
        </is>
      </c>
      <c r="S21" s="9" t="inlineStr">
        <is>
          <t>Trái</t>
        </is>
      </c>
      <c r="T21" s="9" t="inlineStr">
        <is>
          <t>H2-C5</t>
        </is>
      </c>
      <c r="U21" s="9" t="inlineStr">
        <is>
          <t>A-44</t>
        </is>
      </c>
    </row>
    <row r="22">
      <c r="A22" s="151" t="inlineStr">
        <is>
          <t>A-22-07</t>
        </is>
      </c>
      <c r="B22" s="102" t="inlineStr">
        <is>
          <t>A</t>
        </is>
      </c>
      <c r="C22" s="102" t="inlineStr">
        <is>
          <t>22</t>
        </is>
      </c>
      <c r="D22" s="102" t="n">
        <v>7</v>
      </c>
      <c r="E22" s="102" t="inlineStr">
        <is>
          <t>TU-A21</t>
        </is>
      </c>
      <c r="F22" s="102" t="inlineStr">
        <is>
          <t>TU-A21/S3</t>
        </is>
      </c>
      <c r="G22" s="102" t="n">
        <v>7</v>
      </c>
      <c r="H22" s="102" t="inlineStr">
        <is>
          <t>TR-A3</t>
        </is>
      </c>
      <c r="I22" s="102" t="n">
        <v>11</v>
      </c>
      <c r="J22" s="102" t="inlineStr">
        <is>
          <t>Ống 2 Cam / Xám</t>
        </is>
      </c>
      <c r="K22" s="102" t="inlineStr">
        <is>
          <t>S4-08</t>
        </is>
      </c>
      <c r="L22" s="102" t="inlineStr">
        <is>
          <t>A-31</t>
        </is>
      </c>
      <c r="M22" s="102" t="inlineStr">
        <is>
          <t>PON-08</t>
        </is>
      </c>
      <c r="N22" s="102" t="inlineStr">
        <is>
          <t>Chưa lắp</t>
        </is>
      </c>
      <c r="O22" s="151" t="n"/>
      <c r="P22" s="152" t="n"/>
      <c r="Q22" s="13">
        <f>M22&amp;" &gt; P96#"&amp;U22&amp;" &gt; "&amp;K22&amp;" &gt; P96#"&amp;L22&amp;" &gt; "&amp;R22&amp;" "&amp;S22&amp;" "&amp;T22&amp;" &gt; "&amp;H22&amp;"#"&amp;I22&amp;" &gt; "&amp;F22&amp;" p"&amp;G22</f>
        <v/>
      </c>
      <c r="R22" s="9" t="inlineStr">
        <is>
          <t>ODF-17/18</t>
        </is>
      </c>
      <c r="S22" s="9" t="inlineStr">
        <is>
          <t>Trái</t>
        </is>
      </c>
      <c r="T22" s="9" t="inlineStr">
        <is>
          <t>H2-C5</t>
        </is>
      </c>
      <c r="U22" s="9" t="inlineStr">
        <is>
          <t>A-44</t>
        </is>
      </c>
    </row>
    <row r="23">
      <c r="A23" s="151" t="inlineStr">
        <is>
          <t>A-22-08</t>
        </is>
      </c>
      <c r="B23" s="102" t="inlineStr">
        <is>
          <t>A</t>
        </is>
      </c>
      <c r="C23" s="102" t="inlineStr">
        <is>
          <t>22</t>
        </is>
      </c>
      <c r="D23" s="102" t="n">
        <v>8</v>
      </c>
      <c r="E23" s="102" t="inlineStr">
        <is>
          <t>TU-A21</t>
        </is>
      </c>
      <c r="F23" s="102" t="inlineStr">
        <is>
          <t>TU-A21/S3</t>
        </is>
      </c>
      <c r="G23" s="102" t="n">
        <v>8</v>
      </c>
      <c r="H23" s="102" t="inlineStr">
        <is>
          <t>TR-A3</t>
        </is>
      </c>
      <c r="I23" s="102" t="n">
        <v>11</v>
      </c>
      <c r="J23" s="102" t="inlineStr">
        <is>
          <t>Ống 2 Cam / Xám</t>
        </is>
      </c>
      <c r="K23" s="102" t="inlineStr">
        <is>
          <t>S4-08</t>
        </is>
      </c>
      <c r="L23" s="102" t="inlineStr">
        <is>
          <t>A-31</t>
        </is>
      </c>
      <c r="M23" s="102" t="inlineStr">
        <is>
          <t>PON-08</t>
        </is>
      </c>
      <c r="N23" s="102" t="inlineStr">
        <is>
          <t>Chưa lắp</t>
        </is>
      </c>
      <c r="O23" s="151" t="n"/>
      <c r="P23" s="152" t="n"/>
      <c r="Q23" s="13">
        <f>M23&amp;" &gt; P96#"&amp;U23&amp;" &gt; "&amp;K23&amp;" &gt; P96#"&amp;L23&amp;" &gt; "&amp;R23&amp;" "&amp;S23&amp;" "&amp;T23&amp;" &gt; "&amp;H23&amp;"#"&amp;I23&amp;" &gt; "&amp;F23&amp;" p"&amp;G23</f>
        <v/>
      </c>
      <c r="R23" s="9" t="inlineStr">
        <is>
          <t>ODF-17/18</t>
        </is>
      </c>
      <c r="S23" s="9" t="inlineStr">
        <is>
          <t>Trái</t>
        </is>
      </c>
      <c r="T23" s="9" t="inlineStr">
        <is>
          <t>H2-C5</t>
        </is>
      </c>
      <c r="U23" s="9" t="inlineStr">
        <is>
          <t>A-44</t>
        </is>
      </c>
    </row>
    <row r="24">
      <c r="A24" s="151" t="inlineStr">
        <is>
          <t>A-22-09</t>
        </is>
      </c>
      <c r="B24" s="102" t="inlineStr">
        <is>
          <t>A</t>
        </is>
      </c>
      <c r="C24" s="102" t="inlineStr">
        <is>
          <t>22</t>
        </is>
      </c>
      <c r="D24" s="102" t="n">
        <v>9</v>
      </c>
      <c r="E24" s="102" t="inlineStr">
        <is>
          <t>TU-A21</t>
        </is>
      </c>
      <c r="F24" s="102" t="inlineStr">
        <is>
          <t>TU-A21/S3</t>
        </is>
      </c>
      <c r="G24" s="102" t="n">
        <v>9</v>
      </c>
      <c r="H24" s="102" t="inlineStr">
        <is>
          <t>TR-A3</t>
        </is>
      </c>
      <c r="I24" s="102" t="n">
        <v>11</v>
      </c>
      <c r="J24" s="102" t="inlineStr">
        <is>
          <t>Ống 2 Cam / Xám</t>
        </is>
      </c>
      <c r="K24" s="102" t="inlineStr">
        <is>
          <t>S4-08</t>
        </is>
      </c>
      <c r="L24" s="102" t="inlineStr">
        <is>
          <t>A-31</t>
        </is>
      </c>
      <c r="M24" s="102" t="inlineStr">
        <is>
          <t>PON-08</t>
        </is>
      </c>
      <c r="N24" s="102" t="inlineStr">
        <is>
          <t>Chưa lắp</t>
        </is>
      </c>
      <c r="O24" s="151" t="n"/>
      <c r="P24" s="152" t="n"/>
      <c r="Q24" s="13">
        <f>M24&amp;" &gt; P96#"&amp;U24&amp;" &gt; "&amp;K24&amp;" &gt; P96#"&amp;L24&amp;" &gt; "&amp;R24&amp;" "&amp;S24&amp;" "&amp;T24&amp;" &gt; "&amp;H24&amp;"#"&amp;I24&amp;" &gt; "&amp;F24&amp;" p"&amp;G24</f>
        <v/>
      </c>
      <c r="R24" s="9" t="inlineStr">
        <is>
          <t>ODF-17/18</t>
        </is>
      </c>
      <c r="S24" s="9" t="inlineStr">
        <is>
          <t>Trái</t>
        </is>
      </c>
      <c r="T24" s="9" t="inlineStr">
        <is>
          <t>H2-C5</t>
        </is>
      </c>
      <c r="U24" s="9" t="inlineStr">
        <is>
          <t>A-44</t>
        </is>
      </c>
    </row>
    <row r="25">
      <c r="A25" s="151" t="inlineStr">
        <is>
          <t>A-22-10</t>
        </is>
      </c>
      <c r="B25" s="102" t="inlineStr">
        <is>
          <t>A</t>
        </is>
      </c>
      <c r="C25" s="102" t="inlineStr">
        <is>
          <t>22</t>
        </is>
      </c>
      <c r="D25" s="102" t="n">
        <v>10</v>
      </c>
      <c r="E25" s="102" t="inlineStr">
        <is>
          <t>TU-A21</t>
        </is>
      </c>
      <c r="F25" s="102" t="inlineStr">
        <is>
          <t>TU-A21/S3</t>
        </is>
      </c>
      <c r="G25" s="102" t="n">
        <v>10</v>
      </c>
      <c r="H25" s="102" t="inlineStr">
        <is>
          <t>TR-A3</t>
        </is>
      </c>
      <c r="I25" s="102" t="n">
        <v>11</v>
      </c>
      <c r="J25" s="102" t="inlineStr">
        <is>
          <t>Ống 2 Cam / Xám</t>
        </is>
      </c>
      <c r="K25" s="102" t="inlineStr">
        <is>
          <t>S4-08</t>
        </is>
      </c>
      <c r="L25" s="102" t="inlineStr">
        <is>
          <t>A-31</t>
        </is>
      </c>
      <c r="M25" s="102" t="inlineStr">
        <is>
          <t>PON-08</t>
        </is>
      </c>
      <c r="N25" s="102" t="inlineStr">
        <is>
          <t>Chưa lắp</t>
        </is>
      </c>
      <c r="O25" s="151" t="n"/>
      <c r="P25" s="152" t="n"/>
      <c r="Q25" s="13">
        <f>M25&amp;" &gt; P96#"&amp;U25&amp;" &gt; "&amp;K25&amp;" &gt; P96#"&amp;L25&amp;" &gt; "&amp;R25&amp;" "&amp;S25&amp;" "&amp;T25&amp;" &gt; "&amp;H25&amp;"#"&amp;I25&amp;" &gt; "&amp;F25&amp;" p"&amp;G25</f>
        <v/>
      </c>
      <c r="R25" s="9" t="inlineStr">
        <is>
          <t>ODF-17/18</t>
        </is>
      </c>
      <c r="S25" s="9" t="inlineStr">
        <is>
          <t>Trái</t>
        </is>
      </c>
      <c r="T25" s="9" t="inlineStr">
        <is>
          <t>H2-C5</t>
        </is>
      </c>
      <c r="U25" s="9" t="inlineStr">
        <is>
          <t>A-44</t>
        </is>
      </c>
    </row>
    <row r="26">
      <c r="A26" s="151" t="inlineStr">
        <is>
          <t>A-22-11</t>
        </is>
      </c>
      <c r="B26" s="102" t="inlineStr">
        <is>
          <t>A</t>
        </is>
      </c>
      <c r="C26" s="102" t="inlineStr">
        <is>
          <t>22</t>
        </is>
      </c>
      <c r="D26" s="102" t="n">
        <v>11</v>
      </c>
      <c r="E26" s="102" t="inlineStr">
        <is>
          <t>TU-A21</t>
        </is>
      </c>
      <c r="F26" s="102" t="inlineStr">
        <is>
          <t>TU-A21/S3</t>
        </is>
      </c>
      <c r="G26" s="102" t="n">
        <v>11</v>
      </c>
      <c r="H26" s="102" t="inlineStr">
        <is>
          <t>TR-A3</t>
        </is>
      </c>
      <c r="I26" s="102" t="n">
        <v>11</v>
      </c>
      <c r="J26" s="102" t="inlineStr">
        <is>
          <t>Ống 2 Cam / Xám</t>
        </is>
      </c>
      <c r="K26" s="102" t="inlineStr">
        <is>
          <t>S4-08</t>
        </is>
      </c>
      <c r="L26" s="102" t="inlineStr">
        <is>
          <t>A-31</t>
        </is>
      </c>
      <c r="M26" s="102" t="inlineStr">
        <is>
          <t>PON-08</t>
        </is>
      </c>
      <c r="N26" s="102" t="inlineStr">
        <is>
          <t>Chưa lắp</t>
        </is>
      </c>
      <c r="O26" s="151" t="n"/>
      <c r="P26" s="152" t="n"/>
      <c r="Q26" s="13">
        <f>M26&amp;" &gt; P96#"&amp;U26&amp;" &gt; "&amp;K26&amp;" &gt; P96#"&amp;L26&amp;" &gt; "&amp;R26&amp;" "&amp;S26&amp;" "&amp;T26&amp;" &gt; "&amp;H26&amp;"#"&amp;I26&amp;" &gt; "&amp;F26&amp;" p"&amp;G26</f>
        <v/>
      </c>
      <c r="R26" s="9" t="inlineStr">
        <is>
          <t>ODF-17/18</t>
        </is>
      </c>
      <c r="S26" s="9" t="inlineStr">
        <is>
          <t>Trái</t>
        </is>
      </c>
      <c r="T26" s="9" t="inlineStr">
        <is>
          <t>H2-C5</t>
        </is>
      </c>
      <c r="U26" s="9" t="inlineStr">
        <is>
          <t>A-44</t>
        </is>
      </c>
    </row>
    <row r="27">
      <c r="A27" s="151" t="inlineStr">
        <is>
          <t>A-22-12</t>
        </is>
      </c>
      <c r="B27" s="102" t="inlineStr">
        <is>
          <t>A</t>
        </is>
      </c>
      <c r="C27" s="102" t="inlineStr">
        <is>
          <t>22</t>
        </is>
      </c>
      <c r="D27" s="102" t="n">
        <v>12</v>
      </c>
      <c r="E27" s="102" t="inlineStr">
        <is>
          <t>TU-A21</t>
        </is>
      </c>
      <c r="F27" s="102" t="inlineStr">
        <is>
          <t>TU-A21/S3</t>
        </is>
      </c>
      <c r="G27" s="102" t="n">
        <v>12</v>
      </c>
      <c r="H27" s="102" t="inlineStr">
        <is>
          <t>TR-A3</t>
        </is>
      </c>
      <c r="I27" s="102" t="n">
        <v>11</v>
      </c>
      <c r="J27" s="102" t="inlineStr">
        <is>
          <t>Ống 2 Cam / Xám</t>
        </is>
      </c>
      <c r="K27" s="102" t="inlineStr">
        <is>
          <t>S4-08</t>
        </is>
      </c>
      <c r="L27" s="102" t="inlineStr">
        <is>
          <t>A-31</t>
        </is>
      </c>
      <c r="M27" s="102" t="inlineStr">
        <is>
          <t>PON-08</t>
        </is>
      </c>
      <c r="N27" s="102" t="inlineStr">
        <is>
          <t>Chưa lắp</t>
        </is>
      </c>
      <c r="O27" s="151" t="n"/>
      <c r="P27" s="152" t="n"/>
      <c r="Q27" s="13">
        <f>M27&amp;" &gt; P96#"&amp;U27&amp;" &gt; "&amp;K27&amp;" &gt; P96#"&amp;L27&amp;" &gt; "&amp;R27&amp;" "&amp;S27&amp;" "&amp;T27&amp;" &gt; "&amp;H27&amp;"#"&amp;I27&amp;" &gt; "&amp;F27&amp;" p"&amp;G27</f>
        <v/>
      </c>
      <c r="R27" s="9" t="inlineStr">
        <is>
          <t>ODF-17/18</t>
        </is>
      </c>
      <c r="S27" s="9" t="inlineStr">
        <is>
          <t>Trái</t>
        </is>
      </c>
      <c r="T27" s="9" t="inlineStr">
        <is>
          <t>H2-C5</t>
        </is>
      </c>
      <c r="U27" s="9" t="inlineStr">
        <is>
          <t>A-44</t>
        </is>
      </c>
    </row>
    <row r="28">
      <c r="A28" s="151" t="inlineStr">
        <is>
          <t>A-22-13</t>
        </is>
      </c>
      <c r="B28" s="102" t="inlineStr">
        <is>
          <t>A</t>
        </is>
      </c>
      <c r="C28" s="102" t="inlineStr">
        <is>
          <t>22</t>
        </is>
      </c>
      <c r="D28" s="102" t="n">
        <v>13</v>
      </c>
      <c r="E28" s="102" t="inlineStr">
        <is>
          <t>TU-A21</t>
        </is>
      </c>
      <c r="F28" s="102" t="inlineStr">
        <is>
          <t>TU-A21/S3</t>
        </is>
      </c>
      <c r="G28" s="102" t="n">
        <v>13</v>
      </c>
      <c r="H28" s="102" t="inlineStr">
        <is>
          <t>TR-A3</t>
        </is>
      </c>
      <c r="I28" s="102" t="n">
        <v>11</v>
      </c>
      <c r="J28" s="102" t="inlineStr">
        <is>
          <t>Ống 2 Cam / Xám</t>
        </is>
      </c>
      <c r="K28" s="102" t="inlineStr">
        <is>
          <t>S4-08</t>
        </is>
      </c>
      <c r="L28" s="102" t="inlineStr">
        <is>
          <t>A-31</t>
        </is>
      </c>
      <c r="M28" s="102" t="inlineStr">
        <is>
          <t>PON-08</t>
        </is>
      </c>
      <c r="N28" s="102" t="inlineStr">
        <is>
          <t>Chưa lắp</t>
        </is>
      </c>
      <c r="O28" s="151" t="n"/>
      <c r="P28" s="152" t="n"/>
      <c r="Q28" s="13">
        <f>M28&amp;" &gt; P96#"&amp;U28&amp;" &gt; "&amp;K28&amp;" &gt; P96#"&amp;L28&amp;" &gt; "&amp;R28&amp;" "&amp;S28&amp;" "&amp;T28&amp;" &gt; "&amp;H28&amp;"#"&amp;I28&amp;" &gt; "&amp;F28&amp;" p"&amp;G28</f>
        <v/>
      </c>
      <c r="R28" s="9" t="inlineStr">
        <is>
          <t>ODF-17/18</t>
        </is>
      </c>
      <c r="S28" s="9" t="inlineStr">
        <is>
          <t>Trái</t>
        </is>
      </c>
      <c r="T28" s="9" t="inlineStr">
        <is>
          <t>H2-C5</t>
        </is>
      </c>
      <c r="U28" s="9" t="inlineStr">
        <is>
          <t>A-44</t>
        </is>
      </c>
    </row>
    <row r="29">
      <c r="A29" s="151" t="inlineStr">
        <is>
          <t>A-22-14</t>
        </is>
      </c>
      <c r="B29" s="102" t="inlineStr">
        <is>
          <t>A</t>
        </is>
      </c>
      <c r="C29" s="102" t="inlineStr">
        <is>
          <t>22</t>
        </is>
      </c>
      <c r="D29" s="102" t="n">
        <v>14</v>
      </c>
      <c r="E29" s="102" t="inlineStr">
        <is>
          <t>TU-A21</t>
        </is>
      </c>
      <c r="F29" s="102" t="inlineStr">
        <is>
          <t>TU-A21/S3</t>
        </is>
      </c>
      <c r="G29" s="102" t="n">
        <v>14</v>
      </c>
      <c r="H29" s="102" t="inlineStr">
        <is>
          <t>TR-A3</t>
        </is>
      </c>
      <c r="I29" s="102" t="n">
        <v>11</v>
      </c>
      <c r="J29" s="102" t="inlineStr">
        <is>
          <t>Ống 2 Cam / Xám</t>
        </is>
      </c>
      <c r="K29" s="102" t="inlineStr">
        <is>
          <t>S4-08</t>
        </is>
      </c>
      <c r="L29" s="102" t="inlineStr">
        <is>
          <t>A-31</t>
        </is>
      </c>
      <c r="M29" s="102" t="inlineStr">
        <is>
          <t>PON-08</t>
        </is>
      </c>
      <c r="N29" s="102" t="inlineStr">
        <is>
          <t>Chưa lắp</t>
        </is>
      </c>
      <c r="O29" s="151" t="n"/>
      <c r="P29" s="152" t="n"/>
      <c r="Q29" s="13">
        <f>M29&amp;" &gt; P96#"&amp;U29&amp;" &gt; "&amp;K29&amp;" &gt; P96#"&amp;L29&amp;" &gt; "&amp;R29&amp;" "&amp;S29&amp;" "&amp;T29&amp;" &gt; "&amp;H29&amp;"#"&amp;I29&amp;" &gt; "&amp;F29&amp;" p"&amp;G29</f>
        <v/>
      </c>
      <c r="R29" s="9" t="inlineStr">
        <is>
          <t>ODF-17/18</t>
        </is>
      </c>
      <c r="S29" s="9" t="inlineStr">
        <is>
          <t>Trái</t>
        </is>
      </c>
      <c r="T29" s="9" t="inlineStr">
        <is>
          <t>H2-C5</t>
        </is>
      </c>
      <c r="U29" s="9" t="inlineStr">
        <is>
          <t>A-44</t>
        </is>
      </c>
    </row>
    <row r="30">
      <c r="A30" s="149" t="inlineStr">
        <is>
          <t>A-21-01</t>
        </is>
      </c>
      <c r="B30" s="99" t="inlineStr">
        <is>
          <t>A</t>
        </is>
      </c>
      <c r="C30" s="99" t="inlineStr">
        <is>
          <t>21</t>
        </is>
      </c>
      <c r="D30" s="99" t="n">
        <v>1</v>
      </c>
      <c r="E30" s="99" t="inlineStr">
        <is>
          <t>TU-A21</t>
        </is>
      </c>
      <c r="F30" s="99" t="inlineStr">
        <is>
          <t>TU-A21/S2</t>
        </is>
      </c>
      <c r="G30" s="99" t="n">
        <v>1</v>
      </c>
      <c r="H30" s="99" t="inlineStr">
        <is>
          <t>TR-A3</t>
        </is>
      </c>
      <c r="I30" s="99" t="n">
        <v>10</v>
      </c>
      <c r="J30" s="99" t="inlineStr">
        <is>
          <t>Ống 2 Cam / Nâu</t>
        </is>
      </c>
      <c r="K30" s="99" t="inlineStr">
        <is>
          <t>S4-08</t>
        </is>
      </c>
      <c r="L30" s="99" t="inlineStr">
        <is>
          <t>A-30</t>
        </is>
      </c>
      <c r="M30" s="99" t="inlineStr">
        <is>
          <t>PON-08</t>
        </is>
      </c>
      <c r="N30" s="99" t="inlineStr">
        <is>
          <t>Chưa lắp</t>
        </is>
      </c>
      <c r="O30" s="149" t="n"/>
      <c r="P30" s="150" t="n"/>
      <c r="Q30" s="13">
        <f>M30&amp;" &gt; P96#"&amp;U30&amp;" &gt; "&amp;K30&amp;" &gt; P96#"&amp;L30&amp;" &gt; "&amp;R30&amp;" "&amp;S30&amp;" "&amp;T30&amp;" &gt; "&amp;H30&amp;"#"&amp;I30&amp;" &gt; "&amp;F30&amp;" p"&amp;G30</f>
        <v/>
      </c>
      <c r="R30" s="9" t="inlineStr">
        <is>
          <t>ODF-17/18</t>
        </is>
      </c>
      <c r="S30" s="9" t="inlineStr">
        <is>
          <t>Trái</t>
        </is>
      </c>
      <c r="T30" s="9" t="inlineStr">
        <is>
          <t>H2-C4</t>
        </is>
      </c>
      <c r="U30" s="9" t="inlineStr">
        <is>
          <t>A-44</t>
        </is>
      </c>
    </row>
    <row r="31">
      <c r="A31" s="149" t="inlineStr">
        <is>
          <t>A-21-02</t>
        </is>
      </c>
      <c r="B31" s="99" t="inlineStr">
        <is>
          <t>A</t>
        </is>
      </c>
      <c r="C31" s="99" t="inlineStr">
        <is>
          <t>21</t>
        </is>
      </c>
      <c r="D31" s="99" t="n">
        <v>2</v>
      </c>
      <c r="E31" s="99" t="inlineStr">
        <is>
          <t>TU-A21</t>
        </is>
      </c>
      <c r="F31" s="99" t="inlineStr">
        <is>
          <t>TU-A21/S2</t>
        </is>
      </c>
      <c r="G31" s="99" t="n">
        <v>2</v>
      </c>
      <c r="H31" s="99" t="inlineStr">
        <is>
          <t>TR-A3</t>
        </is>
      </c>
      <c r="I31" s="99" t="n">
        <v>10</v>
      </c>
      <c r="J31" s="99" t="inlineStr">
        <is>
          <t>Ống 2 Cam / Nâu</t>
        </is>
      </c>
      <c r="K31" s="99" t="inlineStr">
        <is>
          <t>S4-08</t>
        </is>
      </c>
      <c r="L31" s="99" t="inlineStr">
        <is>
          <t>A-30</t>
        </is>
      </c>
      <c r="M31" s="99" t="inlineStr">
        <is>
          <t>PON-08</t>
        </is>
      </c>
      <c r="N31" s="99" t="inlineStr">
        <is>
          <t>Chưa lắp</t>
        </is>
      </c>
      <c r="O31" s="149" t="n"/>
      <c r="P31" s="150" t="n"/>
      <c r="Q31" s="13">
        <f>M31&amp;" &gt; P96#"&amp;U31&amp;" &gt; "&amp;K31&amp;" &gt; P96#"&amp;L31&amp;" &gt; "&amp;R31&amp;" "&amp;S31&amp;" "&amp;T31&amp;" &gt; "&amp;H31&amp;"#"&amp;I31&amp;" &gt; "&amp;F31&amp;" p"&amp;G31</f>
        <v/>
      </c>
      <c r="R31" s="9" t="inlineStr">
        <is>
          <t>ODF-17/18</t>
        </is>
      </c>
      <c r="S31" s="9" t="inlineStr">
        <is>
          <t>Trái</t>
        </is>
      </c>
      <c r="T31" s="9" t="inlineStr">
        <is>
          <t>H2-C4</t>
        </is>
      </c>
      <c r="U31" s="9" t="inlineStr">
        <is>
          <t>A-44</t>
        </is>
      </c>
    </row>
    <row r="32">
      <c r="A32" s="149" t="inlineStr">
        <is>
          <t>A-21-03</t>
        </is>
      </c>
      <c r="B32" s="99" t="inlineStr">
        <is>
          <t>A</t>
        </is>
      </c>
      <c r="C32" s="99" t="inlineStr">
        <is>
          <t>21</t>
        </is>
      </c>
      <c r="D32" s="99" t="n">
        <v>3</v>
      </c>
      <c r="E32" s="99" t="inlineStr">
        <is>
          <t>TU-A21</t>
        </is>
      </c>
      <c r="F32" s="99" t="inlineStr">
        <is>
          <t>TU-A21/S2</t>
        </is>
      </c>
      <c r="G32" s="99" t="n">
        <v>3</v>
      </c>
      <c r="H32" s="99" t="inlineStr">
        <is>
          <t>TR-A3</t>
        </is>
      </c>
      <c r="I32" s="99" t="n">
        <v>10</v>
      </c>
      <c r="J32" s="99" t="inlineStr">
        <is>
          <t>Ống 2 Cam / Nâu</t>
        </is>
      </c>
      <c r="K32" s="99" t="inlineStr">
        <is>
          <t>S4-08</t>
        </is>
      </c>
      <c r="L32" s="99" t="inlineStr">
        <is>
          <t>A-30</t>
        </is>
      </c>
      <c r="M32" s="99" t="inlineStr">
        <is>
          <t>PON-08</t>
        </is>
      </c>
      <c r="N32" s="99" t="inlineStr">
        <is>
          <t>Chưa lắp</t>
        </is>
      </c>
      <c r="O32" s="149" t="n"/>
      <c r="P32" s="150" t="n"/>
      <c r="Q32" s="13">
        <f>M32&amp;" &gt; P96#"&amp;U32&amp;" &gt; "&amp;K32&amp;" &gt; P96#"&amp;L32&amp;" &gt; "&amp;R32&amp;" "&amp;S32&amp;" "&amp;T32&amp;" &gt; "&amp;H32&amp;"#"&amp;I32&amp;" &gt; "&amp;F32&amp;" p"&amp;G32</f>
        <v/>
      </c>
      <c r="R32" s="9" t="inlineStr">
        <is>
          <t>ODF-17/18</t>
        </is>
      </c>
      <c r="S32" s="9" t="inlineStr">
        <is>
          <t>Trái</t>
        </is>
      </c>
      <c r="T32" s="9" t="inlineStr">
        <is>
          <t>H2-C4</t>
        </is>
      </c>
      <c r="U32" s="9" t="inlineStr">
        <is>
          <t>A-44</t>
        </is>
      </c>
    </row>
    <row r="33">
      <c r="A33" s="149" t="inlineStr">
        <is>
          <t>A-21-04</t>
        </is>
      </c>
      <c r="B33" s="99" t="inlineStr">
        <is>
          <t>A</t>
        </is>
      </c>
      <c r="C33" s="99" t="inlineStr">
        <is>
          <t>21</t>
        </is>
      </c>
      <c r="D33" s="99" t="n">
        <v>4</v>
      </c>
      <c r="E33" s="99" t="inlineStr">
        <is>
          <t>TU-A21</t>
        </is>
      </c>
      <c r="F33" s="99" t="inlineStr">
        <is>
          <t>TU-A21/S2</t>
        </is>
      </c>
      <c r="G33" s="99" t="n">
        <v>4</v>
      </c>
      <c r="H33" s="99" t="inlineStr">
        <is>
          <t>TR-A3</t>
        </is>
      </c>
      <c r="I33" s="99" t="n">
        <v>10</v>
      </c>
      <c r="J33" s="99" t="inlineStr">
        <is>
          <t>Ống 2 Cam / Nâu</t>
        </is>
      </c>
      <c r="K33" s="99" t="inlineStr">
        <is>
          <t>S4-08</t>
        </is>
      </c>
      <c r="L33" s="99" t="inlineStr">
        <is>
          <t>A-30</t>
        </is>
      </c>
      <c r="M33" s="99" t="inlineStr">
        <is>
          <t>PON-08</t>
        </is>
      </c>
      <c r="N33" s="99" t="inlineStr">
        <is>
          <t>Chưa lắp</t>
        </is>
      </c>
      <c r="O33" s="149" t="n"/>
      <c r="P33" s="150" t="n"/>
      <c r="Q33" s="13">
        <f>M33&amp;" &gt; P96#"&amp;U33&amp;" &gt; "&amp;K33&amp;" &gt; P96#"&amp;L33&amp;" &gt; "&amp;R33&amp;" "&amp;S33&amp;" "&amp;T33&amp;" &gt; "&amp;H33&amp;"#"&amp;I33&amp;" &gt; "&amp;F33&amp;" p"&amp;G33</f>
        <v/>
      </c>
      <c r="R33" s="9" t="inlineStr">
        <is>
          <t>ODF-17/18</t>
        </is>
      </c>
      <c r="S33" s="9" t="inlineStr">
        <is>
          <t>Trái</t>
        </is>
      </c>
      <c r="T33" s="9" t="inlineStr">
        <is>
          <t>H2-C4</t>
        </is>
      </c>
      <c r="U33" s="9" t="inlineStr">
        <is>
          <t>A-44</t>
        </is>
      </c>
    </row>
    <row r="34">
      <c r="A34" s="149" t="inlineStr">
        <is>
          <t>A-21-05</t>
        </is>
      </c>
      <c r="B34" s="99" t="inlineStr">
        <is>
          <t>A</t>
        </is>
      </c>
      <c r="C34" s="99" t="inlineStr">
        <is>
          <t>21</t>
        </is>
      </c>
      <c r="D34" s="99" t="n">
        <v>5</v>
      </c>
      <c r="E34" s="99" t="inlineStr">
        <is>
          <t>TU-A21</t>
        </is>
      </c>
      <c r="F34" s="99" t="inlineStr">
        <is>
          <t>TU-A21/S2</t>
        </is>
      </c>
      <c r="G34" s="99" t="n">
        <v>5</v>
      </c>
      <c r="H34" s="99" t="inlineStr">
        <is>
          <t>TR-A3</t>
        </is>
      </c>
      <c r="I34" s="99" t="n">
        <v>10</v>
      </c>
      <c r="J34" s="99" t="inlineStr">
        <is>
          <t>Ống 2 Cam / Nâu</t>
        </is>
      </c>
      <c r="K34" s="99" t="inlineStr">
        <is>
          <t>S4-08</t>
        </is>
      </c>
      <c r="L34" s="99" t="inlineStr">
        <is>
          <t>A-30</t>
        </is>
      </c>
      <c r="M34" s="99" t="inlineStr">
        <is>
          <t>PON-08</t>
        </is>
      </c>
      <c r="N34" s="99" t="inlineStr">
        <is>
          <t>Chưa lắp</t>
        </is>
      </c>
      <c r="O34" s="149" t="n"/>
      <c r="P34" s="150" t="n"/>
      <c r="Q34" s="13">
        <f>M34&amp;" &gt; P96#"&amp;U34&amp;" &gt; "&amp;K34&amp;" &gt; P96#"&amp;L34&amp;" &gt; "&amp;R34&amp;" "&amp;S34&amp;" "&amp;T34&amp;" &gt; "&amp;H34&amp;"#"&amp;I34&amp;" &gt; "&amp;F34&amp;" p"&amp;G34</f>
        <v/>
      </c>
      <c r="R34" s="9" t="inlineStr">
        <is>
          <t>ODF-17/18</t>
        </is>
      </c>
      <c r="S34" s="9" t="inlineStr">
        <is>
          <t>Trái</t>
        </is>
      </c>
      <c r="T34" s="9" t="inlineStr">
        <is>
          <t>H2-C4</t>
        </is>
      </c>
      <c r="U34" s="9" t="inlineStr">
        <is>
          <t>A-44</t>
        </is>
      </c>
    </row>
    <row r="35">
      <c r="A35" s="149" t="inlineStr">
        <is>
          <t>A-21-06</t>
        </is>
      </c>
      <c r="B35" s="99" t="inlineStr">
        <is>
          <t>A</t>
        </is>
      </c>
      <c r="C35" s="99" t="inlineStr">
        <is>
          <t>21</t>
        </is>
      </c>
      <c r="D35" s="99" t="n">
        <v>6</v>
      </c>
      <c r="E35" s="99" t="inlineStr">
        <is>
          <t>TU-A21</t>
        </is>
      </c>
      <c r="F35" s="99" t="inlineStr">
        <is>
          <t>TU-A21/S2</t>
        </is>
      </c>
      <c r="G35" s="99" t="n">
        <v>6</v>
      </c>
      <c r="H35" s="99" t="inlineStr">
        <is>
          <t>TR-A3</t>
        </is>
      </c>
      <c r="I35" s="99" t="n">
        <v>10</v>
      </c>
      <c r="J35" s="99" t="inlineStr">
        <is>
          <t>Ống 2 Cam / Nâu</t>
        </is>
      </c>
      <c r="K35" s="99" t="inlineStr">
        <is>
          <t>S4-08</t>
        </is>
      </c>
      <c r="L35" s="99" t="inlineStr">
        <is>
          <t>A-30</t>
        </is>
      </c>
      <c r="M35" s="99" t="inlineStr">
        <is>
          <t>PON-08</t>
        </is>
      </c>
      <c r="N35" s="99" t="inlineStr">
        <is>
          <t>Chưa lắp</t>
        </is>
      </c>
      <c r="O35" s="149" t="n"/>
      <c r="P35" s="150" t="n"/>
      <c r="Q35" s="13">
        <f>M35&amp;" &gt; P96#"&amp;U35&amp;" &gt; "&amp;K35&amp;" &gt; P96#"&amp;L35&amp;" &gt; "&amp;R35&amp;" "&amp;S35&amp;" "&amp;T35&amp;" &gt; "&amp;H35&amp;"#"&amp;I35&amp;" &gt; "&amp;F35&amp;" p"&amp;G35</f>
        <v/>
      </c>
      <c r="R35" s="9" t="inlineStr">
        <is>
          <t>ODF-17/18</t>
        </is>
      </c>
      <c r="S35" s="9" t="inlineStr">
        <is>
          <t>Trái</t>
        </is>
      </c>
      <c r="T35" s="9" t="inlineStr">
        <is>
          <t>H2-C4</t>
        </is>
      </c>
      <c r="U35" s="9" t="inlineStr">
        <is>
          <t>A-44</t>
        </is>
      </c>
    </row>
    <row r="36">
      <c r="A36" s="149" t="inlineStr">
        <is>
          <t>A-21-07</t>
        </is>
      </c>
      <c r="B36" s="99" t="inlineStr">
        <is>
          <t>A</t>
        </is>
      </c>
      <c r="C36" s="99" t="inlineStr">
        <is>
          <t>21</t>
        </is>
      </c>
      <c r="D36" s="99" t="n">
        <v>7</v>
      </c>
      <c r="E36" s="99" t="inlineStr">
        <is>
          <t>TU-A21</t>
        </is>
      </c>
      <c r="F36" s="99" t="inlineStr">
        <is>
          <t>TU-A21/S2</t>
        </is>
      </c>
      <c r="G36" s="99" t="n">
        <v>7</v>
      </c>
      <c r="H36" s="99" t="inlineStr">
        <is>
          <t>TR-A3</t>
        </is>
      </c>
      <c r="I36" s="99" t="n">
        <v>10</v>
      </c>
      <c r="J36" s="99" t="inlineStr">
        <is>
          <t>Ống 2 Cam / Nâu</t>
        </is>
      </c>
      <c r="K36" s="99" t="inlineStr">
        <is>
          <t>S4-08</t>
        </is>
      </c>
      <c r="L36" s="99" t="inlineStr">
        <is>
          <t>A-30</t>
        </is>
      </c>
      <c r="M36" s="99" t="inlineStr">
        <is>
          <t>PON-08</t>
        </is>
      </c>
      <c r="N36" s="99" t="inlineStr">
        <is>
          <t>Chưa lắp</t>
        </is>
      </c>
      <c r="O36" s="149" t="n"/>
      <c r="P36" s="150" t="n"/>
      <c r="Q36" s="13">
        <f>M36&amp;" &gt; P96#"&amp;U36&amp;" &gt; "&amp;K36&amp;" &gt; P96#"&amp;L36&amp;" &gt; "&amp;R36&amp;" "&amp;S36&amp;" "&amp;T36&amp;" &gt; "&amp;H36&amp;"#"&amp;I36&amp;" &gt; "&amp;F36&amp;" p"&amp;G36</f>
        <v/>
      </c>
      <c r="R36" s="9" t="inlineStr">
        <is>
          <t>ODF-17/18</t>
        </is>
      </c>
      <c r="S36" s="9" t="inlineStr">
        <is>
          <t>Trái</t>
        </is>
      </c>
      <c r="T36" s="9" t="inlineStr">
        <is>
          <t>H2-C4</t>
        </is>
      </c>
      <c r="U36" s="9" t="inlineStr">
        <is>
          <t>A-44</t>
        </is>
      </c>
    </row>
    <row r="37">
      <c r="A37" s="149" t="inlineStr">
        <is>
          <t>A-21-08</t>
        </is>
      </c>
      <c r="B37" s="99" t="inlineStr">
        <is>
          <t>A</t>
        </is>
      </c>
      <c r="C37" s="99" t="inlineStr">
        <is>
          <t>21</t>
        </is>
      </c>
      <c r="D37" s="99" t="n">
        <v>8</v>
      </c>
      <c r="E37" s="99" t="inlineStr">
        <is>
          <t>TU-A21</t>
        </is>
      </c>
      <c r="F37" s="99" t="inlineStr">
        <is>
          <t>TU-A21/S2</t>
        </is>
      </c>
      <c r="G37" s="99" t="n">
        <v>8</v>
      </c>
      <c r="H37" s="99" t="inlineStr">
        <is>
          <t>TR-A3</t>
        </is>
      </c>
      <c r="I37" s="99" t="n">
        <v>10</v>
      </c>
      <c r="J37" s="99" t="inlineStr">
        <is>
          <t>Ống 2 Cam / Nâu</t>
        </is>
      </c>
      <c r="K37" s="99" t="inlineStr">
        <is>
          <t>S4-08</t>
        </is>
      </c>
      <c r="L37" s="99" t="inlineStr">
        <is>
          <t>A-30</t>
        </is>
      </c>
      <c r="M37" s="99" t="inlineStr">
        <is>
          <t>PON-08</t>
        </is>
      </c>
      <c r="N37" s="99" t="inlineStr">
        <is>
          <t>Chưa lắp</t>
        </is>
      </c>
      <c r="O37" s="149" t="n"/>
      <c r="P37" s="150" t="n"/>
      <c r="Q37" s="13">
        <f>M37&amp;" &gt; P96#"&amp;U37&amp;" &gt; "&amp;K37&amp;" &gt; P96#"&amp;L37&amp;" &gt; "&amp;R37&amp;" "&amp;S37&amp;" "&amp;T37&amp;" &gt; "&amp;H37&amp;"#"&amp;I37&amp;" &gt; "&amp;F37&amp;" p"&amp;G37</f>
        <v/>
      </c>
      <c r="R37" s="9" t="inlineStr">
        <is>
          <t>ODF-17/18</t>
        </is>
      </c>
      <c r="S37" s="9" t="inlineStr">
        <is>
          <t>Trái</t>
        </is>
      </c>
      <c r="T37" s="9" t="inlineStr">
        <is>
          <t>H2-C4</t>
        </is>
      </c>
      <c r="U37" s="9" t="inlineStr">
        <is>
          <t>A-44</t>
        </is>
      </c>
    </row>
    <row r="38">
      <c r="A38" s="149" t="inlineStr">
        <is>
          <t>A-21-09</t>
        </is>
      </c>
      <c r="B38" s="99" t="inlineStr">
        <is>
          <t>A</t>
        </is>
      </c>
      <c r="C38" s="99" t="inlineStr">
        <is>
          <t>21</t>
        </is>
      </c>
      <c r="D38" s="99" t="n">
        <v>9</v>
      </c>
      <c r="E38" s="99" t="inlineStr">
        <is>
          <t>TU-A21</t>
        </is>
      </c>
      <c r="F38" s="99" t="inlineStr">
        <is>
          <t>TU-A21/S2</t>
        </is>
      </c>
      <c r="G38" s="99" t="n">
        <v>9</v>
      </c>
      <c r="H38" s="99" t="inlineStr">
        <is>
          <t>TR-A3</t>
        </is>
      </c>
      <c r="I38" s="99" t="n">
        <v>10</v>
      </c>
      <c r="J38" s="99" t="inlineStr">
        <is>
          <t>Ống 2 Cam / Nâu</t>
        </is>
      </c>
      <c r="K38" s="99" t="inlineStr">
        <is>
          <t>S4-08</t>
        </is>
      </c>
      <c r="L38" s="99" t="inlineStr">
        <is>
          <t>A-30</t>
        </is>
      </c>
      <c r="M38" s="99" t="inlineStr">
        <is>
          <t>PON-08</t>
        </is>
      </c>
      <c r="N38" s="99" t="inlineStr">
        <is>
          <t>Chưa lắp</t>
        </is>
      </c>
      <c r="O38" s="149" t="n"/>
      <c r="P38" s="150" t="n"/>
      <c r="Q38" s="13">
        <f>M38&amp;" &gt; P96#"&amp;U38&amp;" &gt; "&amp;K38&amp;" &gt; P96#"&amp;L38&amp;" &gt; "&amp;R38&amp;" "&amp;S38&amp;" "&amp;T38&amp;" &gt; "&amp;H38&amp;"#"&amp;I38&amp;" &gt; "&amp;F38&amp;" p"&amp;G38</f>
        <v/>
      </c>
      <c r="R38" s="9" t="inlineStr">
        <is>
          <t>ODF-17/18</t>
        </is>
      </c>
      <c r="S38" s="9" t="inlineStr">
        <is>
          <t>Trái</t>
        </is>
      </c>
      <c r="T38" s="9" t="inlineStr">
        <is>
          <t>H2-C4</t>
        </is>
      </c>
      <c r="U38" s="9" t="inlineStr">
        <is>
          <t>A-44</t>
        </is>
      </c>
    </row>
    <row r="39">
      <c r="A39" s="149" t="inlineStr">
        <is>
          <t>A-21-10</t>
        </is>
      </c>
      <c r="B39" s="99" t="inlineStr">
        <is>
          <t>A</t>
        </is>
      </c>
      <c r="C39" s="99" t="inlineStr">
        <is>
          <t>21</t>
        </is>
      </c>
      <c r="D39" s="99" t="n">
        <v>10</v>
      </c>
      <c r="E39" s="99" t="inlineStr">
        <is>
          <t>TU-A21</t>
        </is>
      </c>
      <c r="F39" s="99" t="inlineStr">
        <is>
          <t>TU-A21/S2</t>
        </is>
      </c>
      <c r="G39" s="99" t="n">
        <v>10</v>
      </c>
      <c r="H39" s="99" t="inlineStr">
        <is>
          <t>TR-A3</t>
        </is>
      </c>
      <c r="I39" s="99" t="n">
        <v>10</v>
      </c>
      <c r="J39" s="99" t="inlineStr">
        <is>
          <t>Ống 2 Cam / Nâu</t>
        </is>
      </c>
      <c r="K39" s="99" t="inlineStr">
        <is>
          <t>S4-08</t>
        </is>
      </c>
      <c r="L39" s="99" t="inlineStr">
        <is>
          <t>A-30</t>
        </is>
      </c>
      <c r="M39" s="99" t="inlineStr">
        <is>
          <t>PON-08</t>
        </is>
      </c>
      <c r="N39" s="99" t="inlineStr">
        <is>
          <t>Chưa lắp</t>
        </is>
      </c>
      <c r="O39" s="149" t="n"/>
      <c r="P39" s="150" t="n"/>
      <c r="Q39" s="13">
        <f>M39&amp;" &gt; P96#"&amp;U39&amp;" &gt; "&amp;K39&amp;" &gt; P96#"&amp;L39&amp;" &gt; "&amp;R39&amp;" "&amp;S39&amp;" "&amp;T39&amp;" &gt; "&amp;H39&amp;"#"&amp;I39&amp;" &gt; "&amp;F39&amp;" p"&amp;G39</f>
        <v/>
      </c>
      <c r="R39" s="9" t="inlineStr">
        <is>
          <t>ODF-17/18</t>
        </is>
      </c>
      <c r="S39" s="9" t="inlineStr">
        <is>
          <t>Trái</t>
        </is>
      </c>
      <c r="T39" s="9" t="inlineStr">
        <is>
          <t>H2-C4</t>
        </is>
      </c>
      <c r="U39" s="9" t="inlineStr">
        <is>
          <t>A-44</t>
        </is>
      </c>
    </row>
    <row r="40">
      <c r="A40" s="149" t="inlineStr">
        <is>
          <t>A-21-11</t>
        </is>
      </c>
      <c r="B40" s="99" t="inlineStr">
        <is>
          <t>A</t>
        </is>
      </c>
      <c r="C40" s="99" t="inlineStr">
        <is>
          <t>21</t>
        </is>
      </c>
      <c r="D40" s="99" t="n">
        <v>11</v>
      </c>
      <c r="E40" s="99" t="inlineStr">
        <is>
          <t>TU-A21</t>
        </is>
      </c>
      <c r="F40" s="99" t="inlineStr">
        <is>
          <t>TU-A21/S2</t>
        </is>
      </c>
      <c r="G40" s="99" t="n">
        <v>11</v>
      </c>
      <c r="H40" s="99" t="inlineStr">
        <is>
          <t>TR-A3</t>
        </is>
      </c>
      <c r="I40" s="99" t="n">
        <v>10</v>
      </c>
      <c r="J40" s="99" t="inlineStr">
        <is>
          <t>Ống 2 Cam / Nâu</t>
        </is>
      </c>
      <c r="K40" s="99" t="inlineStr">
        <is>
          <t>S4-08</t>
        </is>
      </c>
      <c r="L40" s="99" t="inlineStr">
        <is>
          <t>A-30</t>
        </is>
      </c>
      <c r="M40" s="99" t="inlineStr">
        <is>
          <t>PON-08</t>
        </is>
      </c>
      <c r="N40" s="99" t="inlineStr">
        <is>
          <t>Chưa lắp</t>
        </is>
      </c>
      <c r="O40" s="149" t="n"/>
      <c r="P40" s="150" t="n"/>
      <c r="Q40" s="13">
        <f>M40&amp;" &gt; P96#"&amp;U40&amp;" &gt; "&amp;K40&amp;" &gt; P96#"&amp;L40&amp;" &gt; "&amp;R40&amp;" "&amp;S40&amp;" "&amp;T40&amp;" &gt; "&amp;H40&amp;"#"&amp;I40&amp;" &gt; "&amp;F40&amp;" p"&amp;G40</f>
        <v/>
      </c>
      <c r="R40" s="9" t="inlineStr">
        <is>
          <t>ODF-17/18</t>
        </is>
      </c>
      <c r="S40" s="9" t="inlineStr">
        <is>
          <t>Trái</t>
        </is>
      </c>
      <c r="T40" s="9" t="inlineStr">
        <is>
          <t>H2-C4</t>
        </is>
      </c>
      <c r="U40" s="9" t="inlineStr">
        <is>
          <t>A-44</t>
        </is>
      </c>
    </row>
    <row r="41">
      <c r="A41" s="149" t="inlineStr">
        <is>
          <t>A-21-12</t>
        </is>
      </c>
      <c r="B41" s="99" t="inlineStr">
        <is>
          <t>A</t>
        </is>
      </c>
      <c r="C41" s="99" t="inlineStr">
        <is>
          <t>21</t>
        </is>
      </c>
      <c r="D41" s="99" t="n">
        <v>12</v>
      </c>
      <c r="E41" s="99" t="inlineStr">
        <is>
          <t>TU-A21</t>
        </is>
      </c>
      <c r="F41" s="99" t="inlineStr">
        <is>
          <t>TU-A21/S2</t>
        </is>
      </c>
      <c r="G41" s="99" t="n">
        <v>12</v>
      </c>
      <c r="H41" s="99" t="inlineStr">
        <is>
          <t>TR-A3</t>
        </is>
      </c>
      <c r="I41" s="99" t="n">
        <v>10</v>
      </c>
      <c r="J41" s="99" t="inlineStr">
        <is>
          <t>Ống 2 Cam / Nâu</t>
        </is>
      </c>
      <c r="K41" s="99" t="inlineStr">
        <is>
          <t>S4-08</t>
        </is>
      </c>
      <c r="L41" s="99" t="inlineStr">
        <is>
          <t>A-30</t>
        </is>
      </c>
      <c r="M41" s="99" t="inlineStr">
        <is>
          <t>PON-08</t>
        </is>
      </c>
      <c r="N41" s="99" t="inlineStr">
        <is>
          <t>Chưa lắp</t>
        </is>
      </c>
      <c r="O41" s="149" t="n"/>
      <c r="P41" s="150" t="n"/>
      <c r="Q41" s="13">
        <f>M41&amp;" &gt; P96#"&amp;U41&amp;" &gt; "&amp;K41&amp;" &gt; P96#"&amp;L41&amp;" &gt; "&amp;R41&amp;" "&amp;S41&amp;" "&amp;T41&amp;" &gt; "&amp;H41&amp;"#"&amp;I41&amp;" &gt; "&amp;F41&amp;" p"&amp;G41</f>
        <v/>
      </c>
      <c r="R41" s="9" t="inlineStr">
        <is>
          <t>ODF-17/18</t>
        </is>
      </c>
      <c r="S41" s="9" t="inlineStr">
        <is>
          <t>Trái</t>
        </is>
      </c>
      <c r="T41" s="9" t="inlineStr">
        <is>
          <t>H2-C4</t>
        </is>
      </c>
      <c r="U41" s="9" t="inlineStr">
        <is>
          <t>A-44</t>
        </is>
      </c>
    </row>
    <row r="42">
      <c r="A42" s="149" t="inlineStr">
        <is>
          <t>A-21-13</t>
        </is>
      </c>
      <c r="B42" s="99" t="inlineStr">
        <is>
          <t>A</t>
        </is>
      </c>
      <c r="C42" s="99" t="inlineStr">
        <is>
          <t>21</t>
        </is>
      </c>
      <c r="D42" s="99" t="n">
        <v>13</v>
      </c>
      <c r="E42" s="99" t="inlineStr">
        <is>
          <t>TU-A21</t>
        </is>
      </c>
      <c r="F42" s="99" t="inlineStr">
        <is>
          <t>TU-A21/S2</t>
        </is>
      </c>
      <c r="G42" s="99" t="n">
        <v>13</v>
      </c>
      <c r="H42" s="99" t="inlineStr">
        <is>
          <t>TR-A3</t>
        </is>
      </c>
      <c r="I42" s="99" t="n">
        <v>10</v>
      </c>
      <c r="J42" s="99" t="inlineStr">
        <is>
          <t>Ống 2 Cam / Nâu</t>
        </is>
      </c>
      <c r="K42" s="99" t="inlineStr">
        <is>
          <t>S4-08</t>
        </is>
      </c>
      <c r="L42" s="99" t="inlineStr">
        <is>
          <t>A-30</t>
        </is>
      </c>
      <c r="M42" s="99" t="inlineStr">
        <is>
          <t>PON-08</t>
        </is>
      </c>
      <c r="N42" s="99" t="inlineStr">
        <is>
          <t>Chưa lắp</t>
        </is>
      </c>
      <c r="O42" s="149" t="n"/>
      <c r="P42" s="150" t="n"/>
      <c r="Q42" s="13">
        <f>M42&amp;" &gt; P96#"&amp;U42&amp;" &gt; "&amp;K42&amp;" &gt; P96#"&amp;L42&amp;" &gt; "&amp;R42&amp;" "&amp;S42&amp;" "&amp;T42&amp;" &gt; "&amp;H42&amp;"#"&amp;I42&amp;" &gt; "&amp;F42&amp;" p"&amp;G42</f>
        <v/>
      </c>
      <c r="R42" s="9" t="inlineStr">
        <is>
          <t>ODF-17/18</t>
        </is>
      </c>
      <c r="S42" s="9" t="inlineStr">
        <is>
          <t>Trái</t>
        </is>
      </c>
      <c r="T42" s="9" t="inlineStr">
        <is>
          <t>H2-C4</t>
        </is>
      </c>
      <c r="U42" s="9" t="inlineStr">
        <is>
          <t>A-44</t>
        </is>
      </c>
    </row>
    <row r="43">
      <c r="A43" s="149" t="inlineStr">
        <is>
          <t>A-21-14</t>
        </is>
      </c>
      <c r="B43" s="99" t="inlineStr">
        <is>
          <t>A</t>
        </is>
      </c>
      <c r="C43" s="99" t="inlineStr">
        <is>
          <t>21</t>
        </is>
      </c>
      <c r="D43" s="99" t="n">
        <v>14</v>
      </c>
      <c r="E43" s="99" t="inlineStr">
        <is>
          <t>TU-A21</t>
        </is>
      </c>
      <c r="F43" s="99" t="inlineStr">
        <is>
          <t>TU-A21/S2</t>
        </is>
      </c>
      <c r="G43" s="99" t="n">
        <v>14</v>
      </c>
      <c r="H43" s="99" t="inlineStr">
        <is>
          <t>TR-A3</t>
        </is>
      </c>
      <c r="I43" s="99" t="n">
        <v>10</v>
      </c>
      <c r="J43" s="99" t="inlineStr">
        <is>
          <t>Ống 2 Cam / Nâu</t>
        </is>
      </c>
      <c r="K43" s="99" t="inlineStr">
        <is>
          <t>S4-08</t>
        </is>
      </c>
      <c r="L43" s="99" t="inlineStr">
        <is>
          <t>A-30</t>
        </is>
      </c>
      <c r="M43" s="99" t="inlineStr">
        <is>
          <t>PON-08</t>
        </is>
      </c>
      <c r="N43" s="99" t="inlineStr">
        <is>
          <t>Chưa lắp</t>
        </is>
      </c>
      <c r="O43" s="149" t="n"/>
      <c r="P43" s="150" t="n"/>
      <c r="Q43" s="13">
        <f>M43&amp;" &gt; P96#"&amp;U43&amp;" &gt; "&amp;K43&amp;" &gt; P96#"&amp;L43&amp;" &gt; "&amp;R43&amp;" "&amp;S43&amp;" "&amp;T43&amp;" &gt; "&amp;H43&amp;"#"&amp;I43&amp;" &gt; "&amp;F43&amp;" p"&amp;G43</f>
        <v/>
      </c>
      <c r="R43" s="9" t="inlineStr">
        <is>
          <t>ODF-17/18</t>
        </is>
      </c>
      <c r="S43" s="9" t="inlineStr">
        <is>
          <t>Trái</t>
        </is>
      </c>
      <c r="T43" s="9" t="inlineStr">
        <is>
          <t>H2-C4</t>
        </is>
      </c>
      <c r="U43" s="9" t="inlineStr">
        <is>
          <t>A-44</t>
        </is>
      </c>
    </row>
    <row r="44">
      <c r="A44" s="151" t="inlineStr">
        <is>
          <t>A-20-01</t>
        </is>
      </c>
      <c r="B44" s="102" t="inlineStr">
        <is>
          <t>A</t>
        </is>
      </c>
      <c r="C44" s="102" t="inlineStr">
        <is>
          <t>20</t>
        </is>
      </c>
      <c r="D44" s="102" t="n">
        <v>1</v>
      </c>
      <c r="E44" s="102" t="inlineStr">
        <is>
          <t>TU-A21</t>
        </is>
      </c>
      <c r="F44" s="102" t="inlineStr">
        <is>
          <t>TU-A21/S1</t>
        </is>
      </c>
      <c r="G44" s="102" t="n">
        <v>1</v>
      </c>
      <c r="H44" s="102" t="inlineStr">
        <is>
          <t>TR-A3</t>
        </is>
      </c>
      <c r="I44" s="102" t="n">
        <v>9</v>
      </c>
      <c r="J44" s="102" t="inlineStr">
        <is>
          <t>Ống 2 Cam / Xanh lá</t>
        </is>
      </c>
      <c r="K44" s="102" t="inlineStr">
        <is>
          <t>S4-08</t>
        </is>
      </c>
      <c r="L44" s="102" t="inlineStr">
        <is>
          <t>A-29</t>
        </is>
      </c>
      <c r="M44" s="102" t="inlineStr">
        <is>
          <t>PON-08</t>
        </is>
      </c>
      <c r="N44" s="102" t="inlineStr">
        <is>
          <t>Chưa lắp</t>
        </is>
      </c>
      <c r="O44" s="151" t="n"/>
      <c r="P44" s="152" t="n"/>
      <c r="Q44" s="13">
        <f>M44&amp;" &gt; P96#"&amp;U44&amp;" &gt; "&amp;K44&amp;" &gt; P96#"&amp;L44&amp;" &gt; "&amp;R44&amp;" "&amp;S44&amp;" "&amp;T44&amp;" &gt; "&amp;H44&amp;"#"&amp;I44&amp;" &gt; "&amp;F44&amp;" p"&amp;G44</f>
        <v/>
      </c>
      <c r="R44" s="9" t="inlineStr">
        <is>
          <t>ODF-17/18</t>
        </is>
      </c>
      <c r="S44" s="9" t="inlineStr">
        <is>
          <t>Trái</t>
        </is>
      </c>
      <c r="T44" s="9" t="inlineStr">
        <is>
          <t>H2-C3</t>
        </is>
      </c>
      <c r="U44" s="9" t="inlineStr">
        <is>
          <t>A-44</t>
        </is>
      </c>
    </row>
    <row r="45">
      <c r="A45" s="151" t="inlineStr">
        <is>
          <t>A-20-02</t>
        </is>
      </c>
      <c r="B45" s="102" t="inlineStr">
        <is>
          <t>A</t>
        </is>
      </c>
      <c r="C45" s="102" t="inlineStr">
        <is>
          <t>20</t>
        </is>
      </c>
      <c r="D45" s="102" t="n">
        <v>2</v>
      </c>
      <c r="E45" s="102" t="inlineStr">
        <is>
          <t>TU-A21</t>
        </is>
      </c>
      <c r="F45" s="102" t="inlineStr">
        <is>
          <t>TU-A21/S1</t>
        </is>
      </c>
      <c r="G45" s="102" t="n">
        <v>2</v>
      </c>
      <c r="H45" s="102" t="inlineStr">
        <is>
          <t>TR-A3</t>
        </is>
      </c>
      <c r="I45" s="102" t="n">
        <v>9</v>
      </c>
      <c r="J45" s="102" t="inlineStr">
        <is>
          <t>Ống 2 Cam / Xanh lá</t>
        </is>
      </c>
      <c r="K45" s="102" t="inlineStr">
        <is>
          <t>S4-08</t>
        </is>
      </c>
      <c r="L45" s="102" t="inlineStr">
        <is>
          <t>A-29</t>
        </is>
      </c>
      <c r="M45" s="102" t="inlineStr">
        <is>
          <t>PON-08</t>
        </is>
      </c>
      <c r="N45" s="102" t="inlineStr">
        <is>
          <t>Chưa lắp</t>
        </is>
      </c>
      <c r="O45" s="151" t="n"/>
      <c r="P45" s="152" t="n"/>
      <c r="Q45" s="13">
        <f>M45&amp;" &gt; P96#"&amp;U45&amp;" &gt; "&amp;K45&amp;" &gt; P96#"&amp;L45&amp;" &gt; "&amp;R45&amp;" "&amp;S45&amp;" "&amp;T45&amp;" &gt; "&amp;H45&amp;"#"&amp;I45&amp;" &gt; "&amp;F45&amp;" p"&amp;G45</f>
        <v/>
      </c>
      <c r="R45" s="9" t="inlineStr">
        <is>
          <t>ODF-17/18</t>
        </is>
      </c>
      <c r="S45" s="9" t="inlineStr">
        <is>
          <t>Trái</t>
        </is>
      </c>
      <c r="T45" s="9" t="inlineStr">
        <is>
          <t>H2-C3</t>
        </is>
      </c>
      <c r="U45" s="9" t="inlineStr">
        <is>
          <t>A-44</t>
        </is>
      </c>
    </row>
    <row r="46">
      <c r="A46" s="151" t="inlineStr">
        <is>
          <t>A-20-03</t>
        </is>
      </c>
      <c r="B46" s="102" t="inlineStr">
        <is>
          <t>A</t>
        </is>
      </c>
      <c r="C46" s="102" t="inlineStr">
        <is>
          <t>20</t>
        </is>
      </c>
      <c r="D46" s="102" t="n">
        <v>3</v>
      </c>
      <c r="E46" s="102" t="inlineStr">
        <is>
          <t>TU-A21</t>
        </is>
      </c>
      <c r="F46" s="102" t="inlineStr">
        <is>
          <t>TU-A21/S1</t>
        </is>
      </c>
      <c r="G46" s="102" t="n">
        <v>3</v>
      </c>
      <c r="H46" s="102" t="inlineStr">
        <is>
          <t>TR-A3</t>
        </is>
      </c>
      <c r="I46" s="102" t="n">
        <v>9</v>
      </c>
      <c r="J46" s="102" t="inlineStr">
        <is>
          <t>Ống 2 Cam / Xanh lá</t>
        </is>
      </c>
      <c r="K46" s="102" t="inlineStr">
        <is>
          <t>S4-08</t>
        </is>
      </c>
      <c r="L46" s="102" t="inlineStr">
        <is>
          <t>A-29</t>
        </is>
      </c>
      <c r="M46" s="102" t="inlineStr">
        <is>
          <t>PON-08</t>
        </is>
      </c>
      <c r="N46" s="102" t="inlineStr">
        <is>
          <t>Chưa lắp</t>
        </is>
      </c>
      <c r="O46" s="151" t="n"/>
      <c r="P46" s="152" t="n"/>
      <c r="Q46" s="13">
        <f>M46&amp;" &gt; P96#"&amp;U46&amp;" &gt; "&amp;K46&amp;" &gt; P96#"&amp;L46&amp;" &gt; "&amp;R46&amp;" "&amp;S46&amp;" "&amp;T46&amp;" &gt; "&amp;H46&amp;"#"&amp;I46&amp;" &gt; "&amp;F46&amp;" p"&amp;G46</f>
        <v/>
      </c>
      <c r="R46" s="9" t="inlineStr">
        <is>
          <t>ODF-17/18</t>
        </is>
      </c>
      <c r="S46" s="9" t="inlineStr">
        <is>
          <t>Trái</t>
        </is>
      </c>
      <c r="T46" s="9" t="inlineStr">
        <is>
          <t>H2-C3</t>
        </is>
      </c>
      <c r="U46" s="9" t="inlineStr">
        <is>
          <t>A-44</t>
        </is>
      </c>
    </row>
    <row r="47">
      <c r="A47" s="151" t="inlineStr">
        <is>
          <t>A-20-04</t>
        </is>
      </c>
      <c r="B47" s="102" t="inlineStr">
        <is>
          <t>A</t>
        </is>
      </c>
      <c r="C47" s="102" t="inlineStr">
        <is>
          <t>20</t>
        </is>
      </c>
      <c r="D47" s="102" t="n">
        <v>4</v>
      </c>
      <c r="E47" s="102" t="inlineStr">
        <is>
          <t>TU-A21</t>
        </is>
      </c>
      <c r="F47" s="102" t="inlineStr">
        <is>
          <t>TU-A21/S1</t>
        </is>
      </c>
      <c r="G47" s="102" t="n">
        <v>4</v>
      </c>
      <c r="H47" s="102" t="inlineStr">
        <is>
          <t>TR-A3</t>
        </is>
      </c>
      <c r="I47" s="102" t="n">
        <v>9</v>
      </c>
      <c r="J47" s="102" t="inlineStr">
        <is>
          <t>Ống 2 Cam / Xanh lá</t>
        </is>
      </c>
      <c r="K47" s="102" t="inlineStr">
        <is>
          <t>S4-08</t>
        </is>
      </c>
      <c r="L47" s="102" t="inlineStr">
        <is>
          <t>A-29</t>
        </is>
      </c>
      <c r="M47" s="102" t="inlineStr">
        <is>
          <t>PON-08</t>
        </is>
      </c>
      <c r="N47" s="102" t="inlineStr">
        <is>
          <t>Chưa lắp</t>
        </is>
      </c>
      <c r="O47" s="151" t="n"/>
      <c r="P47" s="152" t="n"/>
      <c r="Q47" s="13">
        <f>M47&amp;" &gt; P96#"&amp;U47&amp;" &gt; "&amp;K47&amp;" &gt; P96#"&amp;L47&amp;" &gt; "&amp;R47&amp;" "&amp;S47&amp;" "&amp;T47&amp;" &gt; "&amp;H47&amp;"#"&amp;I47&amp;" &gt; "&amp;F47&amp;" p"&amp;G47</f>
        <v/>
      </c>
      <c r="R47" s="9" t="inlineStr">
        <is>
          <t>ODF-17/18</t>
        </is>
      </c>
      <c r="S47" s="9" t="inlineStr">
        <is>
          <t>Trái</t>
        </is>
      </c>
      <c r="T47" s="9" t="inlineStr">
        <is>
          <t>H2-C3</t>
        </is>
      </c>
      <c r="U47" s="9" t="inlineStr">
        <is>
          <t>A-44</t>
        </is>
      </c>
    </row>
    <row r="48">
      <c r="A48" s="151" t="inlineStr">
        <is>
          <t>A-20-05</t>
        </is>
      </c>
      <c r="B48" s="102" t="inlineStr">
        <is>
          <t>A</t>
        </is>
      </c>
      <c r="C48" s="102" t="inlineStr">
        <is>
          <t>20</t>
        </is>
      </c>
      <c r="D48" s="102" t="n">
        <v>5</v>
      </c>
      <c r="E48" s="102" t="inlineStr">
        <is>
          <t>TU-A21</t>
        </is>
      </c>
      <c r="F48" s="102" t="inlineStr">
        <is>
          <t>TU-A21/S1</t>
        </is>
      </c>
      <c r="G48" s="102" t="n">
        <v>5</v>
      </c>
      <c r="H48" s="102" t="inlineStr">
        <is>
          <t>TR-A3</t>
        </is>
      </c>
      <c r="I48" s="102" t="n">
        <v>9</v>
      </c>
      <c r="J48" s="102" t="inlineStr">
        <is>
          <t>Ống 2 Cam / Xanh lá</t>
        </is>
      </c>
      <c r="K48" s="102" t="inlineStr">
        <is>
          <t>S4-08</t>
        </is>
      </c>
      <c r="L48" s="102" t="inlineStr">
        <is>
          <t>A-29</t>
        </is>
      </c>
      <c r="M48" s="102" t="inlineStr">
        <is>
          <t>PON-08</t>
        </is>
      </c>
      <c r="N48" s="102" t="inlineStr">
        <is>
          <t>Chưa lắp</t>
        </is>
      </c>
      <c r="O48" s="151" t="n"/>
      <c r="P48" s="152" t="n"/>
      <c r="Q48" s="13">
        <f>M48&amp;" &gt; P96#"&amp;U48&amp;" &gt; "&amp;K48&amp;" &gt; P96#"&amp;L48&amp;" &gt; "&amp;R48&amp;" "&amp;S48&amp;" "&amp;T48&amp;" &gt; "&amp;H48&amp;"#"&amp;I48&amp;" &gt; "&amp;F48&amp;" p"&amp;G48</f>
        <v/>
      </c>
      <c r="R48" s="9" t="inlineStr">
        <is>
          <t>ODF-17/18</t>
        </is>
      </c>
      <c r="S48" s="9" t="inlineStr">
        <is>
          <t>Trái</t>
        </is>
      </c>
      <c r="T48" s="9" t="inlineStr">
        <is>
          <t>H2-C3</t>
        </is>
      </c>
      <c r="U48" s="9" t="inlineStr">
        <is>
          <t>A-44</t>
        </is>
      </c>
    </row>
    <row r="49">
      <c r="A49" s="151" t="inlineStr">
        <is>
          <t>A-20-06</t>
        </is>
      </c>
      <c r="B49" s="102" t="inlineStr">
        <is>
          <t>A</t>
        </is>
      </c>
      <c r="C49" s="102" t="inlineStr">
        <is>
          <t>20</t>
        </is>
      </c>
      <c r="D49" s="102" t="n">
        <v>6</v>
      </c>
      <c r="E49" s="102" t="inlineStr">
        <is>
          <t>TU-A21</t>
        </is>
      </c>
      <c r="F49" s="102" t="inlineStr">
        <is>
          <t>TU-A21/S1</t>
        </is>
      </c>
      <c r="G49" s="102" t="n">
        <v>6</v>
      </c>
      <c r="H49" s="102" t="inlineStr">
        <is>
          <t>TR-A3</t>
        </is>
      </c>
      <c r="I49" s="102" t="n">
        <v>9</v>
      </c>
      <c r="J49" s="102" t="inlineStr">
        <is>
          <t>Ống 2 Cam / Xanh lá</t>
        </is>
      </c>
      <c r="K49" s="102" t="inlineStr">
        <is>
          <t>S4-08</t>
        </is>
      </c>
      <c r="L49" s="102" t="inlineStr">
        <is>
          <t>A-29</t>
        </is>
      </c>
      <c r="M49" s="102" t="inlineStr">
        <is>
          <t>PON-08</t>
        </is>
      </c>
      <c r="N49" s="102" t="inlineStr">
        <is>
          <t>Chưa lắp</t>
        </is>
      </c>
      <c r="O49" s="151" t="n"/>
      <c r="P49" s="152" t="n"/>
      <c r="Q49" s="13">
        <f>M49&amp;" &gt; P96#"&amp;U49&amp;" &gt; "&amp;K49&amp;" &gt; P96#"&amp;L49&amp;" &gt; "&amp;R49&amp;" "&amp;S49&amp;" "&amp;T49&amp;" &gt; "&amp;H49&amp;"#"&amp;I49&amp;" &gt; "&amp;F49&amp;" p"&amp;G49</f>
        <v/>
      </c>
      <c r="R49" s="9" t="inlineStr">
        <is>
          <t>ODF-17/18</t>
        </is>
      </c>
      <c r="S49" s="9" t="inlineStr">
        <is>
          <t>Trái</t>
        </is>
      </c>
      <c r="T49" s="9" t="inlineStr">
        <is>
          <t>H2-C3</t>
        </is>
      </c>
      <c r="U49" s="9" t="inlineStr">
        <is>
          <t>A-44</t>
        </is>
      </c>
    </row>
    <row r="50">
      <c r="A50" s="151" t="inlineStr">
        <is>
          <t>A-20-07</t>
        </is>
      </c>
      <c r="B50" s="102" t="inlineStr">
        <is>
          <t>A</t>
        </is>
      </c>
      <c r="C50" s="102" t="inlineStr">
        <is>
          <t>20</t>
        </is>
      </c>
      <c r="D50" s="102" t="n">
        <v>7</v>
      </c>
      <c r="E50" s="102" t="inlineStr">
        <is>
          <t>TU-A21</t>
        </is>
      </c>
      <c r="F50" s="102" t="inlineStr">
        <is>
          <t>TU-A21/S1</t>
        </is>
      </c>
      <c r="G50" s="102" t="n">
        <v>7</v>
      </c>
      <c r="H50" s="102" t="inlineStr">
        <is>
          <t>TR-A3</t>
        </is>
      </c>
      <c r="I50" s="102" t="n">
        <v>9</v>
      </c>
      <c r="J50" s="102" t="inlineStr">
        <is>
          <t>Ống 2 Cam / Xanh lá</t>
        </is>
      </c>
      <c r="K50" s="102" t="inlineStr">
        <is>
          <t>S4-08</t>
        </is>
      </c>
      <c r="L50" s="102" t="inlineStr">
        <is>
          <t>A-29</t>
        </is>
      </c>
      <c r="M50" s="102" t="inlineStr">
        <is>
          <t>PON-08</t>
        </is>
      </c>
      <c r="N50" s="102" t="inlineStr">
        <is>
          <t>Chưa lắp</t>
        </is>
      </c>
      <c r="O50" s="151" t="n"/>
      <c r="P50" s="152" t="n"/>
      <c r="Q50" s="13">
        <f>M50&amp;" &gt; P96#"&amp;U50&amp;" &gt; "&amp;K50&amp;" &gt; P96#"&amp;L50&amp;" &gt; "&amp;R50&amp;" "&amp;S50&amp;" "&amp;T50&amp;" &gt; "&amp;H50&amp;"#"&amp;I50&amp;" &gt; "&amp;F50&amp;" p"&amp;G50</f>
        <v/>
      </c>
      <c r="R50" s="9" t="inlineStr">
        <is>
          <t>ODF-17/18</t>
        </is>
      </c>
      <c r="S50" s="9" t="inlineStr">
        <is>
          <t>Trái</t>
        </is>
      </c>
      <c r="T50" s="9" t="inlineStr">
        <is>
          <t>H2-C3</t>
        </is>
      </c>
      <c r="U50" s="9" t="inlineStr">
        <is>
          <t>A-44</t>
        </is>
      </c>
    </row>
    <row r="51">
      <c r="A51" s="151" t="inlineStr">
        <is>
          <t>A-20-08</t>
        </is>
      </c>
      <c r="B51" s="102" t="inlineStr">
        <is>
          <t>A</t>
        </is>
      </c>
      <c r="C51" s="102" t="inlineStr">
        <is>
          <t>20</t>
        </is>
      </c>
      <c r="D51" s="102" t="n">
        <v>8</v>
      </c>
      <c r="E51" s="102" t="inlineStr">
        <is>
          <t>TU-A21</t>
        </is>
      </c>
      <c r="F51" s="102" t="inlineStr">
        <is>
          <t>TU-A21/S1</t>
        </is>
      </c>
      <c r="G51" s="102" t="n">
        <v>8</v>
      </c>
      <c r="H51" s="102" t="inlineStr">
        <is>
          <t>TR-A3</t>
        </is>
      </c>
      <c r="I51" s="102" t="n">
        <v>9</v>
      </c>
      <c r="J51" s="102" t="inlineStr">
        <is>
          <t>Ống 2 Cam / Xanh lá</t>
        </is>
      </c>
      <c r="K51" s="102" t="inlineStr">
        <is>
          <t>S4-08</t>
        </is>
      </c>
      <c r="L51" s="102" t="inlineStr">
        <is>
          <t>A-29</t>
        </is>
      </c>
      <c r="M51" s="102" t="inlineStr">
        <is>
          <t>PON-08</t>
        </is>
      </c>
      <c r="N51" s="102" t="inlineStr">
        <is>
          <t>Chưa lắp</t>
        </is>
      </c>
      <c r="O51" s="151" t="n"/>
      <c r="P51" s="152" t="n"/>
      <c r="Q51" s="13">
        <f>M51&amp;" &gt; P96#"&amp;U51&amp;" &gt; "&amp;K51&amp;" &gt; P96#"&amp;L51&amp;" &gt; "&amp;R51&amp;" "&amp;S51&amp;" "&amp;T51&amp;" &gt; "&amp;H51&amp;"#"&amp;I51&amp;" &gt; "&amp;F51&amp;" p"&amp;G51</f>
        <v/>
      </c>
      <c r="R51" s="9" t="inlineStr">
        <is>
          <t>ODF-17/18</t>
        </is>
      </c>
      <c r="S51" s="9" t="inlineStr">
        <is>
          <t>Trái</t>
        </is>
      </c>
      <c r="T51" s="9" t="inlineStr">
        <is>
          <t>H2-C3</t>
        </is>
      </c>
      <c r="U51" s="9" t="inlineStr">
        <is>
          <t>A-44</t>
        </is>
      </c>
    </row>
    <row r="52">
      <c r="A52" s="151" t="inlineStr">
        <is>
          <t>A-20-09</t>
        </is>
      </c>
      <c r="B52" s="102" t="inlineStr">
        <is>
          <t>A</t>
        </is>
      </c>
      <c r="C52" s="102" t="inlineStr">
        <is>
          <t>20</t>
        </is>
      </c>
      <c r="D52" s="102" t="n">
        <v>9</v>
      </c>
      <c r="E52" s="102" t="inlineStr">
        <is>
          <t>TU-A21</t>
        </is>
      </c>
      <c r="F52" s="102" t="inlineStr">
        <is>
          <t>TU-A21/S1</t>
        </is>
      </c>
      <c r="G52" s="102" t="n">
        <v>9</v>
      </c>
      <c r="H52" s="102" t="inlineStr">
        <is>
          <t>TR-A3</t>
        </is>
      </c>
      <c r="I52" s="102" t="n">
        <v>9</v>
      </c>
      <c r="J52" s="102" t="inlineStr">
        <is>
          <t>Ống 2 Cam / Xanh lá</t>
        </is>
      </c>
      <c r="K52" s="102" t="inlineStr">
        <is>
          <t>S4-08</t>
        </is>
      </c>
      <c r="L52" s="102" t="inlineStr">
        <is>
          <t>A-29</t>
        </is>
      </c>
      <c r="M52" s="102" t="inlineStr">
        <is>
          <t>PON-08</t>
        </is>
      </c>
      <c r="N52" s="102" t="inlineStr">
        <is>
          <t>Chưa lắp</t>
        </is>
      </c>
      <c r="O52" s="151" t="n"/>
      <c r="P52" s="152" t="n"/>
      <c r="Q52" s="13">
        <f>M52&amp;" &gt; P96#"&amp;U52&amp;" &gt; "&amp;K52&amp;" &gt; P96#"&amp;L52&amp;" &gt; "&amp;R52&amp;" "&amp;S52&amp;" "&amp;T52&amp;" &gt; "&amp;H52&amp;"#"&amp;I52&amp;" &gt; "&amp;F52&amp;" p"&amp;G52</f>
        <v/>
      </c>
      <c r="R52" s="9" t="inlineStr">
        <is>
          <t>ODF-17/18</t>
        </is>
      </c>
      <c r="S52" s="9" t="inlineStr">
        <is>
          <t>Trái</t>
        </is>
      </c>
      <c r="T52" s="9" t="inlineStr">
        <is>
          <t>H2-C3</t>
        </is>
      </c>
      <c r="U52" s="9" t="inlineStr">
        <is>
          <t>A-44</t>
        </is>
      </c>
    </row>
    <row r="53">
      <c r="A53" s="151" t="inlineStr">
        <is>
          <t>A-20-10</t>
        </is>
      </c>
      <c r="B53" s="102" t="inlineStr">
        <is>
          <t>A</t>
        </is>
      </c>
      <c r="C53" s="102" t="inlineStr">
        <is>
          <t>20</t>
        </is>
      </c>
      <c r="D53" s="102" t="n">
        <v>10</v>
      </c>
      <c r="E53" s="102" t="inlineStr">
        <is>
          <t>TU-A21</t>
        </is>
      </c>
      <c r="F53" s="102" t="inlineStr">
        <is>
          <t>TU-A21/S1</t>
        </is>
      </c>
      <c r="G53" s="102" t="n">
        <v>10</v>
      </c>
      <c r="H53" s="102" t="inlineStr">
        <is>
          <t>TR-A3</t>
        </is>
      </c>
      <c r="I53" s="102" t="n">
        <v>9</v>
      </c>
      <c r="J53" s="102" t="inlineStr">
        <is>
          <t>Ống 2 Cam / Xanh lá</t>
        </is>
      </c>
      <c r="K53" s="102" t="inlineStr">
        <is>
          <t>S4-08</t>
        </is>
      </c>
      <c r="L53" s="102" t="inlineStr">
        <is>
          <t>A-29</t>
        </is>
      </c>
      <c r="M53" s="102" t="inlineStr">
        <is>
          <t>PON-08</t>
        </is>
      </c>
      <c r="N53" s="102" t="inlineStr">
        <is>
          <t>Chưa lắp</t>
        </is>
      </c>
      <c r="O53" s="151" t="n"/>
      <c r="P53" s="152" t="n"/>
      <c r="Q53" s="13">
        <f>M53&amp;" &gt; P96#"&amp;U53&amp;" &gt; "&amp;K53&amp;" &gt; P96#"&amp;L53&amp;" &gt; "&amp;R53&amp;" "&amp;S53&amp;" "&amp;T53&amp;" &gt; "&amp;H53&amp;"#"&amp;I53&amp;" &gt; "&amp;F53&amp;" p"&amp;G53</f>
        <v/>
      </c>
      <c r="R53" s="9" t="inlineStr">
        <is>
          <t>ODF-17/18</t>
        </is>
      </c>
      <c r="S53" s="9" t="inlineStr">
        <is>
          <t>Trái</t>
        </is>
      </c>
      <c r="T53" s="9" t="inlineStr">
        <is>
          <t>H2-C3</t>
        </is>
      </c>
      <c r="U53" s="9" t="inlineStr">
        <is>
          <t>A-44</t>
        </is>
      </c>
    </row>
    <row r="54">
      <c r="A54" s="151" t="inlineStr">
        <is>
          <t>A-20-11</t>
        </is>
      </c>
      <c r="B54" s="102" t="inlineStr">
        <is>
          <t>A</t>
        </is>
      </c>
      <c r="C54" s="102" t="inlineStr">
        <is>
          <t>20</t>
        </is>
      </c>
      <c r="D54" s="102" t="n">
        <v>11</v>
      </c>
      <c r="E54" s="102" t="inlineStr">
        <is>
          <t>TU-A21</t>
        </is>
      </c>
      <c r="F54" s="102" t="inlineStr">
        <is>
          <t>TU-A21/S1</t>
        </is>
      </c>
      <c r="G54" s="102" t="n">
        <v>11</v>
      </c>
      <c r="H54" s="102" t="inlineStr">
        <is>
          <t>TR-A3</t>
        </is>
      </c>
      <c r="I54" s="102" t="n">
        <v>9</v>
      </c>
      <c r="J54" s="102" t="inlineStr">
        <is>
          <t>Ống 2 Cam / Xanh lá</t>
        </is>
      </c>
      <c r="K54" s="102" t="inlineStr">
        <is>
          <t>S4-08</t>
        </is>
      </c>
      <c r="L54" s="102" t="inlineStr">
        <is>
          <t>A-29</t>
        </is>
      </c>
      <c r="M54" s="102" t="inlineStr">
        <is>
          <t>PON-08</t>
        </is>
      </c>
      <c r="N54" s="102" t="inlineStr">
        <is>
          <t>Chưa lắp</t>
        </is>
      </c>
      <c r="O54" s="151" t="n"/>
      <c r="P54" s="152" t="n"/>
      <c r="Q54" s="13">
        <f>M54&amp;" &gt; P96#"&amp;U54&amp;" &gt; "&amp;K54&amp;" &gt; P96#"&amp;L54&amp;" &gt; "&amp;R54&amp;" "&amp;S54&amp;" "&amp;T54&amp;" &gt; "&amp;H54&amp;"#"&amp;I54&amp;" &gt; "&amp;F54&amp;" p"&amp;G54</f>
        <v/>
      </c>
      <c r="R54" s="9" t="inlineStr">
        <is>
          <t>ODF-17/18</t>
        </is>
      </c>
      <c r="S54" s="9" t="inlineStr">
        <is>
          <t>Trái</t>
        </is>
      </c>
      <c r="T54" s="9" t="inlineStr">
        <is>
          <t>H2-C3</t>
        </is>
      </c>
      <c r="U54" s="9" t="inlineStr">
        <is>
          <t>A-44</t>
        </is>
      </c>
    </row>
    <row r="55">
      <c r="A55" s="151" t="inlineStr">
        <is>
          <t>A-20-12</t>
        </is>
      </c>
      <c r="B55" s="102" t="inlineStr">
        <is>
          <t>A</t>
        </is>
      </c>
      <c r="C55" s="102" t="inlineStr">
        <is>
          <t>20</t>
        </is>
      </c>
      <c r="D55" s="102" t="n">
        <v>12</v>
      </c>
      <c r="E55" s="102" t="inlineStr">
        <is>
          <t>TU-A21</t>
        </is>
      </c>
      <c r="F55" s="102" t="inlineStr">
        <is>
          <t>TU-A21/S1</t>
        </is>
      </c>
      <c r="G55" s="102" t="n">
        <v>12</v>
      </c>
      <c r="H55" s="102" t="inlineStr">
        <is>
          <t>TR-A3</t>
        </is>
      </c>
      <c r="I55" s="102" t="n">
        <v>9</v>
      </c>
      <c r="J55" s="102" t="inlineStr">
        <is>
          <t>Ống 2 Cam / Xanh lá</t>
        </is>
      </c>
      <c r="K55" s="102" t="inlineStr">
        <is>
          <t>S4-08</t>
        </is>
      </c>
      <c r="L55" s="102" t="inlineStr">
        <is>
          <t>A-29</t>
        </is>
      </c>
      <c r="M55" s="102" t="inlineStr">
        <is>
          <t>PON-08</t>
        </is>
      </c>
      <c r="N55" s="102" t="inlineStr">
        <is>
          <t>Chưa lắp</t>
        </is>
      </c>
      <c r="O55" s="151" t="n"/>
      <c r="P55" s="152" t="n"/>
      <c r="Q55" s="13">
        <f>M55&amp;" &gt; P96#"&amp;U55&amp;" &gt; "&amp;K55&amp;" &gt; P96#"&amp;L55&amp;" &gt; "&amp;R55&amp;" "&amp;S55&amp;" "&amp;T55&amp;" &gt; "&amp;H55&amp;"#"&amp;I55&amp;" &gt; "&amp;F55&amp;" p"&amp;G55</f>
        <v/>
      </c>
      <c r="R55" s="9" t="inlineStr">
        <is>
          <t>ODF-17/18</t>
        </is>
      </c>
      <c r="S55" s="9" t="inlineStr">
        <is>
          <t>Trái</t>
        </is>
      </c>
      <c r="T55" s="9" t="inlineStr">
        <is>
          <t>H2-C3</t>
        </is>
      </c>
      <c r="U55" s="9" t="inlineStr">
        <is>
          <t>A-44</t>
        </is>
      </c>
    </row>
    <row r="56">
      <c r="A56" s="151" t="inlineStr">
        <is>
          <t>A-20-13</t>
        </is>
      </c>
      <c r="B56" s="102" t="inlineStr">
        <is>
          <t>A</t>
        </is>
      </c>
      <c r="C56" s="102" t="inlineStr">
        <is>
          <t>20</t>
        </is>
      </c>
      <c r="D56" s="102" t="n">
        <v>13</v>
      </c>
      <c r="E56" s="102" t="inlineStr">
        <is>
          <t>TU-A21</t>
        </is>
      </c>
      <c r="F56" s="102" t="inlineStr">
        <is>
          <t>TU-A21/S1</t>
        </is>
      </c>
      <c r="G56" s="102" t="n">
        <v>13</v>
      </c>
      <c r="H56" s="102" t="inlineStr">
        <is>
          <t>TR-A3</t>
        </is>
      </c>
      <c r="I56" s="102" t="n">
        <v>9</v>
      </c>
      <c r="J56" s="102" t="inlineStr">
        <is>
          <t>Ống 2 Cam / Xanh lá</t>
        </is>
      </c>
      <c r="K56" s="102" t="inlineStr">
        <is>
          <t>S4-08</t>
        </is>
      </c>
      <c r="L56" s="102" t="inlineStr">
        <is>
          <t>A-29</t>
        </is>
      </c>
      <c r="M56" s="102" t="inlineStr">
        <is>
          <t>PON-08</t>
        </is>
      </c>
      <c r="N56" s="102" t="inlineStr">
        <is>
          <t>Chưa lắp</t>
        </is>
      </c>
      <c r="O56" s="151" t="n"/>
      <c r="P56" s="152" t="n"/>
      <c r="Q56" s="13">
        <f>M56&amp;" &gt; P96#"&amp;U56&amp;" &gt; "&amp;K56&amp;" &gt; P96#"&amp;L56&amp;" &gt; "&amp;R56&amp;" "&amp;S56&amp;" "&amp;T56&amp;" &gt; "&amp;H56&amp;"#"&amp;I56&amp;" &gt; "&amp;F56&amp;" p"&amp;G56</f>
        <v/>
      </c>
      <c r="R56" s="9" t="inlineStr">
        <is>
          <t>ODF-17/18</t>
        </is>
      </c>
      <c r="S56" s="9" t="inlineStr">
        <is>
          <t>Trái</t>
        </is>
      </c>
      <c r="T56" s="9" t="inlineStr">
        <is>
          <t>H2-C3</t>
        </is>
      </c>
      <c r="U56" s="9" t="inlineStr">
        <is>
          <t>A-44</t>
        </is>
      </c>
    </row>
    <row r="57">
      <c r="A57" s="151" t="inlineStr">
        <is>
          <t>A-20-14</t>
        </is>
      </c>
      <c r="B57" s="102" t="inlineStr">
        <is>
          <t>A</t>
        </is>
      </c>
      <c r="C57" s="102" t="inlineStr">
        <is>
          <t>20</t>
        </is>
      </c>
      <c r="D57" s="102" t="n">
        <v>14</v>
      </c>
      <c r="E57" s="102" t="inlineStr">
        <is>
          <t>TU-A21</t>
        </is>
      </c>
      <c r="F57" s="102" t="inlineStr">
        <is>
          <t>TU-A21/S1</t>
        </is>
      </c>
      <c r="G57" s="102" t="n">
        <v>14</v>
      </c>
      <c r="H57" s="102" t="inlineStr">
        <is>
          <t>TR-A3</t>
        </is>
      </c>
      <c r="I57" s="102" t="n">
        <v>9</v>
      </c>
      <c r="J57" s="102" t="inlineStr">
        <is>
          <t>Ống 2 Cam / Xanh lá</t>
        </is>
      </c>
      <c r="K57" s="102" t="inlineStr">
        <is>
          <t>S4-08</t>
        </is>
      </c>
      <c r="L57" s="102" t="inlineStr">
        <is>
          <t>A-29</t>
        </is>
      </c>
      <c r="M57" s="102" t="inlineStr">
        <is>
          <t>PON-08</t>
        </is>
      </c>
      <c r="N57" s="102" t="inlineStr">
        <is>
          <t>Chưa lắp</t>
        </is>
      </c>
      <c r="O57" s="151" t="n"/>
      <c r="P57" s="152" t="n"/>
      <c r="Q57" s="13">
        <f>M57&amp;" &gt; P96#"&amp;U57&amp;" &gt; "&amp;K57&amp;" &gt; P96#"&amp;L57&amp;" &gt; "&amp;R57&amp;" "&amp;S57&amp;" "&amp;T57&amp;" &gt; "&amp;H57&amp;"#"&amp;I57&amp;" &gt; "&amp;F57&amp;" p"&amp;G57</f>
        <v/>
      </c>
      <c r="R57" s="9" t="inlineStr">
        <is>
          <t>ODF-17/18</t>
        </is>
      </c>
      <c r="S57" s="9" t="inlineStr">
        <is>
          <t>Trái</t>
        </is>
      </c>
      <c r="T57" s="9" t="inlineStr">
        <is>
          <t>H2-C3</t>
        </is>
      </c>
      <c r="U57" s="9" t="inlineStr">
        <is>
          <t>A-44</t>
        </is>
      </c>
    </row>
    <row r="58">
      <c r="A58" s="149" t="inlineStr">
        <is>
          <t>A-19-01</t>
        </is>
      </c>
      <c r="B58" s="99" t="inlineStr">
        <is>
          <t>A</t>
        </is>
      </c>
      <c r="C58" s="99" t="inlineStr">
        <is>
          <t>19</t>
        </is>
      </c>
      <c r="D58" s="99" t="n">
        <v>1</v>
      </c>
      <c r="E58" s="99" t="inlineStr">
        <is>
          <t>TU-A18</t>
        </is>
      </c>
      <c r="F58" s="99" t="inlineStr">
        <is>
          <t>TU-A18/S3</t>
        </is>
      </c>
      <c r="G58" s="99" t="n">
        <v>1</v>
      </c>
      <c r="H58" s="99" t="inlineStr">
        <is>
          <t>TR-A3</t>
        </is>
      </c>
      <c r="I58" s="99" t="n">
        <v>3</v>
      </c>
      <c r="J58" s="99" t="inlineStr">
        <is>
          <t>Ống 1 Xanh dương / Xanh lá</t>
        </is>
      </c>
      <c r="K58" s="99" t="inlineStr">
        <is>
          <t>S4-07</t>
        </is>
      </c>
      <c r="L58" s="99" t="inlineStr">
        <is>
          <t>A-27</t>
        </is>
      </c>
      <c r="M58" s="99" t="inlineStr">
        <is>
          <t>PON-07</t>
        </is>
      </c>
      <c r="N58" s="99" t="inlineStr">
        <is>
          <t>Chưa lắp</t>
        </is>
      </c>
      <c r="O58" s="149" t="n"/>
      <c r="P58" s="150" t="n"/>
      <c r="Q58" s="13">
        <f>M58&amp;" &gt; P96#"&amp;U58&amp;" &gt; "&amp;K58&amp;" &gt; P96#"&amp;L58&amp;" &gt; "&amp;R58&amp;" "&amp;S58&amp;" "&amp;T58&amp;" &gt; "&amp;H58&amp;"#"&amp;I58&amp;" &gt; "&amp;F58&amp;" p"&amp;G58</f>
        <v/>
      </c>
      <c r="R58" s="9" t="inlineStr">
        <is>
          <t>ODF-17/18</t>
        </is>
      </c>
      <c r="S58" s="9" t="inlineStr">
        <is>
          <t>Trái</t>
        </is>
      </c>
      <c r="T58" s="9" t="inlineStr">
        <is>
          <t>H1-C3</t>
        </is>
      </c>
      <c r="U58" s="9" t="inlineStr">
        <is>
          <t>A-43</t>
        </is>
      </c>
    </row>
    <row r="59">
      <c r="A59" s="149" t="inlineStr">
        <is>
          <t>A-19-02</t>
        </is>
      </c>
      <c r="B59" s="99" t="inlineStr">
        <is>
          <t>A</t>
        </is>
      </c>
      <c r="C59" s="99" t="inlineStr">
        <is>
          <t>19</t>
        </is>
      </c>
      <c r="D59" s="99" t="n">
        <v>2</v>
      </c>
      <c r="E59" s="99" t="inlineStr">
        <is>
          <t>TU-A18</t>
        </is>
      </c>
      <c r="F59" s="99" t="inlineStr">
        <is>
          <t>TU-A18/S3</t>
        </is>
      </c>
      <c r="G59" s="99" t="n">
        <v>2</v>
      </c>
      <c r="H59" s="99" t="inlineStr">
        <is>
          <t>TR-A3</t>
        </is>
      </c>
      <c r="I59" s="99" t="n">
        <v>3</v>
      </c>
      <c r="J59" s="99" t="inlineStr">
        <is>
          <t>Ống 1 Xanh dương / Xanh lá</t>
        </is>
      </c>
      <c r="K59" s="99" t="inlineStr">
        <is>
          <t>S4-07</t>
        </is>
      </c>
      <c r="L59" s="99" t="inlineStr">
        <is>
          <t>A-27</t>
        </is>
      </c>
      <c r="M59" s="99" t="inlineStr">
        <is>
          <t>PON-07</t>
        </is>
      </c>
      <c r="N59" s="99" t="inlineStr">
        <is>
          <t>Chưa lắp</t>
        </is>
      </c>
      <c r="O59" s="149" t="n"/>
      <c r="P59" s="150" t="n"/>
      <c r="Q59" s="13">
        <f>M59&amp;" &gt; P96#"&amp;U59&amp;" &gt; "&amp;K59&amp;" &gt; P96#"&amp;L59&amp;" &gt; "&amp;R59&amp;" "&amp;S59&amp;" "&amp;T59&amp;" &gt; "&amp;H59&amp;"#"&amp;I59&amp;" &gt; "&amp;F59&amp;" p"&amp;G59</f>
        <v/>
      </c>
      <c r="R59" s="9" t="inlineStr">
        <is>
          <t>ODF-17/18</t>
        </is>
      </c>
      <c r="S59" s="9" t="inlineStr">
        <is>
          <t>Trái</t>
        </is>
      </c>
      <c r="T59" s="9" t="inlineStr">
        <is>
          <t>H1-C3</t>
        </is>
      </c>
      <c r="U59" s="9" t="inlineStr">
        <is>
          <t>A-43</t>
        </is>
      </c>
    </row>
    <row r="60">
      <c r="A60" s="149" t="inlineStr">
        <is>
          <t>A-19-03</t>
        </is>
      </c>
      <c r="B60" s="99" t="inlineStr">
        <is>
          <t>A</t>
        </is>
      </c>
      <c r="C60" s="99" t="inlineStr">
        <is>
          <t>19</t>
        </is>
      </c>
      <c r="D60" s="99" t="n">
        <v>3</v>
      </c>
      <c r="E60" s="99" t="inlineStr">
        <is>
          <t>TU-A18</t>
        </is>
      </c>
      <c r="F60" s="99" t="inlineStr">
        <is>
          <t>TU-A18/S3</t>
        </is>
      </c>
      <c r="G60" s="99" t="n">
        <v>3</v>
      </c>
      <c r="H60" s="99" t="inlineStr">
        <is>
          <t>TR-A3</t>
        </is>
      </c>
      <c r="I60" s="99" t="n">
        <v>3</v>
      </c>
      <c r="J60" s="99" t="inlineStr">
        <is>
          <t>Ống 1 Xanh dương / Xanh lá</t>
        </is>
      </c>
      <c r="K60" s="99" t="inlineStr">
        <is>
          <t>S4-07</t>
        </is>
      </c>
      <c r="L60" s="99" t="inlineStr">
        <is>
          <t>A-27</t>
        </is>
      </c>
      <c r="M60" s="99" t="inlineStr">
        <is>
          <t>PON-07</t>
        </is>
      </c>
      <c r="N60" s="99" t="inlineStr">
        <is>
          <t>Chưa lắp</t>
        </is>
      </c>
      <c r="O60" s="149" t="n"/>
      <c r="P60" s="150" t="n"/>
      <c r="Q60" s="13">
        <f>M60&amp;" &gt; P96#"&amp;U60&amp;" &gt; "&amp;K60&amp;" &gt; P96#"&amp;L60&amp;" &gt; "&amp;R60&amp;" "&amp;S60&amp;" "&amp;T60&amp;" &gt; "&amp;H60&amp;"#"&amp;I60&amp;" &gt; "&amp;F60&amp;" p"&amp;G60</f>
        <v/>
      </c>
      <c r="R60" s="9" t="inlineStr">
        <is>
          <t>ODF-17/18</t>
        </is>
      </c>
      <c r="S60" s="9" t="inlineStr">
        <is>
          <t>Trái</t>
        </is>
      </c>
      <c r="T60" s="9" t="inlineStr">
        <is>
          <t>H1-C3</t>
        </is>
      </c>
      <c r="U60" s="9" t="inlineStr">
        <is>
          <t>A-43</t>
        </is>
      </c>
    </row>
    <row r="61">
      <c r="A61" s="149" t="inlineStr">
        <is>
          <t>A-19-04</t>
        </is>
      </c>
      <c r="B61" s="99" t="inlineStr">
        <is>
          <t>A</t>
        </is>
      </c>
      <c r="C61" s="99" t="inlineStr">
        <is>
          <t>19</t>
        </is>
      </c>
      <c r="D61" s="99" t="n">
        <v>4</v>
      </c>
      <c r="E61" s="99" t="inlineStr">
        <is>
          <t>TU-A18</t>
        </is>
      </c>
      <c r="F61" s="99" t="inlineStr">
        <is>
          <t>TU-A18/S3</t>
        </is>
      </c>
      <c r="G61" s="99" t="n">
        <v>4</v>
      </c>
      <c r="H61" s="99" t="inlineStr">
        <is>
          <t>TR-A3</t>
        </is>
      </c>
      <c r="I61" s="99" t="n">
        <v>3</v>
      </c>
      <c r="J61" s="99" t="inlineStr">
        <is>
          <t>Ống 1 Xanh dương / Xanh lá</t>
        </is>
      </c>
      <c r="K61" s="99" t="inlineStr">
        <is>
          <t>S4-07</t>
        </is>
      </c>
      <c r="L61" s="99" t="inlineStr">
        <is>
          <t>A-27</t>
        </is>
      </c>
      <c r="M61" s="99" t="inlineStr">
        <is>
          <t>PON-07</t>
        </is>
      </c>
      <c r="N61" s="99" t="inlineStr">
        <is>
          <t>Chưa lắp</t>
        </is>
      </c>
      <c r="O61" s="149" t="n"/>
      <c r="P61" s="150" t="n"/>
      <c r="Q61" s="13">
        <f>M61&amp;" &gt; P96#"&amp;U61&amp;" &gt; "&amp;K61&amp;" &gt; P96#"&amp;L61&amp;" &gt; "&amp;R61&amp;" "&amp;S61&amp;" "&amp;T61&amp;" &gt; "&amp;H61&amp;"#"&amp;I61&amp;" &gt; "&amp;F61&amp;" p"&amp;G61</f>
        <v/>
      </c>
      <c r="R61" s="9" t="inlineStr">
        <is>
          <t>ODF-17/18</t>
        </is>
      </c>
      <c r="S61" s="9" t="inlineStr">
        <is>
          <t>Trái</t>
        </is>
      </c>
      <c r="T61" s="9" t="inlineStr">
        <is>
          <t>H1-C3</t>
        </is>
      </c>
      <c r="U61" s="9" t="inlineStr">
        <is>
          <t>A-43</t>
        </is>
      </c>
    </row>
    <row r="62">
      <c r="A62" s="149" t="inlineStr">
        <is>
          <t>A-19-05</t>
        </is>
      </c>
      <c r="B62" s="99" t="inlineStr">
        <is>
          <t>A</t>
        </is>
      </c>
      <c r="C62" s="99" t="inlineStr">
        <is>
          <t>19</t>
        </is>
      </c>
      <c r="D62" s="99" t="n">
        <v>5</v>
      </c>
      <c r="E62" s="99" t="inlineStr">
        <is>
          <t>TU-A18</t>
        </is>
      </c>
      <c r="F62" s="99" t="inlineStr">
        <is>
          <t>TU-A18/S3</t>
        </is>
      </c>
      <c r="G62" s="99" t="n">
        <v>5</v>
      </c>
      <c r="H62" s="99" t="inlineStr">
        <is>
          <t>TR-A3</t>
        </is>
      </c>
      <c r="I62" s="99" t="n">
        <v>3</v>
      </c>
      <c r="J62" s="99" t="inlineStr">
        <is>
          <t>Ống 1 Xanh dương / Xanh lá</t>
        </is>
      </c>
      <c r="K62" s="99" t="inlineStr">
        <is>
          <t>S4-07</t>
        </is>
      </c>
      <c r="L62" s="99" t="inlineStr">
        <is>
          <t>A-27</t>
        </is>
      </c>
      <c r="M62" s="99" t="inlineStr">
        <is>
          <t>PON-07</t>
        </is>
      </c>
      <c r="N62" s="99" t="inlineStr">
        <is>
          <t>Chưa lắp</t>
        </is>
      </c>
      <c r="O62" s="149" t="n"/>
      <c r="P62" s="150" t="n"/>
      <c r="Q62" s="13">
        <f>M62&amp;" &gt; P96#"&amp;U62&amp;" &gt; "&amp;K62&amp;" &gt; P96#"&amp;L62&amp;" &gt; "&amp;R62&amp;" "&amp;S62&amp;" "&amp;T62&amp;" &gt; "&amp;H62&amp;"#"&amp;I62&amp;" &gt; "&amp;F62&amp;" p"&amp;G62</f>
        <v/>
      </c>
      <c r="R62" s="9" t="inlineStr">
        <is>
          <t>ODF-17/18</t>
        </is>
      </c>
      <c r="S62" s="9" t="inlineStr">
        <is>
          <t>Trái</t>
        </is>
      </c>
      <c r="T62" s="9" t="inlineStr">
        <is>
          <t>H1-C3</t>
        </is>
      </c>
      <c r="U62" s="9" t="inlineStr">
        <is>
          <t>A-43</t>
        </is>
      </c>
    </row>
    <row r="63">
      <c r="A63" s="149" t="inlineStr">
        <is>
          <t>A-19-06</t>
        </is>
      </c>
      <c r="B63" s="99" t="inlineStr">
        <is>
          <t>A</t>
        </is>
      </c>
      <c r="C63" s="99" t="inlineStr">
        <is>
          <t>19</t>
        </is>
      </c>
      <c r="D63" s="99" t="n">
        <v>6</v>
      </c>
      <c r="E63" s="99" t="inlineStr">
        <is>
          <t>TU-A18</t>
        </is>
      </c>
      <c r="F63" s="99" t="inlineStr">
        <is>
          <t>TU-A18/S3</t>
        </is>
      </c>
      <c r="G63" s="99" t="n">
        <v>6</v>
      </c>
      <c r="H63" s="99" t="inlineStr">
        <is>
          <t>TR-A3</t>
        </is>
      </c>
      <c r="I63" s="99" t="n">
        <v>3</v>
      </c>
      <c r="J63" s="99" t="inlineStr">
        <is>
          <t>Ống 1 Xanh dương / Xanh lá</t>
        </is>
      </c>
      <c r="K63" s="99" t="inlineStr">
        <is>
          <t>S4-07</t>
        </is>
      </c>
      <c r="L63" s="99" t="inlineStr">
        <is>
          <t>A-27</t>
        </is>
      </c>
      <c r="M63" s="99" t="inlineStr">
        <is>
          <t>PON-07</t>
        </is>
      </c>
      <c r="N63" s="99" t="inlineStr">
        <is>
          <t>Chưa lắp</t>
        </is>
      </c>
      <c r="O63" s="149" t="n"/>
      <c r="P63" s="150" t="n"/>
      <c r="Q63" s="13">
        <f>M63&amp;" &gt; P96#"&amp;U63&amp;" &gt; "&amp;K63&amp;" &gt; P96#"&amp;L63&amp;" &gt; "&amp;R63&amp;" "&amp;S63&amp;" "&amp;T63&amp;" &gt; "&amp;H63&amp;"#"&amp;I63&amp;" &gt; "&amp;F63&amp;" p"&amp;G63</f>
        <v/>
      </c>
      <c r="R63" s="9" t="inlineStr">
        <is>
          <t>ODF-17/18</t>
        </is>
      </c>
      <c r="S63" s="9" t="inlineStr">
        <is>
          <t>Trái</t>
        </is>
      </c>
      <c r="T63" s="9" t="inlineStr">
        <is>
          <t>H1-C3</t>
        </is>
      </c>
      <c r="U63" s="9" t="inlineStr">
        <is>
          <t>A-43</t>
        </is>
      </c>
    </row>
    <row r="64">
      <c r="A64" s="149" t="inlineStr">
        <is>
          <t>A-19-07</t>
        </is>
      </c>
      <c r="B64" s="99" t="inlineStr">
        <is>
          <t>A</t>
        </is>
      </c>
      <c r="C64" s="99" t="inlineStr">
        <is>
          <t>19</t>
        </is>
      </c>
      <c r="D64" s="99" t="n">
        <v>7</v>
      </c>
      <c r="E64" s="99" t="inlineStr">
        <is>
          <t>TU-A18</t>
        </is>
      </c>
      <c r="F64" s="99" t="inlineStr">
        <is>
          <t>TU-A18/S3</t>
        </is>
      </c>
      <c r="G64" s="99" t="n">
        <v>7</v>
      </c>
      <c r="H64" s="99" t="inlineStr">
        <is>
          <t>TR-A3</t>
        </is>
      </c>
      <c r="I64" s="99" t="n">
        <v>3</v>
      </c>
      <c r="J64" s="99" t="inlineStr">
        <is>
          <t>Ống 1 Xanh dương / Xanh lá</t>
        </is>
      </c>
      <c r="K64" s="99" t="inlineStr">
        <is>
          <t>S4-07</t>
        </is>
      </c>
      <c r="L64" s="99" t="inlineStr">
        <is>
          <t>A-27</t>
        </is>
      </c>
      <c r="M64" s="99" t="inlineStr">
        <is>
          <t>PON-07</t>
        </is>
      </c>
      <c r="N64" s="99" t="inlineStr">
        <is>
          <t>Chưa lắp</t>
        </is>
      </c>
      <c r="O64" s="149" t="n"/>
      <c r="P64" s="150" t="n"/>
      <c r="Q64" s="13">
        <f>M64&amp;" &gt; P96#"&amp;U64&amp;" &gt; "&amp;K64&amp;" &gt; P96#"&amp;L64&amp;" &gt; "&amp;R64&amp;" "&amp;S64&amp;" "&amp;T64&amp;" &gt; "&amp;H64&amp;"#"&amp;I64&amp;" &gt; "&amp;F64&amp;" p"&amp;G64</f>
        <v/>
      </c>
      <c r="R64" s="9" t="inlineStr">
        <is>
          <t>ODF-17/18</t>
        </is>
      </c>
      <c r="S64" s="9" t="inlineStr">
        <is>
          <t>Trái</t>
        </is>
      </c>
      <c r="T64" s="9" t="inlineStr">
        <is>
          <t>H1-C3</t>
        </is>
      </c>
      <c r="U64" s="9" t="inlineStr">
        <is>
          <t>A-43</t>
        </is>
      </c>
    </row>
    <row r="65">
      <c r="A65" s="149" t="inlineStr">
        <is>
          <t>A-19-08</t>
        </is>
      </c>
      <c r="B65" s="99" t="inlineStr">
        <is>
          <t>A</t>
        </is>
      </c>
      <c r="C65" s="99" t="inlineStr">
        <is>
          <t>19</t>
        </is>
      </c>
      <c r="D65" s="99" t="n">
        <v>8</v>
      </c>
      <c r="E65" s="99" t="inlineStr">
        <is>
          <t>TU-A18</t>
        </is>
      </c>
      <c r="F65" s="99" t="inlineStr">
        <is>
          <t>TU-A18/S3</t>
        </is>
      </c>
      <c r="G65" s="99" t="n">
        <v>8</v>
      </c>
      <c r="H65" s="99" t="inlineStr">
        <is>
          <t>TR-A3</t>
        </is>
      </c>
      <c r="I65" s="99" t="n">
        <v>3</v>
      </c>
      <c r="J65" s="99" t="inlineStr">
        <is>
          <t>Ống 1 Xanh dương / Xanh lá</t>
        </is>
      </c>
      <c r="K65" s="99" t="inlineStr">
        <is>
          <t>S4-07</t>
        </is>
      </c>
      <c r="L65" s="99" t="inlineStr">
        <is>
          <t>A-27</t>
        </is>
      </c>
      <c r="M65" s="99" t="inlineStr">
        <is>
          <t>PON-07</t>
        </is>
      </c>
      <c r="N65" s="99" t="inlineStr">
        <is>
          <t>Chưa lắp</t>
        </is>
      </c>
      <c r="O65" s="149" t="n"/>
      <c r="P65" s="150" t="n"/>
      <c r="Q65" s="13">
        <f>M65&amp;" &gt; P96#"&amp;U65&amp;" &gt; "&amp;K65&amp;" &gt; P96#"&amp;L65&amp;" &gt; "&amp;R65&amp;" "&amp;S65&amp;" "&amp;T65&amp;" &gt; "&amp;H65&amp;"#"&amp;I65&amp;" &gt; "&amp;F65&amp;" p"&amp;G65</f>
        <v/>
      </c>
      <c r="R65" s="9" t="inlineStr">
        <is>
          <t>ODF-17/18</t>
        </is>
      </c>
      <c r="S65" s="9" t="inlineStr">
        <is>
          <t>Trái</t>
        </is>
      </c>
      <c r="T65" s="9" t="inlineStr">
        <is>
          <t>H1-C3</t>
        </is>
      </c>
      <c r="U65" s="9" t="inlineStr">
        <is>
          <t>A-43</t>
        </is>
      </c>
    </row>
    <row r="66">
      <c r="A66" s="149" t="inlineStr">
        <is>
          <t>A-19-09</t>
        </is>
      </c>
      <c r="B66" s="99" t="inlineStr">
        <is>
          <t>A</t>
        </is>
      </c>
      <c r="C66" s="99" t="inlineStr">
        <is>
          <t>19</t>
        </is>
      </c>
      <c r="D66" s="99" t="n">
        <v>9</v>
      </c>
      <c r="E66" s="99" t="inlineStr">
        <is>
          <t>TU-A18</t>
        </is>
      </c>
      <c r="F66" s="99" t="inlineStr">
        <is>
          <t>TU-A18/S3</t>
        </is>
      </c>
      <c r="G66" s="99" t="n">
        <v>9</v>
      </c>
      <c r="H66" s="99" t="inlineStr">
        <is>
          <t>TR-A3</t>
        </is>
      </c>
      <c r="I66" s="99" t="n">
        <v>3</v>
      </c>
      <c r="J66" s="99" t="inlineStr">
        <is>
          <t>Ống 1 Xanh dương / Xanh lá</t>
        </is>
      </c>
      <c r="K66" s="99" t="inlineStr">
        <is>
          <t>S4-07</t>
        </is>
      </c>
      <c r="L66" s="99" t="inlineStr">
        <is>
          <t>A-27</t>
        </is>
      </c>
      <c r="M66" s="99" t="inlineStr">
        <is>
          <t>PON-07</t>
        </is>
      </c>
      <c r="N66" s="99" t="inlineStr">
        <is>
          <t>Chưa lắp</t>
        </is>
      </c>
      <c r="O66" s="149" t="n"/>
      <c r="P66" s="150" t="n"/>
      <c r="Q66" s="13">
        <f>M66&amp;" &gt; P96#"&amp;U66&amp;" &gt; "&amp;K66&amp;" &gt; P96#"&amp;L66&amp;" &gt; "&amp;R66&amp;" "&amp;S66&amp;" "&amp;T66&amp;" &gt; "&amp;H66&amp;"#"&amp;I66&amp;" &gt; "&amp;F66&amp;" p"&amp;G66</f>
        <v/>
      </c>
      <c r="R66" s="9" t="inlineStr">
        <is>
          <t>ODF-17/18</t>
        </is>
      </c>
      <c r="S66" s="9" t="inlineStr">
        <is>
          <t>Trái</t>
        </is>
      </c>
      <c r="T66" s="9" t="inlineStr">
        <is>
          <t>H1-C3</t>
        </is>
      </c>
      <c r="U66" s="9" t="inlineStr">
        <is>
          <t>A-43</t>
        </is>
      </c>
    </row>
    <row r="67">
      <c r="A67" s="149" t="inlineStr">
        <is>
          <t>A-19-10</t>
        </is>
      </c>
      <c r="B67" s="99" t="inlineStr">
        <is>
          <t>A</t>
        </is>
      </c>
      <c r="C67" s="99" t="inlineStr">
        <is>
          <t>19</t>
        </is>
      </c>
      <c r="D67" s="99" t="n">
        <v>10</v>
      </c>
      <c r="E67" s="99" t="inlineStr">
        <is>
          <t>TU-A18</t>
        </is>
      </c>
      <c r="F67" s="99" t="inlineStr">
        <is>
          <t>TU-A18/S3</t>
        </is>
      </c>
      <c r="G67" s="99" t="n">
        <v>10</v>
      </c>
      <c r="H67" s="99" t="inlineStr">
        <is>
          <t>TR-A3</t>
        </is>
      </c>
      <c r="I67" s="99" t="n">
        <v>3</v>
      </c>
      <c r="J67" s="99" t="inlineStr">
        <is>
          <t>Ống 1 Xanh dương / Xanh lá</t>
        </is>
      </c>
      <c r="K67" s="99" t="inlineStr">
        <is>
          <t>S4-07</t>
        </is>
      </c>
      <c r="L67" s="99" t="inlineStr">
        <is>
          <t>A-27</t>
        </is>
      </c>
      <c r="M67" s="99" t="inlineStr">
        <is>
          <t>PON-07</t>
        </is>
      </c>
      <c r="N67" s="99" t="inlineStr">
        <is>
          <t>Chưa lắp</t>
        </is>
      </c>
      <c r="O67" s="149" t="n"/>
      <c r="P67" s="150" t="n"/>
      <c r="Q67" s="13">
        <f>M67&amp;" &gt; P96#"&amp;U67&amp;" &gt; "&amp;K67&amp;" &gt; P96#"&amp;L67&amp;" &gt; "&amp;R67&amp;" "&amp;S67&amp;" "&amp;T67&amp;" &gt; "&amp;H67&amp;"#"&amp;I67&amp;" &gt; "&amp;F67&amp;" p"&amp;G67</f>
        <v/>
      </c>
      <c r="R67" s="9" t="inlineStr">
        <is>
          <t>ODF-17/18</t>
        </is>
      </c>
      <c r="S67" s="9" t="inlineStr">
        <is>
          <t>Trái</t>
        </is>
      </c>
      <c r="T67" s="9" t="inlineStr">
        <is>
          <t>H1-C3</t>
        </is>
      </c>
      <c r="U67" s="9" t="inlineStr">
        <is>
          <t>A-43</t>
        </is>
      </c>
    </row>
    <row r="68">
      <c r="A68" s="149" t="inlineStr">
        <is>
          <t>A-19-11</t>
        </is>
      </c>
      <c r="B68" s="99" t="inlineStr">
        <is>
          <t>A</t>
        </is>
      </c>
      <c r="C68" s="99" t="inlineStr">
        <is>
          <t>19</t>
        </is>
      </c>
      <c r="D68" s="99" t="n">
        <v>11</v>
      </c>
      <c r="E68" s="99" t="inlineStr">
        <is>
          <t>TU-A18</t>
        </is>
      </c>
      <c r="F68" s="99" t="inlineStr">
        <is>
          <t>TU-A18/S3</t>
        </is>
      </c>
      <c r="G68" s="99" t="n">
        <v>11</v>
      </c>
      <c r="H68" s="99" t="inlineStr">
        <is>
          <t>TR-A3</t>
        </is>
      </c>
      <c r="I68" s="99" t="n">
        <v>3</v>
      </c>
      <c r="J68" s="99" t="inlineStr">
        <is>
          <t>Ống 1 Xanh dương / Xanh lá</t>
        </is>
      </c>
      <c r="K68" s="99" t="inlineStr">
        <is>
          <t>S4-07</t>
        </is>
      </c>
      <c r="L68" s="99" t="inlineStr">
        <is>
          <t>A-27</t>
        </is>
      </c>
      <c r="M68" s="99" t="inlineStr">
        <is>
          <t>PON-07</t>
        </is>
      </c>
      <c r="N68" s="99" t="inlineStr">
        <is>
          <t>Chưa lắp</t>
        </is>
      </c>
      <c r="O68" s="149" t="n"/>
      <c r="P68" s="150" t="n"/>
      <c r="Q68" s="13">
        <f>M68&amp;" &gt; P96#"&amp;U68&amp;" &gt; "&amp;K68&amp;" &gt; P96#"&amp;L68&amp;" &gt; "&amp;R68&amp;" "&amp;S68&amp;" "&amp;T68&amp;" &gt; "&amp;H68&amp;"#"&amp;I68&amp;" &gt; "&amp;F68&amp;" p"&amp;G68</f>
        <v/>
      </c>
      <c r="R68" s="9" t="inlineStr">
        <is>
          <t>ODF-17/18</t>
        </is>
      </c>
      <c r="S68" s="9" t="inlineStr">
        <is>
          <t>Trái</t>
        </is>
      </c>
      <c r="T68" s="9" t="inlineStr">
        <is>
          <t>H1-C3</t>
        </is>
      </c>
      <c r="U68" s="9" t="inlineStr">
        <is>
          <t>A-43</t>
        </is>
      </c>
    </row>
    <row r="69">
      <c r="A69" s="149" t="inlineStr">
        <is>
          <t>A-19-12</t>
        </is>
      </c>
      <c r="B69" s="99" t="inlineStr">
        <is>
          <t>A</t>
        </is>
      </c>
      <c r="C69" s="99" t="inlineStr">
        <is>
          <t>19</t>
        </is>
      </c>
      <c r="D69" s="99" t="n">
        <v>12</v>
      </c>
      <c r="E69" s="99" t="inlineStr">
        <is>
          <t>TU-A18</t>
        </is>
      </c>
      <c r="F69" s="99" t="inlineStr">
        <is>
          <t>TU-A18/S3</t>
        </is>
      </c>
      <c r="G69" s="99" t="n">
        <v>12</v>
      </c>
      <c r="H69" s="99" t="inlineStr">
        <is>
          <t>TR-A3</t>
        </is>
      </c>
      <c r="I69" s="99" t="n">
        <v>3</v>
      </c>
      <c r="J69" s="99" t="inlineStr">
        <is>
          <t>Ống 1 Xanh dương / Xanh lá</t>
        </is>
      </c>
      <c r="K69" s="99" t="inlineStr">
        <is>
          <t>S4-07</t>
        </is>
      </c>
      <c r="L69" s="99" t="inlineStr">
        <is>
          <t>A-27</t>
        </is>
      </c>
      <c r="M69" s="99" t="inlineStr">
        <is>
          <t>PON-07</t>
        </is>
      </c>
      <c r="N69" s="99" t="inlineStr">
        <is>
          <t>Chưa lắp</t>
        </is>
      </c>
      <c r="O69" s="149" t="n"/>
      <c r="P69" s="150" t="n"/>
      <c r="Q69" s="13">
        <f>M69&amp;" &gt; P96#"&amp;U69&amp;" &gt; "&amp;K69&amp;" &gt; P96#"&amp;L69&amp;" &gt; "&amp;R69&amp;" "&amp;S69&amp;" "&amp;T69&amp;" &gt; "&amp;H69&amp;"#"&amp;I69&amp;" &gt; "&amp;F69&amp;" p"&amp;G69</f>
        <v/>
      </c>
      <c r="R69" s="9" t="inlineStr">
        <is>
          <t>ODF-17/18</t>
        </is>
      </c>
      <c r="S69" s="9" t="inlineStr">
        <is>
          <t>Trái</t>
        </is>
      </c>
      <c r="T69" s="9" t="inlineStr">
        <is>
          <t>H1-C3</t>
        </is>
      </c>
      <c r="U69" s="9" t="inlineStr">
        <is>
          <t>A-43</t>
        </is>
      </c>
    </row>
    <row r="70">
      <c r="A70" s="149" t="inlineStr">
        <is>
          <t>A-19-13</t>
        </is>
      </c>
      <c r="B70" s="99" t="inlineStr">
        <is>
          <t>A</t>
        </is>
      </c>
      <c r="C70" s="99" t="inlineStr">
        <is>
          <t>19</t>
        </is>
      </c>
      <c r="D70" s="99" t="n">
        <v>13</v>
      </c>
      <c r="E70" s="99" t="inlineStr">
        <is>
          <t>TU-A18</t>
        </is>
      </c>
      <c r="F70" s="99" t="inlineStr">
        <is>
          <t>TU-A18/S3</t>
        </is>
      </c>
      <c r="G70" s="99" t="n">
        <v>13</v>
      </c>
      <c r="H70" s="99" t="inlineStr">
        <is>
          <t>TR-A3</t>
        </is>
      </c>
      <c r="I70" s="99" t="n">
        <v>3</v>
      </c>
      <c r="J70" s="99" t="inlineStr">
        <is>
          <t>Ống 1 Xanh dương / Xanh lá</t>
        </is>
      </c>
      <c r="K70" s="99" t="inlineStr">
        <is>
          <t>S4-07</t>
        </is>
      </c>
      <c r="L70" s="99" t="inlineStr">
        <is>
          <t>A-27</t>
        </is>
      </c>
      <c r="M70" s="99" t="inlineStr">
        <is>
          <t>PON-07</t>
        </is>
      </c>
      <c r="N70" s="99" t="inlineStr">
        <is>
          <t>Chưa lắp</t>
        </is>
      </c>
      <c r="O70" s="149" t="n"/>
      <c r="P70" s="150" t="n"/>
      <c r="Q70" s="13">
        <f>M70&amp;" &gt; P96#"&amp;U70&amp;" &gt; "&amp;K70&amp;" &gt; P96#"&amp;L70&amp;" &gt; "&amp;R70&amp;" "&amp;S70&amp;" "&amp;T70&amp;" &gt; "&amp;H70&amp;"#"&amp;I70&amp;" &gt; "&amp;F70&amp;" p"&amp;G70</f>
        <v/>
      </c>
      <c r="R70" s="9" t="inlineStr">
        <is>
          <t>ODF-17/18</t>
        </is>
      </c>
      <c r="S70" s="9" t="inlineStr">
        <is>
          <t>Trái</t>
        </is>
      </c>
      <c r="T70" s="9" t="inlineStr">
        <is>
          <t>H1-C3</t>
        </is>
      </c>
      <c r="U70" s="9" t="inlineStr">
        <is>
          <t>A-43</t>
        </is>
      </c>
    </row>
    <row r="71">
      <c r="A71" s="149" t="inlineStr">
        <is>
          <t>A-19-14</t>
        </is>
      </c>
      <c r="B71" s="99" t="inlineStr">
        <is>
          <t>A</t>
        </is>
      </c>
      <c r="C71" s="99" t="inlineStr">
        <is>
          <t>19</t>
        </is>
      </c>
      <c r="D71" s="99" t="n">
        <v>14</v>
      </c>
      <c r="E71" s="99" t="inlineStr">
        <is>
          <t>TU-A18</t>
        </is>
      </c>
      <c r="F71" s="99" t="inlineStr">
        <is>
          <t>TU-A18/S3</t>
        </is>
      </c>
      <c r="G71" s="99" t="n">
        <v>14</v>
      </c>
      <c r="H71" s="99" t="inlineStr">
        <is>
          <t>TR-A3</t>
        </is>
      </c>
      <c r="I71" s="99" t="n">
        <v>3</v>
      </c>
      <c r="J71" s="99" t="inlineStr">
        <is>
          <t>Ống 1 Xanh dương / Xanh lá</t>
        </is>
      </c>
      <c r="K71" s="99" t="inlineStr">
        <is>
          <t>S4-07</t>
        </is>
      </c>
      <c r="L71" s="99" t="inlineStr">
        <is>
          <t>A-27</t>
        </is>
      </c>
      <c r="M71" s="99" t="inlineStr">
        <is>
          <t>PON-07</t>
        </is>
      </c>
      <c r="N71" s="99" t="inlineStr">
        <is>
          <t>Chưa lắp</t>
        </is>
      </c>
      <c r="O71" s="149" t="n"/>
      <c r="P71" s="150" t="n"/>
      <c r="Q71" s="13">
        <f>M71&amp;" &gt; P96#"&amp;U71&amp;" &gt; "&amp;K71&amp;" &gt; P96#"&amp;L71&amp;" &gt; "&amp;R71&amp;" "&amp;S71&amp;" "&amp;T71&amp;" &gt; "&amp;H71&amp;"#"&amp;I71&amp;" &gt; "&amp;F71&amp;" p"&amp;G71</f>
        <v/>
      </c>
      <c r="R71" s="9" t="inlineStr">
        <is>
          <t>ODF-17/18</t>
        </is>
      </c>
      <c r="S71" s="9" t="inlineStr">
        <is>
          <t>Trái</t>
        </is>
      </c>
      <c r="T71" s="9" t="inlineStr">
        <is>
          <t>H1-C3</t>
        </is>
      </c>
      <c r="U71" s="9" t="inlineStr">
        <is>
          <t>A-43</t>
        </is>
      </c>
    </row>
    <row r="72">
      <c r="A72" s="151" t="inlineStr">
        <is>
          <t>A-18-01</t>
        </is>
      </c>
      <c r="B72" s="102" t="inlineStr">
        <is>
          <t>A</t>
        </is>
      </c>
      <c r="C72" s="102" t="inlineStr">
        <is>
          <t>18</t>
        </is>
      </c>
      <c r="D72" s="102" t="n">
        <v>1</v>
      </c>
      <c r="E72" s="102" t="inlineStr">
        <is>
          <t>TU-A18</t>
        </is>
      </c>
      <c r="F72" s="102" t="inlineStr">
        <is>
          <t>TU-A18/S2</t>
        </is>
      </c>
      <c r="G72" s="102" t="n">
        <v>1</v>
      </c>
      <c r="H72" s="102" t="inlineStr">
        <is>
          <t>TR-A3</t>
        </is>
      </c>
      <c r="I72" s="102" t="n">
        <v>2</v>
      </c>
      <c r="J72" s="102" t="inlineStr">
        <is>
          <t>Ống 1 Xanh dương / Cam</t>
        </is>
      </c>
      <c r="K72" s="102" t="inlineStr">
        <is>
          <t>S4-07</t>
        </is>
      </c>
      <c r="L72" s="102" t="inlineStr">
        <is>
          <t>A-26</t>
        </is>
      </c>
      <c r="M72" s="102" t="inlineStr">
        <is>
          <t>PON-07</t>
        </is>
      </c>
      <c r="N72" s="102" t="inlineStr">
        <is>
          <t>Chưa lắp</t>
        </is>
      </c>
      <c r="O72" s="151" t="n"/>
      <c r="P72" s="152" t="n"/>
      <c r="Q72" s="13">
        <f>M72&amp;" &gt; P96#"&amp;U72&amp;" &gt; "&amp;K72&amp;" &gt; P96#"&amp;L72&amp;" &gt; "&amp;R72&amp;" "&amp;S72&amp;" "&amp;T72&amp;" &gt; "&amp;H72&amp;"#"&amp;I72&amp;" &gt; "&amp;F72&amp;" p"&amp;G72</f>
        <v/>
      </c>
      <c r="R72" s="9" t="inlineStr">
        <is>
          <t>ODF-17/18</t>
        </is>
      </c>
      <c r="S72" s="9" t="inlineStr">
        <is>
          <t>Trái</t>
        </is>
      </c>
      <c r="T72" s="9" t="inlineStr">
        <is>
          <t>H1-C2</t>
        </is>
      </c>
      <c r="U72" s="9" t="inlineStr">
        <is>
          <t>A-43</t>
        </is>
      </c>
    </row>
    <row r="73">
      <c r="A73" s="151" t="inlineStr">
        <is>
          <t>A-18-02</t>
        </is>
      </c>
      <c r="B73" s="102" t="inlineStr">
        <is>
          <t>A</t>
        </is>
      </c>
      <c r="C73" s="102" t="inlineStr">
        <is>
          <t>18</t>
        </is>
      </c>
      <c r="D73" s="102" t="n">
        <v>2</v>
      </c>
      <c r="E73" s="102" t="inlineStr">
        <is>
          <t>TU-A18</t>
        </is>
      </c>
      <c r="F73" s="102" t="inlineStr">
        <is>
          <t>TU-A18/S2</t>
        </is>
      </c>
      <c r="G73" s="102" t="n">
        <v>2</v>
      </c>
      <c r="H73" s="102" t="inlineStr">
        <is>
          <t>TR-A3</t>
        </is>
      </c>
      <c r="I73" s="102" t="n">
        <v>2</v>
      </c>
      <c r="J73" s="102" t="inlineStr">
        <is>
          <t>Ống 1 Xanh dương / Cam</t>
        </is>
      </c>
      <c r="K73" s="102" t="inlineStr">
        <is>
          <t>S4-07</t>
        </is>
      </c>
      <c r="L73" s="102" t="inlineStr">
        <is>
          <t>A-26</t>
        </is>
      </c>
      <c r="M73" s="102" t="inlineStr">
        <is>
          <t>PON-07</t>
        </is>
      </c>
      <c r="N73" s="102" t="inlineStr">
        <is>
          <t>Chưa lắp</t>
        </is>
      </c>
      <c r="O73" s="151" t="n"/>
      <c r="P73" s="152" t="n"/>
      <c r="Q73" s="13">
        <f>M73&amp;" &gt; P96#"&amp;U73&amp;" &gt; "&amp;K73&amp;" &gt; P96#"&amp;L73&amp;" &gt; "&amp;R73&amp;" "&amp;S73&amp;" "&amp;T73&amp;" &gt; "&amp;H73&amp;"#"&amp;I73&amp;" &gt; "&amp;F73&amp;" p"&amp;G73</f>
        <v/>
      </c>
      <c r="R73" s="9" t="inlineStr">
        <is>
          <t>ODF-17/18</t>
        </is>
      </c>
      <c r="S73" s="9" t="inlineStr">
        <is>
          <t>Trái</t>
        </is>
      </c>
      <c r="T73" s="9" t="inlineStr">
        <is>
          <t>H1-C2</t>
        </is>
      </c>
      <c r="U73" s="9" t="inlineStr">
        <is>
          <t>A-43</t>
        </is>
      </c>
    </row>
    <row r="74">
      <c r="A74" s="151" t="inlineStr">
        <is>
          <t>A-18-03</t>
        </is>
      </c>
      <c r="B74" s="102" t="inlineStr">
        <is>
          <t>A</t>
        </is>
      </c>
      <c r="C74" s="102" t="inlineStr">
        <is>
          <t>18</t>
        </is>
      </c>
      <c r="D74" s="102" t="n">
        <v>3</v>
      </c>
      <c r="E74" s="102" t="inlineStr">
        <is>
          <t>TU-A18</t>
        </is>
      </c>
      <c r="F74" s="102" t="inlineStr">
        <is>
          <t>TU-A18/S2</t>
        </is>
      </c>
      <c r="G74" s="102" t="n">
        <v>3</v>
      </c>
      <c r="H74" s="102" t="inlineStr">
        <is>
          <t>TR-A3</t>
        </is>
      </c>
      <c r="I74" s="102" t="n">
        <v>2</v>
      </c>
      <c r="J74" s="102" t="inlineStr">
        <is>
          <t>Ống 1 Xanh dương / Cam</t>
        </is>
      </c>
      <c r="K74" s="102" t="inlineStr">
        <is>
          <t>S4-07</t>
        </is>
      </c>
      <c r="L74" s="102" t="inlineStr">
        <is>
          <t>A-26</t>
        </is>
      </c>
      <c r="M74" s="102" t="inlineStr">
        <is>
          <t>PON-07</t>
        </is>
      </c>
      <c r="N74" s="102" t="inlineStr">
        <is>
          <t>Chưa lắp</t>
        </is>
      </c>
      <c r="O74" s="151" t="n"/>
      <c r="P74" s="152" t="n"/>
      <c r="Q74" s="13">
        <f>M74&amp;" &gt; P96#"&amp;U74&amp;" &gt; "&amp;K74&amp;" &gt; P96#"&amp;L74&amp;" &gt; "&amp;R74&amp;" "&amp;S74&amp;" "&amp;T74&amp;" &gt; "&amp;H74&amp;"#"&amp;I74&amp;" &gt; "&amp;F74&amp;" p"&amp;G74</f>
        <v/>
      </c>
      <c r="R74" s="9" t="inlineStr">
        <is>
          <t>ODF-17/18</t>
        </is>
      </c>
      <c r="S74" s="9" t="inlineStr">
        <is>
          <t>Trái</t>
        </is>
      </c>
      <c r="T74" s="9" t="inlineStr">
        <is>
          <t>H1-C2</t>
        </is>
      </c>
      <c r="U74" s="9" t="inlineStr">
        <is>
          <t>A-43</t>
        </is>
      </c>
    </row>
    <row r="75">
      <c r="A75" s="151" t="inlineStr">
        <is>
          <t>A-18-04</t>
        </is>
      </c>
      <c r="B75" s="102" t="inlineStr">
        <is>
          <t>A</t>
        </is>
      </c>
      <c r="C75" s="102" t="inlineStr">
        <is>
          <t>18</t>
        </is>
      </c>
      <c r="D75" s="102" t="n">
        <v>4</v>
      </c>
      <c r="E75" s="102" t="inlineStr">
        <is>
          <t>TU-A18</t>
        </is>
      </c>
      <c r="F75" s="102" t="inlineStr">
        <is>
          <t>TU-A18/S2</t>
        </is>
      </c>
      <c r="G75" s="102" t="n">
        <v>4</v>
      </c>
      <c r="H75" s="102" t="inlineStr">
        <is>
          <t>TR-A3</t>
        </is>
      </c>
      <c r="I75" s="102" t="n">
        <v>2</v>
      </c>
      <c r="J75" s="102" t="inlineStr">
        <is>
          <t>Ống 1 Xanh dương / Cam</t>
        </is>
      </c>
      <c r="K75" s="102" t="inlineStr">
        <is>
          <t>S4-07</t>
        </is>
      </c>
      <c r="L75" s="102" t="inlineStr">
        <is>
          <t>A-26</t>
        </is>
      </c>
      <c r="M75" s="102" t="inlineStr">
        <is>
          <t>PON-07</t>
        </is>
      </c>
      <c r="N75" s="102" t="inlineStr">
        <is>
          <t>Chưa lắp</t>
        </is>
      </c>
      <c r="O75" s="151" t="n"/>
      <c r="P75" s="152" t="n"/>
      <c r="Q75" s="13">
        <f>M75&amp;" &gt; P96#"&amp;U75&amp;" &gt; "&amp;K75&amp;" &gt; P96#"&amp;L75&amp;" &gt; "&amp;R75&amp;" "&amp;S75&amp;" "&amp;T75&amp;" &gt; "&amp;H75&amp;"#"&amp;I75&amp;" &gt; "&amp;F75&amp;" p"&amp;G75</f>
        <v/>
      </c>
      <c r="R75" s="9" t="inlineStr">
        <is>
          <t>ODF-17/18</t>
        </is>
      </c>
      <c r="S75" s="9" t="inlineStr">
        <is>
          <t>Trái</t>
        </is>
      </c>
      <c r="T75" s="9" t="inlineStr">
        <is>
          <t>H1-C2</t>
        </is>
      </c>
      <c r="U75" s="9" t="inlineStr">
        <is>
          <t>A-43</t>
        </is>
      </c>
    </row>
    <row r="76">
      <c r="A76" s="151" t="inlineStr">
        <is>
          <t>A-18-05</t>
        </is>
      </c>
      <c r="B76" s="102" t="inlineStr">
        <is>
          <t>A</t>
        </is>
      </c>
      <c r="C76" s="102" t="inlineStr">
        <is>
          <t>18</t>
        </is>
      </c>
      <c r="D76" s="102" t="n">
        <v>5</v>
      </c>
      <c r="E76" s="102" t="inlineStr">
        <is>
          <t>TU-A18</t>
        </is>
      </c>
      <c r="F76" s="102" t="inlineStr">
        <is>
          <t>TU-A18/S2</t>
        </is>
      </c>
      <c r="G76" s="102" t="n">
        <v>5</v>
      </c>
      <c r="H76" s="102" t="inlineStr">
        <is>
          <t>TR-A3</t>
        </is>
      </c>
      <c r="I76" s="102" t="n">
        <v>2</v>
      </c>
      <c r="J76" s="102" t="inlineStr">
        <is>
          <t>Ống 1 Xanh dương / Cam</t>
        </is>
      </c>
      <c r="K76" s="102" t="inlineStr">
        <is>
          <t>S4-07</t>
        </is>
      </c>
      <c r="L76" s="102" t="inlineStr">
        <is>
          <t>A-26</t>
        </is>
      </c>
      <c r="M76" s="102" t="inlineStr">
        <is>
          <t>PON-07</t>
        </is>
      </c>
      <c r="N76" s="102" t="inlineStr">
        <is>
          <t>Chưa lắp</t>
        </is>
      </c>
      <c r="O76" s="151" t="n"/>
      <c r="P76" s="152" t="n"/>
      <c r="Q76" s="13">
        <f>M76&amp;" &gt; P96#"&amp;U76&amp;" &gt; "&amp;K76&amp;" &gt; P96#"&amp;L76&amp;" &gt; "&amp;R76&amp;" "&amp;S76&amp;" "&amp;T76&amp;" &gt; "&amp;H76&amp;"#"&amp;I76&amp;" &gt; "&amp;F76&amp;" p"&amp;G76</f>
        <v/>
      </c>
      <c r="R76" s="9" t="inlineStr">
        <is>
          <t>ODF-17/18</t>
        </is>
      </c>
      <c r="S76" s="9" t="inlineStr">
        <is>
          <t>Trái</t>
        </is>
      </c>
      <c r="T76" s="9" t="inlineStr">
        <is>
          <t>H1-C2</t>
        </is>
      </c>
      <c r="U76" s="9" t="inlineStr">
        <is>
          <t>A-43</t>
        </is>
      </c>
    </row>
    <row r="77">
      <c r="A77" s="151" t="inlineStr">
        <is>
          <t>A-18-06</t>
        </is>
      </c>
      <c r="B77" s="102" t="inlineStr">
        <is>
          <t>A</t>
        </is>
      </c>
      <c r="C77" s="102" t="inlineStr">
        <is>
          <t>18</t>
        </is>
      </c>
      <c r="D77" s="102" t="n">
        <v>6</v>
      </c>
      <c r="E77" s="102" t="inlineStr">
        <is>
          <t>TU-A18</t>
        </is>
      </c>
      <c r="F77" s="102" t="inlineStr">
        <is>
          <t>TU-A18/S2</t>
        </is>
      </c>
      <c r="G77" s="102" t="n">
        <v>6</v>
      </c>
      <c r="H77" s="102" t="inlineStr">
        <is>
          <t>TR-A3</t>
        </is>
      </c>
      <c r="I77" s="102" t="n">
        <v>2</v>
      </c>
      <c r="J77" s="102" t="inlineStr">
        <is>
          <t>Ống 1 Xanh dương / Cam</t>
        </is>
      </c>
      <c r="K77" s="102" t="inlineStr">
        <is>
          <t>S4-07</t>
        </is>
      </c>
      <c r="L77" s="102" t="inlineStr">
        <is>
          <t>A-26</t>
        </is>
      </c>
      <c r="M77" s="102" t="inlineStr">
        <is>
          <t>PON-07</t>
        </is>
      </c>
      <c r="N77" s="102" t="inlineStr">
        <is>
          <t>Chưa lắp</t>
        </is>
      </c>
      <c r="O77" s="151" t="n"/>
      <c r="P77" s="152" t="n"/>
      <c r="Q77" s="13">
        <f>M77&amp;" &gt; P96#"&amp;U77&amp;" &gt; "&amp;K77&amp;" &gt; P96#"&amp;L77&amp;" &gt; "&amp;R77&amp;" "&amp;S77&amp;" "&amp;T77&amp;" &gt; "&amp;H77&amp;"#"&amp;I77&amp;" &gt; "&amp;F77&amp;" p"&amp;G77</f>
        <v/>
      </c>
      <c r="R77" s="9" t="inlineStr">
        <is>
          <t>ODF-17/18</t>
        </is>
      </c>
      <c r="S77" s="9" t="inlineStr">
        <is>
          <t>Trái</t>
        </is>
      </c>
      <c r="T77" s="9" t="inlineStr">
        <is>
          <t>H1-C2</t>
        </is>
      </c>
      <c r="U77" s="9" t="inlineStr">
        <is>
          <t>A-43</t>
        </is>
      </c>
    </row>
    <row r="78">
      <c r="A78" s="151" t="inlineStr">
        <is>
          <t>A-18-07</t>
        </is>
      </c>
      <c r="B78" s="102" t="inlineStr">
        <is>
          <t>A</t>
        </is>
      </c>
      <c r="C78" s="102" t="inlineStr">
        <is>
          <t>18</t>
        </is>
      </c>
      <c r="D78" s="102" t="n">
        <v>7</v>
      </c>
      <c r="E78" s="102" t="inlineStr">
        <is>
          <t>TU-A18</t>
        </is>
      </c>
      <c r="F78" s="102" t="inlineStr">
        <is>
          <t>TU-A18/S2</t>
        </is>
      </c>
      <c r="G78" s="102" t="n">
        <v>7</v>
      </c>
      <c r="H78" s="102" t="inlineStr">
        <is>
          <t>TR-A3</t>
        </is>
      </c>
      <c r="I78" s="102" t="n">
        <v>2</v>
      </c>
      <c r="J78" s="102" t="inlineStr">
        <is>
          <t>Ống 1 Xanh dương / Cam</t>
        </is>
      </c>
      <c r="K78" s="102" t="inlineStr">
        <is>
          <t>S4-07</t>
        </is>
      </c>
      <c r="L78" s="102" t="inlineStr">
        <is>
          <t>A-26</t>
        </is>
      </c>
      <c r="M78" s="102" t="inlineStr">
        <is>
          <t>PON-07</t>
        </is>
      </c>
      <c r="N78" s="102" t="inlineStr">
        <is>
          <t>Chưa lắp</t>
        </is>
      </c>
      <c r="O78" s="151" t="n"/>
      <c r="P78" s="152" t="n"/>
      <c r="Q78" s="13">
        <f>M78&amp;" &gt; P96#"&amp;U78&amp;" &gt; "&amp;K78&amp;" &gt; P96#"&amp;L78&amp;" &gt; "&amp;R78&amp;" "&amp;S78&amp;" "&amp;T78&amp;" &gt; "&amp;H78&amp;"#"&amp;I78&amp;" &gt; "&amp;F78&amp;" p"&amp;G78</f>
        <v/>
      </c>
      <c r="R78" s="9" t="inlineStr">
        <is>
          <t>ODF-17/18</t>
        </is>
      </c>
      <c r="S78" s="9" t="inlineStr">
        <is>
          <t>Trái</t>
        </is>
      </c>
      <c r="T78" s="9" t="inlineStr">
        <is>
          <t>H1-C2</t>
        </is>
      </c>
      <c r="U78" s="9" t="inlineStr">
        <is>
          <t>A-43</t>
        </is>
      </c>
    </row>
    <row r="79">
      <c r="A79" s="151" t="inlineStr">
        <is>
          <t>A-18-08</t>
        </is>
      </c>
      <c r="B79" s="102" t="inlineStr">
        <is>
          <t>A</t>
        </is>
      </c>
      <c r="C79" s="102" t="inlineStr">
        <is>
          <t>18</t>
        </is>
      </c>
      <c r="D79" s="102" t="n">
        <v>8</v>
      </c>
      <c r="E79" s="102" t="inlineStr">
        <is>
          <t>TU-A18</t>
        </is>
      </c>
      <c r="F79" s="102" t="inlineStr">
        <is>
          <t>TU-A18/S2</t>
        </is>
      </c>
      <c r="G79" s="102" t="n">
        <v>8</v>
      </c>
      <c r="H79" s="102" t="inlineStr">
        <is>
          <t>TR-A3</t>
        </is>
      </c>
      <c r="I79" s="102" t="n">
        <v>2</v>
      </c>
      <c r="J79" s="102" t="inlineStr">
        <is>
          <t>Ống 1 Xanh dương / Cam</t>
        </is>
      </c>
      <c r="K79" s="102" t="inlineStr">
        <is>
          <t>S4-07</t>
        </is>
      </c>
      <c r="L79" s="102" t="inlineStr">
        <is>
          <t>A-26</t>
        </is>
      </c>
      <c r="M79" s="102" t="inlineStr">
        <is>
          <t>PON-07</t>
        </is>
      </c>
      <c r="N79" s="102" t="inlineStr">
        <is>
          <t>Chưa lắp</t>
        </is>
      </c>
      <c r="O79" s="151" t="n"/>
      <c r="P79" s="152" t="n"/>
      <c r="Q79" s="13">
        <f>M79&amp;" &gt; P96#"&amp;U79&amp;" &gt; "&amp;K79&amp;" &gt; P96#"&amp;L79&amp;" &gt; "&amp;R79&amp;" "&amp;S79&amp;" "&amp;T79&amp;" &gt; "&amp;H79&amp;"#"&amp;I79&amp;" &gt; "&amp;F79&amp;" p"&amp;G79</f>
        <v/>
      </c>
      <c r="R79" s="9" t="inlineStr">
        <is>
          <t>ODF-17/18</t>
        </is>
      </c>
      <c r="S79" s="9" t="inlineStr">
        <is>
          <t>Trái</t>
        </is>
      </c>
      <c r="T79" s="9" t="inlineStr">
        <is>
          <t>H1-C2</t>
        </is>
      </c>
      <c r="U79" s="9" t="inlineStr">
        <is>
          <t>A-43</t>
        </is>
      </c>
    </row>
    <row r="80">
      <c r="A80" s="151" t="inlineStr">
        <is>
          <t>A-18-09</t>
        </is>
      </c>
      <c r="B80" s="102" t="inlineStr">
        <is>
          <t>A</t>
        </is>
      </c>
      <c r="C80" s="102" t="inlineStr">
        <is>
          <t>18</t>
        </is>
      </c>
      <c r="D80" s="102" t="n">
        <v>9</v>
      </c>
      <c r="E80" s="102" t="inlineStr">
        <is>
          <t>TU-A18</t>
        </is>
      </c>
      <c r="F80" s="102" t="inlineStr">
        <is>
          <t>TU-A18/S2</t>
        </is>
      </c>
      <c r="G80" s="102" t="n">
        <v>9</v>
      </c>
      <c r="H80" s="102" t="inlineStr">
        <is>
          <t>TR-A3</t>
        </is>
      </c>
      <c r="I80" s="102" t="n">
        <v>2</v>
      </c>
      <c r="J80" s="102" t="inlineStr">
        <is>
          <t>Ống 1 Xanh dương / Cam</t>
        </is>
      </c>
      <c r="K80" s="102" t="inlineStr">
        <is>
          <t>S4-07</t>
        </is>
      </c>
      <c r="L80" s="102" t="inlineStr">
        <is>
          <t>A-26</t>
        </is>
      </c>
      <c r="M80" s="102" t="inlineStr">
        <is>
          <t>PON-07</t>
        </is>
      </c>
      <c r="N80" s="102" t="inlineStr">
        <is>
          <t>Chưa lắp</t>
        </is>
      </c>
      <c r="O80" s="151" t="n"/>
      <c r="P80" s="152" t="n"/>
      <c r="Q80" s="13">
        <f>M80&amp;" &gt; P96#"&amp;U80&amp;" &gt; "&amp;K80&amp;" &gt; P96#"&amp;L80&amp;" &gt; "&amp;R80&amp;" "&amp;S80&amp;" "&amp;T80&amp;" &gt; "&amp;H80&amp;"#"&amp;I80&amp;" &gt; "&amp;F80&amp;" p"&amp;G80</f>
        <v/>
      </c>
      <c r="R80" s="9" t="inlineStr">
        <is>
          <t>ODF-17/18</t>
        </is>
      </c>
      <c r="S80" s="9" t="inlineStr">
        <is>
          <t>Trái</t>
        </is>
      </c>
      <c r="T80" s="9" t="inlineStr">
        <is>
          <t>H1-C2</t>
        </is>
      </c>
      <c r="U80" s="9" t="inlineStr">
        <is>
          <t>A-43</t>
        </is>
      </c>
    </row>
    <row r="81">
      <c r="A81" s="151" t="inlineStr">
        <is>
          <t>A-18-10</t>
        </is>
      </c>
      <c r="B81" s="102" t="inlineStr">
        <is>
          <t>A</t>
        </is>
      </c>
      <c r="C81" s="102" t="inlineStr">
        <is>
          <t>18</t>
        </is>
      </c>
      <c r="D81" s="102" t="n">
        <v>10</v>
      </c>
      <c r="E81" s="102" t="inlineStr">
        <is>
          <t>TU-A18</t>
        </is>
      </c>
      <c r="F81" s="102" t="inlineStr">
        <is>
          <t>TU-A18/S2</t>
        </is>
      </c>
      <c r="G81" s="102" t="n">
        <v>10</v>
      </c>
      <c r="H81" s="102" t="inlineStr">
        <is>
          <t>TR-A3</t>
        </is>
      </c>
      <c r="I81" s="102" t="n">
        <v>2</v>
      </c>
      <c r="J81" s="102" t="inlineStr">
        <is>
          <t>Ống 1 Xanh dương / Cam</t>
        </is>
      </c>
      <c r="K81" s="102" t="inlineStr">
        <is>
          <t>S4-07</t>
        </is>
      </c>
      <c r="L81" s="102" t="inlineStr">
        <is>
          <t>A-26</t>
        </is>
      </c>
      <c r="M81" s="102" t="inlineStr">
        <is>
          <t>PON-07</t>
        </is>
      </c>
      <c r="N81" s="102" t="inlineStr">
        <is>
          <t>Chưa lắp</t>
        </is>
      </c>
      <c r="O81" s="151" t="n"/>
      <c r="P81" s="152" t="n"/>
      <c r="Q81" s="13">
        <f>M81&amp;" &gt; P96#"&amp;U81&amp;" &gt; "&amp;K81&amp;" &gt; P96#"&amp;L81&amp;" &gt; "&amp;R81&amp;" "&amp;S81&amp;" "&amp;T81&amp;" &gt; "&amp;H81&amp;"#"&amp;I81&amp;" &gt; "&amp;F81&amp;" p"&amp;G81</f>
        <v/>
      </c>
      <c r="R81" s="9" t="inlineStr">
        <is>
          <t>ODF-17/18</t>
        </is>
      </c>
      <c r="S81" s="9" t="inlineStr">
        <is>
          <t>Trái</t>
        </is>
      </c>
      <c r="T81" s="9" t="inlineStr">
        <is>
          <t>H1-C2</t>
        </is>
      </c>
      <c r="U81" s="9" t="inlineStr">
        <is>
          <t>A-43</t>
        </is>
      </c>
    </row>
    <row r="82">
      <c r="A82" s="151" t="inlineStr">
        <is>
          <t>A-18-11</t>
        </is>
      </c>
      <c r="B82" s="102" t="inlineStr">
        <is>
          <t>A</t>
        </is>
      </c>
      <c r="C82" s="102" t="inlineStr">
        <is>
          <t>18</t>
        </is>
      </c>
      <c r="D82" s="102" t="n">
        <v>11</v>
      </c>
      <c r="E82" s="102" t="inlineStr">
        <is>
          <t>TU-A18</t>
        </is>
      </c>
      <c r="F82" s="102" t="inlineStr">
        <is>
          <t>TU-A18/S2</t>
        </is>
      </c>
      <c r="G82" s="102" t="n">
        <v>11</v>
      </c>
      <c r="H82" s="102" t="inlineStr">
        <is>
          <t>TR-A3</t>
        </is>
      </c>
      <c r="I82" s="102" t="n">
        <v>2</v>
      </c>
      <c r="J82" s="102" t="inlineStr">
        <is>
          <t>Ống 1 Xanh dương / Cam</t>
        </is>
      </c>
      <c r="K82" s="102" t="inlineStr">
        <is>
          <t>S4-07</t>
        </is>
      </c>
      <c r="L82" s="102" t="inlineStr">
        <is>
          <t>A-26</t>
        </is>
      </c>
      <c r="M82" s="102" t="inlineStr">
        <is>
          <t>PON-07</t>
        </is>
      </c>
      <c r="N82" s="102" t="inlineStr">
        <is>
          <t>Chưa lắp</t>
        </is>
      </c>
      <c r="O82" s="151" t="n"/>
      <c r="P82" s="152" t="n"/>
      <c r="Q82" s="13">
        <f>M82&amp;" &gt; P96#"&amp;U82&amp;" &gt; "&amp;K82&amp;" &gt; P96#"&amp;L82&amp;" &gt; "&amp;R82&amp;" "&amp;S82&amp;" "&amp;T82&amp;" &gt; "&amp;H82&amp;"#"&amp;I82&amp;" &gt; "&amp;F82&amp;" p"&amp;G82</f>
        <v/>
      </c>
      <c r="R82" s="9" t="inlineStr">
        <is>
          <t>ODF-17/18</t>
        </is>
      </c>
      <c r="S82" s="9" t="inlineStr">
        <is>
          <t>Trái</t>
        </is>
      </c>
      <c r="T82" s="9" t="inlineStr">
        <is>
          <t>H1-C2</t>
        </is>
      </c>
      <c r="U82" s="9" t="inlineStr">
        <is>
          <t>A-43</t>
        </is>
      </c>
    </row>
    <row r="83">
      <c r="A83" s="151" t="inlineStr">
        <is>
          <t>A-18-12</t>
        </is>
      </c>
      <c r="B83" s="102" t="inlineStr">
        <is>
          <t>A</t>
        </is>
      </c>
      <c r="C83" s="102" t="inlineStr">
        <is>
          <t>18</t>
        </is>
      </c>
      <c r="D83" s="102" t="n">
        <v>12</v>
      </c>
      <c r="E83" s="102" t="inlineStr">
        <is>
          <t>TU-A18</t>
        </is>
      </c>
      <c r="F83" s="102" t="inlineStr">
        <is>
          <t>TU-A18/S2</t>
        </is>
      </c>
      <c r="G83" s="102" t="n">
        <v>12</v>
      </c>
      <c r="H83" s="102" t="inlineStr">
        <is>
          <t>TR-A3</t>
        </is>
      </c>
      <c r="I83" s="102" t="n">
        <v>2</v>
      </c>
      <c r="J83" s="102" t="inlineStr">
        <is>
          <t>Ống 1 Xanh dương / Cam</t>
        </is>
      </c>
      <c r="K83" s="102" t="inlineStr">
        <is>
          <t>S4-07</t>
        </is>
      </c>
      <c r="L83" s="102" t="inlineStr">
        <is>
          <t>A-26</t>
        </is>
      </c>
      <c r="M83" s="102" t="inlineStr">
        <is>
          <t>PON-07</t>
        </is>
      </c>
      <c r="N83" s="102" t="inlineStr">
        <is>
          <t>Chưa lắp</t>
        </is>
      </c>
      <c r="O83" s="151" t="n"/>
      <c r="P83" s="152" t="n"/>
      <c r="Q83" s="13">
        <f>M83&amp;" &gt; P96#"&amp;U83&amp;" &gt; "&amp;K83&amp;" &gt; P96#"&amp;L83&amp;" &gt; "&amp;R83&amp;" "&amp;S83&amp;" "&amp;T83&amp;" &gt; "&amp;H83&amp;"#"&amp;I83&amp;" &gt; "&amp;F83&amp;" p"&amp;G83</f>
        <v/>
      </c>
      <c r="R83" s="9" t="inlineStr">
        <is>
          <t>ODF-17/18</t>
        </is>
      </c>
      <c r="S83" s="9" t="inlineStr">
        <is>
          <t>Trái</t>
        </is>
      </c>
      <c r="T83" s="9" t="inlineStr">
        <is>
          <t>H1-C2</t>
        </is>
      </c>
      <c r="U83" s="9" t="inlineStr">
        <is>
          <t>A-43</t>
        </is>
      </c>
    </row>
    <row r="84">
      <c r="A84" s="151" t="inlineStr">
        <is>
          <t>A-18-13</t>
        </is>
      </c>
      <c r="B84" s="102" t="inlineStr">
        <is>
          <t>A</t>
        </is>
      </c>
      <c r="C84" s="102" t="inlineStr">
        <is>
          <t>18</t>
        </is>
      </c>
      <c r="D84" s="102" t="n">
        <v>13</v>
      </c>
      <c r="E84" s="102" t="inlineStr">
        <is>
          <t>TU-A18</t>
        </is>
      </c>
      <c r="F84" s="102" t="inlineStr">
        <is>
          <t>TU-A18/S2</t>
        </is>
      </c>
      <c r="G84" s="102" t="n">
        <v>13</v>
      </c>
      <c r="H84" s="102" t="inlineStr">
        <is>
          <t>TR-A3</t>
        </is>
      </c>
      <c r="I84" s="102" t="n">
        <v>2</v>
      </c>
      <c r="J84" s="102" t="inlineStr">
        <is>
          <t>Ống 1 Xanh dương / Cam</t>
        </is>
      </c>
      <c r="K84" s="102" t="inlineStr">
        <is>
          <t>S4-07</t>
        </is>
      </c>
      <c r="L84" s="102" t="inlineStr">
        <is>
          <t>A-26</t>
        </is>
      </c>
      <c r="M84" s="102" t="inlineStr">
        <is>
          <t>PON-07</t>
        </is>
      </c>
      <c r="N84" s="102" t="inlineStr">
        <is>
          <t>Chưa lắp</t>
        </is>
      </c>
      <c r="O84" s="151" t="n"/>
      <c r="P84" s="152" t="n"/>
      <c r="Q84" s="13">
        <f>M84&amp;" &gt; P96#"&amp;U84&amp;" &gt; "&amp;K84&amp;" &gt; P96#"&amp;L84&amp;" &gt; "&amp;R84&amp;" "&amp;S84&amp;" "&amp;T84&amp;" &gt; "&amp;H84&amp;"#"&amp;I84&amp;" &gt; "&amp;F84&amp;" p"&amp;G84</f>
        <v/>
      </c>
      <c r="R84" s="9" t="inlineStr">
        <is>
          <t>ODF-17/18</t>
        </is>
      </c>
      <c r="S84" s="9" t="inlineStr">
        <is>
          <t>Trái</t>
        </is>
      </c>
      <c r="T84" s="9" t="inlineStr">
        <is>
          <t>H1-C2</t>
        </is>
      </c>
      <c r="U84" s="9" t="inlineStr">
        <is>
          <t>A-43</t>
        </is>
      </c>
    </row>
    <row r="85">
      <c r="A85" s="151" t="inlineStr">
        <is>
          <t>A-18-14</t>
        </is>
      </c>
      <c r="B85" s="102" t="inlineStr">
        <is>
          <t>A</t>
        </is>
      </c>
      <c r="C85" s="102" t="inlineStr">
        <is>
          <t>18</t>
        </is>
      </c>
      <c r="D85" s="102" t="n">
        <v>14</v>
      </c>
      <c r="E85" s="102" t="inlineStr">
        <is>
          <t>TU-A18</t>
        </is>
      </c>
      <c r="F85" s="102" t="inlineStr">
        <is>
          <t>TU-A18/S2</t>
        </is>
      </c>
      <c r="G85" s="102" t="n">
        <v>14</v>
      </c>
      <c r="H85" s="102" t="inlineStr">
        <is>
          <t>TR-A3</t>
        </is>
      </c>
      <c r="I85" s="102" t="n">
        <v>2</v>
      </c>
      <c r="J85" s="102" t="inlineStr">
        <is>
          <t>Ống 1 Xanh dương / Cam</t>
        </is>
      </c>
      <c r="K85" s="102" t="inlineStr">
        <is>
          <t>S4-07</t>
        </is>
      </c>
      <c r="L85" s="102" t="inlineStr">
        <is>
          <t>A-26</t>
        </is>
      </c>
      <c r="M85" s="102" t="inlineStr">
        <is>
          <t>PON-07</t>
        </is>
      </c>
      <c r="N85" s="102" t="inlineStr">
        <is>
          <t>Chưa lắp</t>
        </is>
      </c>
      <c r="O85" s="151" t="n"/>
      <c r="P85" s="152" t="n"/>
      <c r="Q85" s="13">
        <f>M85&amp;" &gt; P96#"&amp;U85&amp;" &gt; "&amp;K85&amp;" &gt; P96#"&amp;L85&amp;" &gt; "&amp;R85&amp;" "&amp;S85&amp;" "&amp;T85&amp;" &gt; "&amp;H85&amp;"#"&amp;I85&amp;" &gt; "&amp;F85&amp;" p"&amp;G85</f>
        <v/>
      </c>
      <c r="R85" s="9" t="inlineStr">
        <is>
          <t>ODF-17/18</t>
        </is>
      </c>
      <c r="S85" s="9" t="inlineStr">
        <is>
          <t>Trái</t>
        </is>
      </c>
      <c r="T85" s="9" t="inlineStr">
        <is>
          <t>H1-C2</t>
        </is>
      </c>
      <c r="U85" s="9" t="inlineStr">
        <is>
          <t>A-43</t>
        </is>
      </c>
    </row>
    <row r="86">
      <c r="A86" s="149" t="inlineStr">
        <is>
          <t>A-17-01</t>
        </is>
      </c>
      <c r="B86" s="99" t="inlineStr">
        <is>
          <t>A</t>
        </is>
      </c>
      <c r="C86" s="99" t="inlineStr">
        <is>
          <t>17</t>
        </is>
      </c>
      <c r="D86" s="99" t="n">
        <v>1</v>
      </c>
      <c r="E86" s="99" t="inlineStr">
        <is>
          <t>TU-A18</t>
        </is>
      </c>
      <c r="F86" s="99" t="inlineStr">
        <is>
          <t>TU-A18/S1</t>
        </is>
      </c>
      <c r="G86" s="99" t="n">
        <v>1</v>
      </c>
      <c r="H86" s="99" t="inlineStr">
        <is>
          <t>TR-A3</t>
        </is>
      </c>
      <c r="I86" s="99" t="n">
        <v>1</v>
      </c>
      <c r="J86" s="99" t="inlineStr">
        <is>
          <t>Ống 1 Xanh dương / Xanh dương</t>
        </is>
      </c>
      <c r="K86" s="99" t="inlineStr">
        <is>
          <t>S4-07</t>
        </is>
      </c>
      <c r="L86" s="99" t="inlineStr">
        <is>
          <t>A-25</t>
        </is>
      </c>
      <c r="M86" s="99" t="inlineStr">
        <is>
          <t>PON-07</t>
        </is>
      </c>
      <c r="N86" s="99" t="inlineStr">
        <is>
          <t>Chưa lắp</t>
        </is>
      </c>
      <c r="O86" s="149" t="n"/>
      <c r="P86" s="150" t="n"/>
      <c r="Q86" s="13">
        <f>M86&amp;" &gt; P96#"&amp;U86&amp;" &gt; "&amp;K86&amp;" &gt; P96#"&amp;L86&amp;" &gt; "&amp;R86&amp;" "&amp;S86&amp;" "&amp;T86&amp;" &gt; "&amp;H86&amp;"#"&amp;I86&amp;" &gt; "&amp;F86&amp;" p"&amp;G86</f>
        <v/>
      </c>
      <c r="R86" s="9" t="inlineStr">
        <is>
          <t>ODF-17/18</t>
        </is>
      </c>
      <c r="S86" s="9" t="inlineStr">
        <is>
          <t>Trái</t>
        </is>
      </c>
      <c r="T86" s="9" t="inlineStr">
        <is>
          <t>H1-C1</t>
        </is>
      </c>
      <c r="U86" s="9" t="inlineStr">
        <is>
          <t>A-43</t>
        </is>
      </c>
    </row>
    <row r="87">
      <c r="A87" s="149" t="inlineStr">
        <is>
          <t>A-17-02</t>
        </is>
      </c>
      <c r="B87" s="99" t="inlineStr">
        <is>
          <t>A</t>
        </is>
      </c>
      <c r="C87" s="99" t="inlineStr">
        <is>
          <t>17</t>
        </is>
      </c>
      <c r="D87" s="99" t="n">
        <v>2</v>
      </c>
      <c r="E87" s="99" t="inlineStr">
        <is>
          <t>TU-A18</t>
        </is>
      </c>
      <c r="F87" s="99" t="inlineStr">
        <is>
          <t>TU-A18/S1</t>
        </is>
      </c>
      <c r="G87" s="99" t="n">
        <v>2</v>
      </c>
      <c r="H87" s="99" t="inlineStr">
        <is>
          <t>TR-A3</t>
        </is>
      </c>
      <c r="I87" s="99" t="n">
        <v>1</v>
      </c>
      <c r="J87" s="99" t="inlineStr">
        <is>
          <t>Ống 1 Xanh dương / Xanh dương</t>
        </is>
      </c>
      <c r="K87" s="99" t="inlineStr">
        <is>
          <t>S4-07</t>
        </is>
      </c>
      <c r="L87" s="99" t="inlineStr">
        <is>
          <t>A-25</t>
        </is>
      </c>
      <c r="M87" s="99" t="inlineStr">
        <is>
          <t>PON-07</t>
        </is>
      </c>
      <c r="N87" s="99" t="inlineStr">
        <is>
          <t>Chưa lắp</t>
        </is>
      </c>
      <c r="O87" s="149" t="n"/>
      <c r="P87" s="150" t="n"/>
      <c r="Q87" s="13">
        <f>M87&amp;" &gt; P96#"&amp;U87&amp;" &gt; "&amp;K87&amp;" &gt; P96#"&amp;L87&amp;" &gt; "&amp;R87&amp;" "&amp;S87&amp;" "&amp;T87&amp;" &gt; "&amp;H87&amp;"#"&amp;I87&amp;" &gt; "&amp;F87&amp;" p"&amp;G87</f>
        <v/>
      </c>
      <c r="R87" s="9" t="inlineStr">
        <is>
          <t>ODF-17/18</t>
        </is>
      </c>
      <c r="S87" s="9" t="inlineStr">
        <is>
          <t>Trái</t>
        </is>
      </c>
      <c r="T87" s="9" t="inlineStr">
        <is>
          <t>H1-C1</t>
        </is>
      </c>
      <c r="U87" s="9" t="inlineStr">
        <is>
          <t>A-43</t>
        </is>
      </c>
    </row>
    <row r="88">
      <c r="A88" s="149" t="inlineStr">
        <is>
          <t>A-17-03</t>
        </is>
      </c>
      <c r="B88" s="99" t="inlineStr">
        <is>
          <t>A</t>
        </is>
      </c>
      <c r="C88" s="99" t="inlineStr">
        <is>
          <t>17</t>
        </is>
      </c>
      <c r="D88" s="99" t="n">
        <v>3</v>
      </c>
      <c r="E88" s="99" t="inlineStr">
        <is>
          <t>TU-A18</t>
        </is>
      </c>
      <c r="F88" s="99" t="inlineStr">
        <is>
          <t>TU-A18/S1</t>
        </is>
      </c>
      <c r="G88" s="99" t="n">
        <v>3</v>
      </c>
      <c r="H88" s="99" t="inlineStr">
        <is>
          <t>TR-A3</t>
        </is>
      </c>
      <c r="I88" s="99" t="n">
        <v>1</v>
      </c>
      <c r="J88" s="99" t="inlineStr">
        <is>
          <t>Ống 1 Xanh dương / Xanh dương</t>
        </is>
      </c>
      <c r="K88" s="99" t="inlineStr">
        <is>
          <t>S4-07</t>
        </is>
      </c>
      <c r="L88" s="99" t="inlineStr">
        <is>
          <t>A-25</t>
        </is>
      </c>
      <c r="M88" s="99" t="inlineStr">
        <is>
          <t>PON-07</t>
        </is>
      </c>
      <c r="N88" s="99" t="inlineStr">
        <is>
          <t>Chưa lắp</t>
        </is>
      </c>
      <c r="O88" s="149" t="n"/>
      <c r="P88" s="150" t="n"/>
      <c r="Q88" s="13">
        <f>M88&amp;" &gt; P96#"&amp;U88&amp;" &gt; "&amp;K88&amp;" &gt; P96#"&amp;L88&amp;" &gt; "&amp;R88&amp;" "&amp;S88&amp;" "&amp;T88&amp;" &gt; "&amp;H88&amp;"#"&amp;I88&amp;" &gt; "&amp;F88&amp;" p"&amp;G88</f>
        <v/>
      </c>
      <c r="R88" s="9" t="inlineStr">
        <is>
          <t>ODF-17/18</t>
        </is>
      </c>
      <c r="S88" s="9" t="inlineStr">
        <is>
          <t>Trái</t>
        </is>
      </c>
      <c r="T88" s="9" t="inlineStr">
        <is>
          <t>H1-C1</t>
        </is>
      </c>
      <c r="U88" s="9" t="inlineStr">
        <is>
          <t>A-43</t>
        </is>
      </c>
    </row>
    <row r="89">
      <c r="A89" s="149" t="inlineStr">
        <is>
          <t>A-17-04</t>
        </is>
      </c>
      <c r="B89" s="99" t="inlineStr">
        <is>
          <t>A</t>
        </is>
      </c>
      <c r="C89" s="99" t="inlineStr">
        <is>
          <t>17</t>
        </is>
      </c>
      <c r="D89" s="99" t="n">
        <v>4</v>
      </c>
      <c r="E89" s="99" t="inlineStr">
        <is>
          <t>TU-A18</t>
        </is>
      </c>
      <c r="F89" s="99" t="inlineStr">
        <is>
          <t>TU-A18/S1</t>
        </is>
      </c>
      <c r="G89" s="99" t="n">
        <v>4</v>
      </c>
      <c r="H89" s="99" t="inlineStr">
        <is>
          <t>TR-A3</t>
        </is>
      </c>
      <c r="I89" s="99" t="n">
        <v>1</v>
      </c>
      <c r="J89" s="99" t="inlineStr">
        <is>
          <t>Ống 1 Xanh dương / Xanh dương</t>
        </is>
      </c>
      <c r="K89" s="99" t="inlineStr">
        <is>
          <t>S4-07</t>
        </is>
      </c>
      <c r="L89" s="99" t="inlineStr">
        <is>
          <t>A-25</t>
        </is>
      </c>
      <c r="M89" s="99" t="inlineStr">
        <is>
          <t>PON-07</t>
        </is>
      </c>
      <c r="N89" s="99" t="inlineStr">
        <is>
          <t>Chưa lắp</t>
        </is>
      </c>
      <c r="O89" s="149" t="n"/>
      <c r="P89" s="150" t="n"/>
      <c r="Q89" s="13">
        <f>M89&amp;" &gt; P96#"&amp;U89&amp;" &gt; "&amp;K89&amp;" &gt; P96#"&amp;L89&amp;" &gt; "&amp;R89&amp;" "&amp;S89&amp;" "&amp;T89&amp;" &gt; "&amp;H89&amp;"#"&amp;I89&amp;" &gt; "&amp;F89&amp;" p"&amp;G89</f>
        <v/>
      </c>
      <c r="R89" s="9" t="inlineStr">
        <is>
          <t>ODF-17/18</t>
        </is>
      </c>
      <c r="S89" s="9" t="inlineStr">
        <is>
          <t>Trái</t>
        </is>
      </c>
      <c r="T89" s="9" t="inlineStr">
        <is>
          <t>H1-C1</t>
        </is>
      </c>
      <c r="U89" s="9" t="inlineStr">
        <is>
          <t>A-43</t>
        </is>
      </c>
    </row>
    <row r="90">
      <c r="A90" s="149" t="inlineStr">
        <is>
          <t>A-17-05</t>
        </is>
      </c>
      <c r="B90" s="99" t="inlineStr">
        <is>
          <t>A</t>
        </is>
      </c>
      <c r="C90" s="99" t="inlineStr">
        <is>
          <t>17</t>
        </is>
      </c>
      <c r="D90" s="99" t="n">
        <v>5</v>
      </c>
      <c r="E90" s="99" t="inlineStr">
        <is>
          <t>TU-A18</t>
        </is>
      </c>
      <c r="F90" s="99" t="inlineStr">
        <is>
          <t>TU-A18/S1</t>
        </is>
      </c>
      <c r="G90" s="99" t="n">
        <v>5</v>
      </c>
      <c r="H90" s="99" t="inlineStr">
        <is>
          <t>TR-A3</t>
        </is>
      </c>
      <c r="I90" s="99" t="n">
        <v>1</v>
      </c>
      <c r="J90" s="99" t="inlineStr">
        <is>
          <t>Ống 1 Xanh dương / Xanh dương</t>
        </is>
      </c>
      <c r="K90" s="99" t="inlineStr">
        <is>
          <t>S4-07</t>
        </is>
      </c>
      <c r="L90" s="99" t="inlineStr">
        <is>
          <t>A-25</t>
        </is>
      </c>
      <c r="M90" s="99" t="inlineStr">
        <is>
          <t>PON-07</t>
        </is>
      </c>
      <c r="N90" s="99" t="inlineStr">
        <is>
          <t>Chưa lắp</t>
        </is>
      </c>
      <c r="O90" s="149" t="n"/>
      <c r="P90" s="150" t="n"/>
      <c r="Q90" s="13">
        <f>M90&amp;" &gt; P96#"&amp;U90&amp;" &gt; "&amp;K90&amp;" &gt; P96#"&amp;L90&amp;" &gt; "&amp;R90&amp;" "&amp;S90&amp;" "&amp;T90&amp;" &gt; "&amp;H90&amp;"#"&amp;I90&amp;" &gt; "&amp;F90&amp;" p"&amp;G90</f>
        <v/>
      </c>
      <c r="R90" s="9" t="inlineStr">
        <is>
          <t>ODF-17/18</t>
        </is>
      </c>
      <c r="S90" s="9" t="inlineStr">
        <is>
          <t>Trái</t>
        </is>
      </c>
      <c r="T90" s="9" t="inlineStr">
        <is>
          <t>H1-C1</t>
        </is>
      </c>
      <c r="U90" s="9" t="inlineStr">
        <is>
          <t>A-43</t>
        </is>
      </c>
    </row>
    <row r="91">
      <c r="A91" s="149" t="inlineStr">
        <is>
          <t>A-17-06</t>
        </is>
      </c>
      <c r="B91" s="99" t="inlineStr">
        <is>
          <t>A</t>
        </is>
      </c>
      <c r="C91" s="99" t="inlineStr">
        <is>
          <t>17</t>
        </is>
      </c>
      <c r="D91" s="99" t="n">
        <v>6</v>
      </c>
      <c r="E91" s="99" t="inlineStr">
        <is>
          <t>TU-A18</t>
        </is>
      </c>
      <c r="F91" s="99" t="inlineStr">
        <is>
          <t>TU-A18/S1</t>
        </is>
      </c>
      <c r="G91" s="99" t="n">
        <v>6</v>
      </c>
      <c r="H91" s="99" t="inlineStr">
        <is>
          <t>TR-A3</t>
        </is>
      </c>
      <c r="I91" s="99" t="n">
        <v>1</v>
      </c>
      <c r="J91" s="99" t="inlineStr">
        <is>
          <t>Ống 1 Xanh dương / Xanh dương</t>
        </is>
      </c>
      <c r="K91" s="99" t="inlineStr">
        <is>
          <t>S4-07</t>
        </is>
      </c>
      <c r="L91" s="99" t="inlineStr">
        <is>
          <t>A-25</t>
        </is>
      </c>
      <c r="M91" s="99" t="inlineStr">
        <is>
          <t>PON-07</t>
        </is>
      </c>
      <c r="N91" s="99" t="inlineStr">
        <is>
          <t>Chưa lắp</t>
        </is>
      </c>
      <c r="O91" s="149" t="n"/>
      <c r="P91" s="150" t="n"/>
      <c r="Q91" s="13">
        <f>M91&amp;" &gt; P96#"&amp;U91&amp;" &gt; "&amp;K91&amp;" &gt; P96#"&amp;L91&amp;" &gt; "&amp;R91&amp;" "&amp;S91&amp;" "&amp;T91&amp;" &gt; "&amp;H91&amp;"#"&amp;I91&amp;" &gt; "&amp;F91&amp;" p"&amp;G91</f>
        <v/>
      </c>
      <c r="R91" s="9" t="inlineStr">
        <is>
          <t>ODF-17/18</t>
        </is>
      </c>
      <c r="S91" s="9" t="inlineStr">
        <is>
          <t>Trái</t>
        </is>
      </c>
      <c r="T91" s="9" t="inlineStr">
        <is>
          <t>H1-C1</t>
        </is>
      </c>
      <c r="U91" s="9" t="inlineStr">
        <is>
          <t>A-43</t>
        </is>
      </c>
    </row>
    <row r="92">
      <c r="A92" s="149" t="inlineStr">
        <is>
          <t>A-17-07</t>
        </is>
      </c>
      <c r="B92" s="99" t="inlineStr">
        <is>
          <t>A</t>
        </is>
      </c>
      <c r="C92" s="99" t="inlineStr">
        <is>
          <t>17</t>
        </is>
      </c>
      <c r="D92" s="99" t="n">
        <v>7</v>
      </c>
      <c r="E92" s="99" t="inlineStr">
        <is>
          <t>TU-A18</t>
        </is>
      </c>
      <c r="F92" s="99" t="inlineStr">
        <is>
          <t>TU-A18/S1</t>
        </is>
      </c>
      <c r="G92" s="99" t="n">
        <v>7</v>
      </c>
      <c r="H92" s="99" t="inlineStr">
        <is>
          <t>TR-A3</t>
        </is>
      </c>
      <c r="I92" s="99" t="n">
        <v>1</v>
      </c>
      <c r="J92" s="99" t="inlineStr">
        <is>
          <t>Ống 1 Xanh dương / Xanh dương</t>
        </is>
      </c>
      <c r="K92" s="99" t="inlineStr">
        <is>
          <t>S4-07</t>
        </is>
      </c>
      <c r="L92" s="99" t="inlineStr">
        <is>
          <t>A-25</t>
        </is>
      </c>
      <c r="M92" s="99" t="inlineStr">
        <is>
          <t>PON-07</t>
        </is>
      </c>
      <c r="N92" s="99" t="inlineStr">
        <is>
          <t>Chưa lắp</t>
        </is>
      </c>
      <c r="O92" s="149" t="n"/>
      <c r="P92" s="150" t="n"/>
      <c r="Q92" s="13">
        <f>M92&amp;" &gt; P96#"&amp;U92&amp;" &gt; "&amp;K92&amp;" &gt; P96#"&amp;L92&amp;" &gt; "&amp;R92&amp;" "&amp;S92&amp;" "&amp;T92&amp;" &gt; "&amp;H92&amp;"#"&amp;I92&amp;" &gt; "&amp;F92&amp;" p"&amp;G92</f>
        <v/>
      </c>
      <c r="R92" s="9" t="inlineStr">
        <is>
          <t>ODF-17/18</t>
        </is>
      </c>
      <c r="S92" s="9" t="inlineStr">
        <is>
          <t>Trái</t>
        </is>
      </c>
      <c r="T92" s="9" t="inlineStr">
        <is>
          <t>H1-C1</t>
        </is>
      </c>
      <c r="U92" s="9" t="inlineStr">
        <is>
          <t>A-43</t>
        </is>
      </c>
    </row>
    <row r="93">
      <c r="A93" s="149" t="inlineStr">
        <is>
          <t>A-17-08</t>
        </is>
      </c>
      <c r="B93" s="99" t="inlineStr">
        <is>
          <t>A</t>
        </is>
      </c>
      <c r="C93" s="99" t="inlineStr">
        <is>
          <t>17</t>
        </is>
      </c>
      <c r="D93" s="99" t="n">
        <v>8</v>
      </c>
      <c r="E93" s="99" t="inlineStr">
        <is>
          <t>TU-A18</t>
        </is>
      </c>
      <c r="F93" s="99" t="inlineStr">
        <is>
          <t>TU-A18/S1</t>
        </is>
      </c>
      <c r="G93" s="99" t="n">
        <v>8</v>
      </c>
      <c r="H93" s="99" t="inlineStr">
        <is>
          <t>TR-A3</t>
        </is>
      </c>
      <c r="I93" s="99" t="n">
        <v>1</v>
      </c>
      <c r="J93" s="99" t="inlineStr">
        <is>
          <t>Ống 1 Xanh dương / Xanh dương</t>
        </is>
      </c>
      <c r="K93" s="99" t="inlineStr">
        <is>
          <t>S4-07</t>
        </is>
      </c>
      <c r="L93" s="99" t="inlineStr">
        <is>
          <t>A-25</t>
        </is>
      </c>
      <c r="M93" s="99" t="inlineStr">
        <is>
          <t>PON-07</t>
        </is>
      </c>
      <c r="N93" s="99" t="inlineStr">
        <is>
          <t>Chưa lắp</t>
        </is>
      </c>
      <c r="O93" s="149" t="n"/>
      <c r="P93" s="150" t="n"/>
      <c r="Q93" s="13">
        <f>M93&amp;" &gt; P96#"&amp;U93&amp;" &gt; "&amp;K93&amp;" &gt; P96#"&amp;L93&amp;" &gt; "&amp;R93&amp;" "&amp;S93&amp;" "&amp;T93&amp;" &gt; "&amp;H93&amp;"#"&amp;I93&amp;" &gt; "&amp;F93&amp;" p"&amp;G93</f>
        <v/>
      </c>
      <c r="R93" s="9" t="inlineStr">
        <is>
          <t>ODF-17/18</t>
        </is>
      </c>
      <c r="S93" s="9" t="inlineStr">
        <is>
          <t>Trái</t>
        </is>
      </c>
      <c r="T93" s="9" t="inlineStr">
        <is>
          <t>H1-C1</t>
        </is>
      </c>
      <c r="U93" s="9" t="inlineStr">
        <is>
          <t>A-43</t>
        </is>
      </c>
    </row>
    <row r="94">
      <c r="A94" s="149" t="inlineStr">
        <is>
          <t>A-17-09</t>
        </is>
      </c>
      <c r="B94" s="99" t="inlineStr">
        <is>
          <t>A</t>
        </is>
      </c>
      <c r="C94" s="99" t="inlineStr">
        <is>
          <t>17</t>
        </is>
      </c>
      <c r="D94" s="99" t="n">
        <v>9</v>
      </c>
      <c r="E94" s="99" t="inlineStr">
        <is>
          <t>TU-A18</t>
        </is>
      </c>
      <c r="F94" s="99" t="inlineStr">
        <is>
          <t>TU-A18/S1</t>
        </is>
      </c>
      <c r="G94" s="99" t="n">
        <v>9</v>
      </c>
      <c r="H94" s="99" t="inlineStr">
        <is>
          <t>TR-A3</t>
        </is>
      </c>
      <c r="I94" s="99" t="n">
        <v>1</v>
      </c>
      <c r="J94" s="99" t="inlineStr">
        <is>
          <t>Ống 1 Xanh dương / Xanh dương</t>
        </is>
      </c>
      <c r="K94" s="99" t="inlineStr">
        <is>
          <t>S4-07</t>
        </is>
      </c>
      <c r="L94" s="99" t="inlineStr">
        <is>
          <t>A-25</t>
        </is>
      </c>
      <c r="M94" s="99" t="inlineStr">
        <is>
          <t>PON-07</t>
        </is>
      </c>
      <c r="N94" s="99" t="inlineStr">
        <is>
          <t>Chưa lắp</t>
        </is>
      </c>
      <c r="O94" s="149" t="n"/>
      <c r="P94" s="150" t="n"/>
      <c r="Q94" s="13">
        <f>M94&amp;" &gt; P96#"&amp;U94&amp;" &gt; "&amp;K94&amp;" &gt; P96#"&amp;L94&amp;" &gt; "&amp;R94&amp;" "&amp;S94&amp;" "&amp;T94&amp;" &gt; "&amp;H94&amp;"#"&amp;I94&amp;" &gt; "&amp;F94&amp;" p"&amp;G94</f>
        <v/>
      </c>
      <c r="R94" s="9" t="inlineStr">
        <is>
          <t>ODF-17/18</t>
        </is>
      </c>
      <c r="S94" s="9" t="inlineStr">
        <is>
          <t>Trái</t>
        </is>
      </c>
      <c r="T94" s="9" t="inlineStr">
        <is>
          <t>H1-C1</t>
        </is>
      </c>
      <c r="U94" s="9" t="inlineStr">
        <is>
          <t>A-43</t>
        </is>
      </c>
    </row>
    <row r="95">
      <c r="A95" s="149" t="inlineStr">
        <is>
          <t>A-17-10</t>
        </is>
      </c>
      <c r="B95" s="99" t="inlineStr">
        <is>
          <t>A</t>
        </is>
      </c>
      <c r="C95" s="99" t="inlineStr">
        <is>
          <t>17</t>
        </is>
      </c>
      <c r="D95" s="99" t="n">
        <v>10</v>
      </c>
      <c r="E95" s="99" t="inlineStr">
        <is>
          <t>TU-A18</t>
        </is>
      </c>
      <c r="F95" s="99" t="inlineStr">
        <is>
          <t>TU-A18/S1</t>
        </is>
      </c>
      <c r="G95" s="99" t="n">
        <v>10</v>
      </c>
      <c r="H95" s="99" t="inlineStr">
        <is>
          <t>TR-A3</t>
        </is>
      </c>
      <c r="I95" s="99" t="n">
        <v>1</v>
      </c>
      <c r="J95" s="99" t="inlineStr">
        <is>
          <t>Ống 1 Xanh dương / Xanh dương</t>
        </is>
      </c>
      <c r="K95" s="99" t="inlineStr">
        <is>
          <t>S4-07</t>
        </is>
      </c>
      <c r="L95" s="99" t="inlineStr">
        <is>
          <t>A-25</t>
        </is>
      </c>
      <c r="M95" s="99" t="inlineStr">
        <is>
          <t>PON-07</t>
        </is>
      </c>
      <c r="N95" s="99" t="inlineStr">
        <is>
          <t>Chưa lắp</t>
        </is>
      </c>
      <c r="O95" s="149" t="n"/>
      <c r="P95" s="150" t="n"/>
      <c r="Q95" s="13">
        <f>M95&amp;" &gt; P96#"&amp;U95&amp;" &gt; "&amp;K95&amp;" &gt; P96#"&amp;L95&amp;" &gt; "&amp;R95&amp;" "&amp;S95&amp;" "&amp;T95&amp;" &gt; "&amp;H95&amp;"#"&amp;I95&amp;" &gt; "&amp;F95&amp;" p"&amp;G95</f>
        <v/>
      </c>
      <c r="R95" s="9" t="inlineStr">
        <is>
          <t>ODF-17/18</t>
        </is>
      </c>
      <c r="S95" s="9" t="inlineStr">
        <is>
          <t>Trái</t>
        </is>
      </c>
      <c r="T95" s="9" t="inlineStr">
        <is>
          <t>H1-C1</t>
        </is>
      </c>
      <c r="U95" s="9" t="inlineStr">
        <is>
          <t>A-43</t>
        </is>
      </c>
    </row>
    <row r="96">
      <c r="A96" s="149" t="inlineStr">
        <is>
          <t>A-17-11</t>
        </is>
      </c>
      <c r="B96" s="99" t="inlineStr">
        <is>
          <t>A</t>
        </is>
      </c>
      <c r="C96" s="99" t="inlineStr">
        <is>
          <t>17</t>
        </is>
      </c>
      <c r="D96" s="99" t="n">
        <v>11</v>
      </c>
      <c r="E96" s="99" t="inlineStr">
        <is>
          <t>TU-A18</t>
        </is>
      </c>
      <c r="F96" s="99" t="inlineStr">
        <is>
          <t>TU-A18/S1</t>
        </is>
      </c>
      <c r="G96" s="99" t="n">
        <v>11</v>
      </c>
      <c r="H96" s="99" t="inlineStr">
        <is>
          <t>TR-A3</t>
        </is>
      </c>
      <c r="I96" s="99" t="n">
        <v>1</v>
      </c>
      <c r="J96" s="99" t="inlineStr">
        <is>
          <t>Ống 1 Xanh dương / Xanh dương</t>
        </is>
      </c>
      <c r="K96" s="99" t="inlineStr">
        <is>
          <t>S4-07</t>
        </is>
      </c>
      <c r="L96" s="99" t="inlineStr">
        <is>
          <t>A-25</t>
        </is>
      </c>
      <c r="M96" s="99" t="inlineStr">
        <is>
          <t>PON-07</t>
        </is>
      </c>
      <c r="N96" s="99" t="inlineStr">
        <is>
          <t>Chưa lắp</t>
        </is>
      </c>
      <c r="O96" s="149" t="n"/>
      <c r="P96" s="150" t="n"/>
      <c r="Q96" s="13">
        <f>M96&amp;" &gt; P96#"&amp;U96&amp;" &gt; "&amp;K96&amp;" &gt; P96#"&amp;L96&amp;" &gt; "&amp;R96&amp;" "&amp;S96&amp;" "&amp;T96&amp;" &gt; "&amp;H96&amp;"#"&amp;I96&amp;" &gt; "&amp;F96&amp;" p"&amp;G96</f>
        <v/>
      </c>
      <c r="R96" s="9" t="inlineStr">
        <is>
          <t>ODF-17/18</t>
        </is>
      </c>
      <c r="S96" s="9" t="inlineStr">
        <is>
          <t>Trái</t>
        </is>
      </c>
      <c r="T96" s="9" t="inlineStr">
        <is>
          <t>H1-C1</t>
        </is>
      </c>
      <c r="U96" s="9" t="inlineStr">
        <is>
          <t>A-43</t>
        </is>
      </c>
    </row>
    <row r="97">
      <c r="A97" s="149" t="inlineStr">
        <is>
          <t>A-17-12</t>
        </is>
      </c>
      <c r="B97" s="99" t="inlineStr">
        <is>
          <t>A</t>
        </is>
      </c>
      <c r="C97" s="99" t="inlineStr">
        <is>
          <t>17</t>
        </is>
      </c>
      <c r="D97" s="99" t="n">
        <v>12</v>
      </c>
      <c r="E97" s="99" t="inlineStr">
        <is>
          <t>TU-A18</t>
        </is>
      </c>
      <c r="F97" s="99" t="inlineStr">
        <is>
          <t>TU-A18/S1</t>
        </is>
      </c>
      <c r="G97" s="99" t="n">
        <v>12</v>
      </c>
      <c r="H97" s="99" t="inlineStr">
        <is>
          <t>TR-A3</t>
        </is>
      </c>
      <c r="I97" s="99" t="n">
        <v>1</v>
      </c>
      <c r="J97" s="99" t="inlineStr">
        <is>
          <t>Ống 1 Xanh dương / Xanh dương</t>
        </is>
      </c>
      <c r="K97" s="99" t="inlineStr">
        <is>
          <t>S4-07</t>
        </is>
      </c>
      <c r="L97" s="99" t="inlineStr">
        <is>
          <t>A-25</t>
        </is>
      </c>
      <c r="M97" s="99" t="inlineStr">
        <is>
          <t>PON-07</t>
        </is>
      </c>
      <c r="N97" s="99" t="inlineStr">
        <is>
          <t>Chưa lắp</t>
        </is>
      </c>
      <c r="O97" s="149" t="n"/>
      <c r="P97" s="150" t="n"/>
      <c r="Q97" s="13">
        <f>M97&amp;" &gt; P96#"&amp;U97&amp;" &gt; "&amp;K97&amp;" &gt; P96#"&amp;L97&amp;" &gt; "&amp;R97&amp;" "&amp;S97&amp;" "&amp;T97&amp;" &gt; "&amp;H97&amp;"#"&amp;I97&amp;" &gt; "&amp;F97&amp;" p"&amp;G97</f>
        <v/>
      </c>
      <c r="R97" s="9" t="inlineStr">
        <is>
          <t>ODF-17/18</t>
        </is>
      </c>
      <c r="S97" s="9" t="inlineStr">
        <is>
          <t>Trái</t>
        </is>
      </c>
      <c r="T97" s="9" t="inlineStr">
        <is>
          <t>H1-C1</t>
        </is>
      </c>
      <c r="U97" s="9" t="inlineStr">
        <is>
          <t>A-43</t>
        </is>
      </c>
    </row>
    <row r="98">
      <c r="A98" s="149" t="inlineStr">
        <is>
          <t>A-17-13</t>
        </is>
      </c>
      <c r="B98" s="99" t="inlineStr">
        <is>
          <t>A</t>
        </is>
      </c>
      <c r="C98" s="99" t="inlineStr">
        <is>
          <t>17</t>
        </is>
      </c>
      <c r="D98" s="99" t="n">
        <v>13</v>
      </c>
      <c r="E98" s="99" t="inlineStr">
        <is>
          <t>TU-A18</t>
        </is>
      </c>
      <c r="F98" s="99" t="inlineStr">
        <is>
          <t>TU-A18/S1</t>
        </is>
      </c>
      <c r="G98" s="99" t="n">
        <v>13</v>
      </c>
      <c r="H98" s="99" t="inlineStr">
        <is>
          <t>TR-A3</t>
        </is>
      </c>
      <c r="I98" s="99" t="n">
        <v>1</v>
      </c>
      <c r="J98" s="99" t="inlineStr">
        <is>
          <t>Ống 1 Xanh dương / Xanh dương</t>
        </is>
      </c>
      <c r="K98" s="99" t="inlineStr">
        <is>
          <t>S4-07</t>
        </is>
      </c>
      <c r="L98" s="99" t="inlineStr">
        <is>
          <t>A-25</t>
        </is>
      </c>
      <c r="M98" s="99" t="inlineStr">
        <is>
          <t>PON-07</t>
        </is>
      </c>
      <c r="N98" s="99" t="inlineStr">
        <is>
          <t>Chưa lắp</t>
        </is>
      </c>
      <c r="O98" s="149" t="n"/>
      <c r="P98" s="150" t="n"/>
      <c r="Q98" s="13">
        <f>M98&amp;" &gt; P96#"&amp;U98&amp;" &gt; "&amp;K98&amp;" &gt; P96#"&amp;L98&amp;" &gt; "&amp;R98&amp;" "&amp;S98&amp;" "&amp;T98&amp;" &gt; "&amp;H98&amp;"#"&amp;I98&amp;" &gt; "&amp;F98&amp;" p"&amp;G98</f>
        <v/>
      </c>
      <c r="R98" s="9" t="inlineStr">
        <is>
          <t>ODF-17/18</t>
        </is>
      </c>
      <c r="S98" s="9" t="inlineStr">
        <is>
          <t>Trái</t>
        </is>
      </c>
      <c r="T98" s="9" t="inlineStr">
        <is>
          <t>H1-C1</t>
        </is>
      </c>
      <c r="U98" s="9" t="inlineStr">
        <is>
          <t>A-43</t>
        </is>
      </c>
    </row>
    <row r="99">
      <c r="A99" s="149" t="inlineStr">
        <is>
          <t>A-17-14</t>
        </is>
      </c>
      <c r="B99" s="99" t="inlineStr">
        <is>
          <t>A</t>
        </is>
      </c>
      <c r="C99" s="99" t="inlineStr">
        <is>
          <t>17</t>
        </is>
      </c>
      <c r="D99" s="99" t="n">
        <v>14</v>
      </c>
      <c r="E99" s="99" t="inlineStr">
        <is>
          <t>TU-A18</t>
        </is>
      </c>
      <c r="F99" s="99" t="inlineStr">
        <is>
          <t>TU-A18/S1</t>
        </is>
      </c>
      <c r="G99" s="99" t="n">
        <v>14</v>
      </c>
      <c r="H99" s="99" t="inlineStr">
        <is>
          <t>TR-A3</t>
        </is>
      </c>
      <c r="I99" s="99" t="n">
        <v>1</v>
      </c>
      <c r="J99" s="99" t="inlineStr">
        <is>
          <t>Ống 1 Xanh dương / Xanh dương</t>
        </is>
      </c>
      <c r="K99" s="99" t="inlineStr">
        <is>
          <t>S4-07</t>
        </is>
      </c>
      <c r="L99" s="99" t="inlineStr">
        <is>
          <t>A-25</t>
        </is>
      </c>
      <c r="M99" s="99" t="inlineStr">
        <is>
          <t>PON-07</t>
        </is>
      </c>
      <c r="N99" s="99" t="inlineStr">
        <is>
          <t>Chưa lắp</t>
        </is>
      </c>
      <c r="O99" s="149" t="n"/>
      <c r="P99" s="150" t="n"/>
      <c r="Q99" s="13">
        <f>M99&amp;" &gt; P96#"&amp;U99&amp;" &gt; "&amp;K99&amp;" &gt; P96#"&amp;L99&amp;" &gt; "&amp;R99&amp;" "&amp;S99&amp;" "&amp;T99&amp;" &gt; "&amp;H99&amp;"#"&amp;I99&amp;" &gt; "&amp;F99&amp;" p"&amp;G99</f>
        <v/>
      </c>
      <c r="R99" s="9" t="inlineStr">
        <is>
          <t>ODF-17/18</t>
        </is>
      </c>
      <c r="S99" s="9" t="inlineStr">
        <is>
          <t>Trái</t>
        </is>
      </c>
      <c r="T99" s="9" t="inlineStr">
        <is>
          <t>H1-C1</t>
        </is>
      </c>
      <c r="U99" s="9" t="inlineStr">
        <is>
          <t>A-43</t>
        </is>
      </c>
    </row>
    <row r="100">
      <c r="A100" s="151" t="inlineStr">
        <is>
          <t>A-16-01</t>
        </is>
      </c>
      <c r="B100" s="102" t="inlineStr">
        <is>
          <t>A</t>
        </is>
      </c>
      <c r="C100" s="102" t="inlineStr">
        <is>
          <t>16</t>
        </is>
      </c>
      <c r="D100" s="102" t="n">
        <v>1</v>
      </c>
      <c r="E100" s="102" t="inlineStr">
        <is>
          <t>TU-A15</t>
        </is>
      </c>
      <c r="F100" s="102" t="inlineStr">
        <is>
          <t>TU-A15/S3</t>
        </is>
      </c>
      <c r="G100" s="102" t="n">
        <v>1</v>
      </c>
      <c r="H100" s="102" t="inlineStr">
        <is>
          <t>TR-A2</t>
        </is>
      </c>
      <c r="I100" s="102" t="n">
        <v>19</v>
      </c>
      <c r="J100" s="102" t="inlineStr">
        <is>
          <t>Ống 4 Nâu / Xanh dương</t>
        </is>
      </c>
      <c r="K100" s="102" t="inlineStr">
        <is>
          <t>S4-06</t>
        </is>
      </c>
      <c r="L100" s="102" t="inlineStr">
        <is>
          <t>A-23</t>
        </is>
      </c>
      <c r="M100" s="102" t="inlineStr">
        <is>
          <t>PON-06</t>
        </is>
      </c>
      <c r="N100" s="102" t="inlineStr">
        <is>
          <t>Chưa lắp</t>
        </is>
      </c>
      <c r="O100" s="151" t="n"/>
      <c r="P100" s="152" t="n"/>
      <c r="Q100" s="13">
        <f>M100&amp;" &gt; P96#"&amp;U100&amp;" &gt; "&amp;K100&amp;" &gt; P96#"&amp;L100&amp;" &gt; "&amp;R100&amp;" "&amp;S100&amp;" "&amp;T100&amp;" &gt; "&amp;H100&amp;"#"&amp;I100&amp;" &gt; "&amp;F100&amp;" p"&amp;G100</f>
        <v/>
      </c>
      <c r="R100" s="9" t="inlineStr">
        <is>
          <t>ODF-08/09</t>
        </is>
      </c>
      <c r="S100" s="9" t="inlineStr">
        <is>
          <t>Trái</t>
        </is>
      </c>
      <c r="T100" s="9" t="inlineStr">
        <is>
          <t>H4-C1</t>
        </is>
      </c>
      <c r="U100" s="9" t="inlineStr">
        <is>
          <t>A-42</t>
        </is>
      </c>
    </row>
    <row r="101">
      <c r="A101" s="151" t="inlineStr">
        <is>
          <t>A-16-02</t>
        </is>
      </c>
      <c r="B101" s="102" t="inlineStr">
        <is>
          <t>A</t>
        </is>
      </c>
      <c r="C101" s="102" t="inlineStr">
        <is>
          <t>16</t>
        </is>
      </c>
      <c r="D101" s="102" t="n">
        <v>2</v>
      </c>
      <c r="E101" s="102" t="inlineStr">
        <is>
          <t>TU-A15</t>
        </is>
      </c>
      <c r="F101" s="102" t="inlineStr">
        <is>
          <t>TU-A15/S3</t>
        </is>
      </c>
      <c r="G101" s="102" t="n">
        <v>2</v>
      </c>
      <c r="H101" s="102" t="inlineStr">
        <is>
          <t>TR-A2</t>
        </is>
      </c>
      <c r="I101" s="102" t="n">
        <v>19</v>
      </c>
      <c r="J101" s="102" t="inlineStr">
        <is>
          <t>Ống 4 Nâu / Xanh dương</t>
        </is>
      </c>
      <c r="K101" s="102" t="inlineStr">
        <is>
          <t>S4-06</t>
        </is>
      </c>
      <c r="L101" s="102" t="inlineStr">
        <is>
          <t>A-23</t>
        </is>
      </c>
      <c r="M101" s="102" t="inlineStr">
        <is>
          <t>PON-06</t>
        </is>
      </c>
      <c r="N101" s="102" t="inlineStr">
        <is>
          <t>Chưa lắp</t>
        </is>
      </c>
      <c r="O101" s="151" t="n"/>
      <c r="P101" s="152" t="n"/>
      <c r="Q101" s="13">
        <f>M101&amp;" &gt; P96#"&amp;U101&amp;" &gt; "&amp;K101&amp;" &gt; P96#"&amp;L101&amp;" &gt; "&amp;R101&amp;" "&amp;S101&amp;" "&amp;T101&amp;" &gt; "&amp;H101&amp;"#"&amp;I101&amp;" &gt; "&amp;F101&amp;" p"&amp;G101</f>
        <v/>
      </c>
      <c r="R101" s="9" t="inlineStr">
        <is>
          <t>ODF-08/09</t>
        </is>
      </c>
      <c r="S101" s="9" t="inlineStr">
        <is>
          <t>Trái</t>
        </is>
      </c>
      <c r="T101" s="9" t="inlineStr">
        <is>
          <t>H4-C1</t>
        </is>
      </c>
      <c r="U101" s="9" t="inlineStr">
        <is>
          <t>A-42</t>
        </is>
      </c>
    </row>
    <row r="102">
      <c r="A102" s="151" t="inlineStr">
        <is>
          <t>A-16-03</t>
        </is>
      </c>
      <c r="B102" s="102" t="inlineStr">
        <is>
          <t>A</t>
        </is>
      </c>
      <c r="C102" s="102" t="inlineStr">
        <is>
          <t>16</t>
        </is>
      </c>
      <c r="D102" s="102" t="n">
        <v>3</v>
      </c>
      <c r="E102" s="102" t="inlineStr">
        <is>
          <t>TU-A15</t>
        </is>
      </c>
      <c r="F102" s="102" t="inlineStr">
        <is>
          <t>TU-A15/S3</t>
        </is>
      </c>
      <c r="G102" s="102" t="n">
        <v>3</v>
      </c>
      <c r="H102" s="102" t="inlineStr">
        <is>
          <t>TR-A2</t>
        </is>
      </c>
      <c r="I102" s="102" t="n">
        <v>19</v>
      </c>
      <c r="J102" s="102" t="inlineStr">
        <is>
          <t>Ống 4 Nâu / Xanh dương</t>
        </is>
      </c>
      <c r="K102" s="102" t="inlineStr">
        <is>
          <t>S4-06</t>
        </is>
      </c>
      <c r="L102" s="102" t="inlineStr">
        <is>
          <t>A-23</t>
        </is>
      </c>
      <c r="M102" s="102" t="inlineStr">
        <is>
          <t>PON-06</t>
        </is>
      </c>
      <c r="N102" s="102" t="inlineStr">
        <is>
          <t>Chưa lắp</t>
        </is>
      </c>
      <c r="O102" s="151" t="n"/>
      <c r="P102" s="152" t="n"/>
      <c r="Q102" s="13">
        <f>M102&amp;" &gt; P96#"&amp;U102&amp;" &gt; "&amp;K102&amp;" &gt; P96#"&amp;L102&amp;" &gt; "&amp;R102&amp;" "&amp;S102&amp;" "&amp;T102&amp;" &gt; "&amp;H102&amp;"#"&amp;I102&amp;" &gt; "&amp;F102&amp;" p"&amp;G102</f>
        <v/>
      </c>
      <c r="R102" s="9" t="inlineStr">
        <is>
          <t>ODF-08/09</t>
        </is>
      </c>
      <c r="S102" s="9" t="inlineStr">
        <is>
          <t>Trái</t>
        </is>
      </c>
      <c r="T102" s="9" t="inlineStr">
        <is>
          <t>H4-C1</t>
        </is>
      </c>
      <c r="U102" s="9" t="inlineStr">
        <is>
          <t>A-42</t>
        </is>
      </c>
    </row>
    <row r="103">
      <c r="A103" s="151" t="inlineStr">
        <is>
          <t>A-16-04</t>
        </is>
      </c>
      <c r="B103" s="102" t="inlineStr">
        <is>
          <t>A</t>
        </is>
      </c>
      <c r="C103" s="102" t="inlineStr">
        <is>
          <t>16</t>
        </is>
      </c>
      <c r="D103" s="102" t="n">
        <v>4</v>
      </c>
      <c r="E103" s="102" t="inlineStr">
        <is>
          <t>TU-A15</t>
        </is>
      </c>
      <c r="F103" s="102" t="inlineStr">
        <is>
          <t>TU-A15/S3</t>
        </is>
      </c>
      <c r="G103" s="102" t="n">
        <v>4</v>
      </c>
      <c r="H103" s="102" t="inlineStr">
        <is>
          <t>TR-A2</t>
        </is>
      </c>
      <c r="I103" s="102" t="n">
        <v>19</v>
      </c>
      <c r="J103" s="102" t="inlineStr">
        <is>
          <t>Ống 4 Nâu / Xanh dương</t>
        </is>
      </c>
      <c r="K103" s="102" t="inlineStr">
        <is>
          <t>S4-06</t>
        </is>
      </c>
      <c r="L103" s="102" t="inlineStr">
        <is>
          <t>A-23</t>
        </is>
      </c>
      <c r="M103" s="102" t="inlineStr">
        <is>
          <t>PON-06</t>
        </is>
      </c>
      <c r="N103" s="102" t="inlineStr">
        <is>
          <t>Chưa lắp</t>
        </is>
      </c>
      <c r="O103" s="151" t="n"/>
      <c r="P103" s="152" t="n"/>
      <c r="Q103" s="13">
        <f>M103&amp;" &gt; P96#"&amp;U103&amp;" &gt; "&amp;K103&amp;" &gt; P96#"&amp;L103&amp;" &gt; "&amp;R103&amp;" "&amp;S103&amp;" "&amp;T103&amp;" &gt; "&amp;H103&amp;"#"&amp;I103&amp;" &gt; "&amp;F103&amp;" p"&amp;G103</f>
        <v/>
      </c>
      <c r="R103" s="9" t="inlineStr">
        <is>
          <t>ODF-08/09</t>
        </is>
      </c>
      <c r="S103" s="9" t="inlineStr">
        <is>
          <t>Trái</t>
        </is>
      </c>
      <c r="T103" s="9" t="inlineStr">
        <is>
          <t>H4-C1</t>
        </is>
      </c>
      <c r="U103" s="9" t="inlineStr">
        <is>
          <t>A-42</t>
        </is>
      </c>
    </row>
    <row r="104">
      <c r="A104" s="151" t="inlineStr">
        <is>
          <t>A-16-05</t>
        </is>
      </c>
      <c r="B104" s="102" t="inlineStr">
        <is>
          <t>A</t>
        </is>
      </c>
      <c r="C104" s="102" t="inlineStr">
        <is>
          <t>16</t>
        </is>
      </c>
      <c r="D104" s="102" t="n">
        <v>5</v>
      </c>
      <c r="E104" s="102" t="inlineStr">
        <is>
          <t>TU-A15</t>
        </is>
      </c>
      <c r="F104" s="102" t="inlineStr">
        <is>
          <t>TU-A15/S3</t>
        </is>
      </c>
      <c r="G104" s="102" t="n">
        <v>5</v>
      </c>
      <c r="H104" s="102" t="inlineStr">
        <is>
          <t>TR-A2</t>
        </is>
      </c>
      <c r="I104" s="102" t="n">
        <v>19</v>
      </c>
      <c r="J104" s="102" t="inlineStr">
        <is>
          <t>Ống 4 Nâu / Xanh dương</t>
        </is>
      </c>
      <c r="K104" s="102" t="inlineStr">
        <is>
          <t>S4-06</t>
        </is>
      </c>
      <c r="L104" s="102" t="inlineStr">
        <is>
          <t>A-23</t>
        </is>
      </c>
      <c r="M104" s="102" t="inlineStr">
        <is>
          <t>PON-06</t>
        </is>
      </c>
      <c r="N104" s="102" t="inlineStr">
        <is>
          <t>Chưa lắp</t>
        </is>
      </c>
      <c r="O104" s="151" t="n"/>
      <c r="P104" s="152" t="n"/>
      <c r="Q104" s="13">
        <f>M104&amp;" &gt; P96#"&amp;U104&amp;" &gt; "&amp;K104&amp;" &gt; P96#"&amp;L104&amp;" &gt; "&amp;R104&amp;" "&amp;S104&amp;" "&amp;T104&amp;" &gt; "&amp;H104&amp;"#"&amp;I104&amp;" &gt; "&amp;F104&amp;" p"&amp;G104</f>
        <v/>
      </c>
      <c r="R104" s="9" t="inlineStr">
        <is>
          <t>ODF-08/09</t>
        </is>
      </c>
      <c r="S104" s="9" t="inlineStr">
        <is>
          <t>Trái</t>
        </is>
      </c>
      <c r="T104" s="9" t="inlineStr">
        <is>
          <t>H4-C1</t>
        </is>
      </c>
      <c r="U104" s="9" t="inlineStr">
        <is>
          <t>A-42</t>
        </is>
      </c>
    </row>
    <row r="105">
      <c r="A105" s="151" t="inlineStr">
        <is>
          <t>A-16-06</t>
        </is>
      </c>
      <c r="B105" s="102" t="inlineStr">
        <is>
          <t>A</t>
        </is>
      </c>
      <c r="C105" s="102" t="inlineStr">
        <is>
          <t>16</t>
        </is>
      </c>
      <c r="D105" s="102" t="n">
        <v>6</v>
      </c>
      <c r="E105" s="102" t="inlineStr">
        <is>
          <t>TU-A15</t>
        </is>
      </c>
      <c r="F105" s="102" t="inlineStr">
        <is>
          <t>TU-A15/S3</t>
        </is>
      </c>
      <c r="G105" s="102" t="n">
        <v>6</v>
      </c>
      <c r="H105" s="102" t="inlineStr">
        <is>
          <t>TR-A2</t>
        </is>
      </c>
      <c r="I105" s="102" t="n">
        <v>19</v>
      </c>
      <c r="J105" s="102" t="inlineStr">
        <is>
          <t>Ống 4 Nâu / Xanh dương</t>
        </is>
      </c>
      <c r="K105" s="102" t="inlineStr">
        <is>
          <t>S4-06</t>
        </is>
      </c>
      <c r="L105" s="102" t="inlineStr">
        <is>
          <t>A-23</t>
        </is>
      </c>
      <c r="M105" s="102" t="inlineStr">
        <is>
          <t>PON-06</t>
        </is>
      </c>
      <c r="N105" s="102" t="inlineStr">
        <is>
          <t>Chưa lắp</t>
        </is>
      </c>
      <c r="O105" s="151" t="n"/>
      <c r="P105" s="152" t="n"/>
      <c r="Q105" s="13">
        <f>M105&amp;" &gt; P96#"&amp;U105&amp;" &gt; "&amp;K105&amp;" &gt; P96#"&amp;L105&amp;" &gt; "&amp;R105&amp;" "&amp;S105&amp;" "&amp;T105&amp;" &gt; "&amp;H105&amp;"#"&amp;I105&amp;" &gt; "&amp;F105&amp;" p"&amp;G105</f>
        <v/>
      </c>
      <c r="R105" s="9" t="inlineStr">
        <is>
          <t>ODF-08/09</t>
        </is>
      </c>
      <c r="S105" s="9" t="inlineStr">
        <is>
          <t>Trái</t>
        </is>
      </c>
      <c r="T105" s="9" t="inlineStr">
        <is>
          <t>H4-C1</t>
        </is>
      </c>
      <c r="U105" s="9" t="inlineStr">
        <is>
          <t>A-42</t>
        </is>
      </c>
    </row>
    <row r="106">
      <c r="A106" s="151" t="inlineStr">
        <is>
          <t>A-16-07</t>
        </is>
      </c>
      <c r="B106" s="102" t="inlineStr">
        <is>
          <t>A</t>
        </is>
      </c>
      <c r="C106" s="102" t="inlineStr">
        <is>
          <t>16</t>
        </is>
      </c>
      <c r="D106" s="102" t="n">
        <v>7</v>
      </c>
      <c r="E106" s="102" t="inlineStr">
        <is>
          <t>TU-A15</t>
        </is>
      </c>
      <c r="F106" s="102" t="inlineStr">
        <is>
          <t>TU-A15/S3</t>
        </is>
      </c>
      <c r="G106" s="102" t="n">
        <v>7</v>
      </c>
      <c r="H106" s="102" t="inlineStr">
        <is>
          <t>TR-A2</t>
        </is>
      </c>
      <c r="I106" s="102" t="n">
        <v>19</v>
      </c>
      <c r="J106" s="102" t="inlineStr">
        <is>
          <t>Ống 4 Nâu / Xanh dương</t>
        </is>
      </c>
      <c r="K106" s="102" t="inlineStr">
        <is>
          <t>S4-06</t>
        </is>
      </c>
      <c r="L106" s="102" t="inlineStr">
        <is>
          <t>A-23</t>
        </is>
      </c>
      <c r="M106" s="102" t="inlineStr">
        <is>
          <t>PON-06</t>
        </is>
      </c>
      <c r="N106" s="102" t="inlineStr">
        <is>
          <t>Chưa lắp</t>
        </is>
      </c>
      <c r="O106" s="151" t="n"/>
      <c r="P106" s="152" t="n"/>
      <c r="Q106" s="13">
        <f>M106&amp;" &gt; P96#"&amp;U106&amp;" &gt; "&amp;K106&amp;" &gt; P96#"&amp;L106&amp;" &gt; "&amp;R106&amp;" "&amp;S106&amp;" "&amp;T106&amp;" &gt; "&amp;H106&amp;"#"&amp;I106&amp;" &gt; "&amp;F106&amp;" p"&amp;G106</f>
        <v/>
      </c>
      <c r="R106" s="9" t="inlineStr">
        <is>
          <t>ODF-08/09</t>
        </is>
      </c>
      <c r="S106" s="9" t="inlineStr">
        <is>
          <t>Trái</t>
        </is>
      </c>
      <c r="T106" s="9" t="inlineStr">
        <is>
          <t>H4-C1</t>
        </is>
      </c>
      <c r="U106" s="9" t="inlineStr">
        <is>
          <t>A-42</t>
        </is>
      </c>
    </row>
    <row r="107">
      <c r="A107" s="151" t="inlineStr">
        <is>
          <t>A-16-08</t>
        </is>
      </c>
      <c r="B107" s="102" t="inlineStr">
        <is>
          <t>A</t>
        </is>
      </c>
      <c r="C107" s="102" t="inlineStr">
        <is>
          <t>16</t>
        </is>
      </c>
      <c r="D107" s="102" t="n">
        <v>8</v>
      </c>
      <c r="E107" s="102" t="inlineStr">
        <is>
          <t>TU-A15</t>
        </is>
      </c>
      <c r="F107" s="102" t="inlineStr">
        <is>
          <t>TU-A15/S3</t>
        </is>
      </c>
      <c r="G107" s="102" t="n">
        <v>8</v>
      </c>
      <c r="H107" s="102" t="inlineStr">
        <is>
          <t>TR-A2</t>
        </is>
      </c>
      <c r="I107" s="102" t="n">
        <v>19</v>
      </c>
      <c r="J107" s="102" t="inlineStr">
        <is>
          <t>Ống 4 Nâu / Xanh dương</t>
        </is>
      </c>
      <c r="K107" s="102" t="inlineStr">
        <is>
          <t>S4-06</t>
        </is>
      </c>
      <c r="L107" s="102" t="inlineStr">
        <is>
          <t>A-23</t>
        </is>
      </c>
      <c r="M107" s="102" t="inlineStr">
        <is>
          <t>PON-06</t>
        </is>
      </c>
      <c r="N107" s="102" t="inlineStr">
        <is>
          <t>Chưa lắp</t>
        </is>
      </c>
      <c r="O107" s="151" t="n"/>
      <c r="P107" s="152" t="n"/>
      <c r="Q107" s="13">
        <f>M107&amp;" &gt; P96#"&amp;U107&amp;" &gt; "&amp;K107&amp;" &gt; P96#"&amp;L107&amp;" &gt; "&amp;R107&amp;" "&amp;S107&amp;" "&amp;T107&amp;" &gt; "&amp;H107&amp;"#"&amp;I107&amp;" &gt; "&amp;F107&amp;" p"&amp;G107</f>
        <v/>
      </c>
      <c r="R107" s="9" t="inlineStr">
        <is>
          <t>ODF-08/09</t>
        </is>
      </c>
      <c r="S107" s="9" t="inlineStr">
        <is>
          <t>Trái</t>
        </is>
      </c>
      <c r="T107" s="9" t="inlineStr">
        <is>
          <t>H4-C1</t>
        </is>
      </c>
      <c r="U107" s="9" t="inlineStr">
        <is>
          <t>A-42</t>
        </is>
      </c>
    </row>
    <row r="108">
      <c r="A108" s="151" t="inlineStr">
        <is>
          <t>A-16-09</t>
        </is>
      </c>
      <c r="B108" s="102" t="inlineStr">
        <is>
          <t>A</t>
        </is>
      </c>
      <c r="C108" s="102" t="inlineStr">
        <is>
          <t>16</t>
        </is>
      </c>
      <c r="D108" s="102" t="n">
        <v>9</v>
      </c>
      <c r="E108" s="102" t="inlineStr">
        <is>
          <t>TU-A15</t>
        </is>
      </c>
      <c r="F108" s="102" t="inlineStr">
        <is>
          <t>TU-A15/S3</t>
        </is>
      </c>
      <c r="G108" s="102" t="n">
        <v>9</v>
      </c>
      <c r="H108" s="102" t="inlineStr">
        <is>
          <t>TR-A2</t>
        </is>
      </c>
      <c r="I108" s="102" t="n">
        <v>19</v>
      </c>
      <c r="J108" s="102" t="inlineStr">
        <is>
          <t>Ống 4 Nâu / Xanh dương</t>
        </is>
      </c>
      <c r="K108" s="102" t="inlineStr">
        <is>
          <t>S4-06</t>
        </is>
      </c>
      <c r="L108" s="102" t="inlineStr">
        <is>
          <t>A-23</t>
        </is>
      </c>
      <c r="M108" s="102" t="inlineStr">
        <is>
          <t>PON-06</t>
        </is>
      </c>
      <c r="N108" s="102" t="inlineStr">
        <is>
          <t>Chưa lắp</t>
        </is>
      </c>
      <c r="O108" s="151" t="n"/>
      <c r="P108" s="152" t="n"/>
      <c r="Q108" s="13">
        <f>M108&amp;" &gt; P96#"&amp;U108&amp;" &gt; "&amp;K108&amp;" &gt; P96#"&amp;L108&amp;" &gt; "&amp;R108&amp;" "&amp;S108&amp;" "&amp;T108&amp;" &gt; "&amp;H108&amp;"#"&amp;I108&amp;" &gt; "&amp;F108&amp;" p"&amp;G108</f>
        <v/>
      </c>
      <c r="R108" s="9" t="inlineStr">
        <is>
          <t>ODF-08/09</t>
        </is>
      </c>
      <c r="S108" s="9" t="inlineStr">
        <is>
          <t>Trái</t>
        </is>
      </c>
      <c r="T108" s="9" t="inlineStr">
        <is>
          <t>H4-C1</t>
        </is>
      </c>
      <c r="U108" s="9" t="inlineStr">
        <is>
          <t>A-42</t>
        </is>
      </c>
    </row>
    <row r="109">
      <c r="A109" s="151" t="inlineStr">
        <is>
          <t>A-16-10</t>
        </is>
      </c>
      <c r="B109" s="102" t="inlineStr">
        <is>
          <t>A</t>
        </is>
      </c>
      <c r="C109" s="102" t="inlineStr">
        <is>
          <t>16</t>
        </is>
      </c>
      <c r="D109" s="102" t="n">
        <v>10</v>
      </c>
      <c r="E109" s="102" t="inlineStr">
        <is>
          <t>TU-A15</t>
        </is>
      </c>
      <c r="F109" s="102" t="inlineStr">
        <is>
          <t>TU-A15/S3</t>
        </is>
      </c>
      <c r="G109" s="102" t="n">
        <v>10</v>
      </c>
      <c r="H109" s="102" t="inlineStr">
        <is>
          <t>TR-A2</t>
        </is>
      </c>
      <c r="I109" s="102" t="n">
        <v>19</v>
      </c>
      <c r="J109" s="102" t="inlineStr">
        <is>
          <t>Ống 4 Nâu / Xanh dương</t>
        </is>
      </c>
      <c r="K109" s="102" t="inlineStr">
        <is>
          <t>S4-06</t>
        </is>
      </c>
      <c r="L109" s="102" t="inlineStr">
        <is>
          <t>A-23</t>
        </is>
      </c>
      <c r="M109" s="102" t="inlineStr">
        <is>
          <t>PON-06</t>
        </is>
      </c>
      <c r="N109" s="102" t="inlineStr">
        <is>
          <t>Chưa lắp</t>
        </is>
      </c>
      <c r="O109" s="151" t="n"/>
      <c r="P109" s="152" t="n"/>
      <c r="Q109" s="13">
        <f>M109&amp;" &gt; P96#"&amp;U109&amp;" &gt; "&amp;K109&amp;" &gt; P96#"&amp;L109&amp;" &gt; "&amp;R109&amp;" "&amp;S109&amp;" "&amp;T109&amp;" &gt; "&amp;H109&amp;"#"&amp;I109&amp;" &gt; "&amp;F109&amp;" p"&amp;G109</f>
        <v/>
      </c>
      <c r="R109" s="9" t="inlineStr">
        <is>
          <t>ODF-08/09</t>
        </is>
      </c>
      <c r="S109" s="9" t="inlineStr">
        <is>
          <t>Trái</t>
        </is>
      </c>
      <c r="T109" s="9" t="inlineStr">
        <is>
          <t>H4-C1</t>
        </is>
      </c>
      <c r="U109" s="9" t="inlineStr">
        <is>
          <t>A-42</t>
        </is>
      </c>
    </row>
    <row r="110">
      <c r="A110" s="151" t="inlineStr">
        <is>
          <t>A-16-11</t>
        </is>
      </c>
      <c r="B110" s="102" t="inlineStr">
        <is>
          <t>A</t>
        </is>
      </c>
      <c r="C110" s="102" t="inlineStr">
        <is>
          <t>16</t>
        </is>
      </c>
      <c r="D110" s="102" t="n">
        <v>11</v>
      </c>
      <c r="E110" s="102" t="inlineStr">
        <is>
          <t>TU-A15</t>
        </is>
      </c>
      <c r="F110" s="102" t="inlineStr">
        <is>
          <t>TU-A15/S3</t>
        </is>
      </c>
      <c r="G110" s="102" t="n">
        <v>11</v>
      </c>
      <c r="H110" s="102" t="inlineStr">
        <is>
          <t>TR-A2</t>
        </is>
      </c>
      <c r="I110" s="102" t="n">
        <v>19</v>
      </c>
      <c r="J110" s="102" t="inlineStr">
        <is>
          <t>Ống 4 Nâu / Xanh dương</t>
        </is>
      </c>
      <c r="K110" s="102" t="inlineStr">
        <is>
          <t>S4-06</t>
        </is>
      </c>
      <c r="L110" s="102" t="inlineStr">
        <is>
          <t>A-23</t>
        </is>
      </c>
      <c r="M110" s="102" t="inlineStr">
        <is>
          <t>PON-06</t>
        </is>
      </c>
      <c r="N110" s="102" t="inlineStr">
        <is>
          <t>Chưa lắp</t>
        </is>
      </c>
      <c r="O110" s="151" t="n"/>
      <c r="P110" s="152" t="n"/>
      <c r="Q110" s="13">
        <f>M110&amp;" &gt; P96#"&amp;U110&amp;" &gt; "&amp;K110&amp;" &gt; P96#"&amp;L110&amp;" &gt; "&amp;R110&amp;" "&amp;S110&amp;" "&amp;T110&amp;" &gt; "&amp;H110&amp;"#"&amp;I110&amp;" &gt; "&amp;F110&amp;" p"&amp;G110</f>
        <v/>
      </c>
      <c r="R110" s="9" t="inlineStr">
        <is>
          <t>ODF-08/09</t>
        </is>
      </c>
      <c r="S110" s="9" t="inlineStr">
        <is>
          <t>Trái</t>
        </is>
      </c>
      <c r="T110" s="9" t="inlineStr">
        <is>
          <t>H4-C1</t>
        </is>
      </c>
      <c r="U110" s="9" t="inlineStr">
        <is>
          <t>A-42</t>
        </is>
      </c>
    </row>
    <row r="111">
      <c r="A111" s="151" t="inlineStr">
        <is>
          <t>A-16-12</t>
        </is>
      </c>
      <c r="B111" s="102" t="inlineStr">
        <is>
          <t>A</t>
        </is>
      </c>
      <c r="C111" s="102" t="inlineStr">
        <is>
          <t>16</t>
        </is>
      </c>
      <c r="D111" s="102" t="n">
        <v>12</v>
      </c>
      <c r="E111" s="102" t="inlineStr">
        <is>
          <t>TU-A15</t>
        </is>
      </c>
      <c r="F111" s="102" t="inlineStr">
        <is>
          <t>TU-A15/S3</t>
        </is>
      </c>
      <c r="G111" s="102" t="n">
        <v>12</v>
      </c>
      <c r="H111" s="102" t="inlineStr">
        <is>
          <t>TR-A2</t>
        </is>
      </c>
      <c r="I111" s="102" t="n">
        <v>19</v>
      </c>
      <c r="J111" s="102" t="inlineStr">
        <is>
          <t>Ống 4 Nâu / Xanh dương</t>
        </is>
      </c>
      <c r="K111" s="102" t="inlineStr">
        <is>
          <t>S4-06</t>
        </is>
      </c>
      <c r="L111" s="102" t="inlineStr">
        <is>
          <t>A-23</t>
        </is>
      </c>
      <c r="M111" s="102" t="inlineStr">
        <is>
          <t>PON-06</t>
        </is>
      </c>
      <c r="N111" s="102" t="inlineStr">
        <is>
          <t>Chưa lắp</t>
        </is>
      </c>
      <c r="O111" s="151" t="n"/>
      <c r="P111" s="152" t="n"/>
      <c r="Q111" s="13">
        <f>M111&amp;" &gt; P96#"&amp;U111&amp;" &gt; "&amp;K111&amp;" &gt; P96#"&amp;L111&amp;" &gt; "&amp;R111&amp;" "&amp;S111&amp;" "&amp;T111&amp;" &gt; "&amp;H111&amp;"#"&amp;I111&amp;" &gt; "&amp;F111&amp;" p"&amp;G111</f>
        <v/>
      </c>
      <c r="R111" s="9" t="inlineStr">
        <is>
          <t>ODF-08/09</t>
        </is>
      </c>
      <c r="S111" s="9" t="inlineStr">
        <is>
          <t>Trái</t>
        </is>
      </c>
      <c r="T111" s="9" t="inlineStr">
        <is>
          <t>H4-C1</t>
        </is>
      </c>
      <c r="U111" s="9" t="inlineStr">
        <is>
          <t>A-42</t>
        </is>
      </c>
    </row>
    <row r="112">
      <c r="A112" s="151" t="inlineStr">
        <is>
          <t>A-16-13</t>
        </is>
      </c>
      <c r="B112" s="102" t="inlineStr">
        <is>
          <t>A</t>
        </is>
      </c>
      <c r="C112" s="102" t="inlineStr">
        <is>
          <t>16</t>
        </is>
      </c>
      <c r="D112" s="102" t="n">
        <v>13</v>
      </c>
      <c r="E112" s="102" t="inlineStr">
        <is>
          <t>TU-A15</t>
        </is>
      </c>
      <c r="F112" s="102" t="inlineStr">
        <is>
          <t>TU-A15/S3</t>
        </is>
      </c>
      <c r="G112" s="102" t="n">
        <v>13</v>
      </c>
      <c r="H112" s="102" t="inlineStr">
        <is>
          <t>TR-A2</t>
        </is>
      </c>
      <c r="I112" s="102" t="n">
        <v>19</v>
      </c>
      <c r="J112" s="102" t="inlineStr">
        <is>
          <t>Ống 4 Nâu / Xanh dương</t>
        </is>
      </c>
      <c r="K112" s="102" t="inlineStr">
        <is>
          <t>S4-06</t>
        </is>
      </c>
      <c r="L112" s="102" t="inlineStr">
        <is>
          <t>A-23</t>
        </is>
      </c>
      <c r="M112" s="102" t="inlineStr">
        <is>
          <t>PON-06</t>
        </is>
      </c>
      <c r="N112" s="102" t="inlineStr">
        <is>
          <t>Chưa lắp</t>
        </is>
      </c>
      <c r="O112" s="151" t="n"/>
      <c r="P112" s="152" t="n"/>
      <c r="Q112" s="13">
        <f>M112&amp;" &gt; P96#"&amp;U112&amp;" &gt; "&amp;K112&amp;" &gt; P96#"&amp;L112&amp;" &gt; "&amp;R112&amp;" "&amp;S112&amp;" "&amp;T112&amp;" &gt; "&amp;H112&amp;"#"&amp;I112&amp;" &gt; "&amp;F112&amp;" p"&amp;G112</f>
        <v/>
      </c>
      <c r="R112" s="9" t="inlineStr">
        <is>
          <t>ODF-08/09</t>
        </is>
      </c>
      <c r="S112" s="9" t="inlineStr">
        <is>
          <t>Trái</t>
        </is>
      </c>
      <c r="T112" s="9" t="inlineStr">
        <is>
          <t>H4-C1</t>
        </is>
      </c>
      <c r="U112" s="9" t="inlineStr">
        <is>
          <t>A-42</t>
        </is>
      </c>
    </row>
    <row r="113">
      <c r="A113" s="151" t="inlineStr">
        <is>
          <t>A-16-14</t>
        </is>
      </c>
      <c r="B113" s="102" t="inlineStr">
        <is>
          <t>A</t>
        </is>
      </c>
      <c r="C113" s="102" t="inlineStr">
        <is>
          <t>16</t>
        </is>
      </c>
      <c r="D113" s="102" t="n">
        <v>14</v>
      </c>
      <c r="E113" s="102" t="inlineStr">
        <is>
          <t>TU-A15</t>
        </is>
      </c>
      <c r="F113" s="102" t="inlineStr">
        <is>
          <t>TU-A15/S3</t>
        </is>
      </c>
      <c r="G113" s="102" t="n">
        <v>14</v>
      </c>
      <c r="H113" s="102" t="inlineStr">
        <is>
          <t>TR-A2</t>
        </is>
      </c>
      <c r="I113" s="102" t="n">
        <v>19</v>
      </c>
      <c r="J113" s="102" t="inlineStr">
        <is>
          <t>Ống 4 Nâu / Xanh dương</t>
        </is>
      </c>
      <c r="K113" s="102" t="inlineStr">
        <is>
          <t>S4-06</t>
        </is>
      </c>
      <c r="L113" s="102" t="inlineStr">
        <is>
          <t>A-23</t>
        </is>
      </c>
      <c r="M113" s="102" t="inlineStr">
        <is>
          <t>PON-06</t>
        </is>
      </c>
      <c r="N113" s="102" t="inlineStr">
        <is>
          <t>Chưa lắp</t>
        </is>
      </c>
      <c r="O113" s="151" t="n"/>
      <c r="P113" s="152" t="n"/>
      <c r="Q113" s="13">
        <f>M113&amp;" &gt; P96#"&amp;U113&amp;" &gt; "&amp;K113&amp;" &gt; P96#"&amp;L113&amp;" &gt; "&amp;R113&amp;" "&amp;S113&amp;" "&amp;T113&amp;" &gt; "&amp;H113&amp;"#"&amp;I113&amp;" &gt; "&amp;F113&amp;" p"&amp;G113</f>
        <v/>
      </c>
      <c r="R113" s="9" t="inlineStr">
        <is>
          <t>ODF-08/09</t>
        </is>
      </c>
      <c r="S113" s="9" t="inlineStr">
        <is>
          <t>Trái</t>
        </is>
      </c>
      <c r="T113" s="9" t="inlineStr">
        <is>
          <t>H4-C1</t>
        </is>
      </c>
      <c r="U113" s="9" t="inlineStr">
        <is>
          <t>A-42</t>
        </is>
      </c>
    </row>
    <row r="114">
      <c r="A114" s="149" t="inlineStr">
        <is>
          <t>A-15-01</t>
        </is>
      </c>
      <c r="B114" s="99" t="inlineStr">
        <is>
          <t>A</t>
        </is>
      </c>
      <c r="C114" s="99" t="inlineStr">
        <is>
          <t>15</t>
        </is>
      </c>
      <c r="D114" s="99" t="n">
        <v>1</v>
      </c>
      <c r="E114" s="99" t="inlineStr">
        <is>
          <t>TU-A15</t>
        </is>
      </c>
      <c r="F114" s="99" t="inlineStr">
        <is>
          <t>TU-A15/S2</t>
        </is>
      </c>
      <c r="G114" s="99" t="n">
        <v>1</v>
      </c>
      <c r="H114" s="99" t="inlineStr">
        <is>
          <t>TR-A2</t>
        </is>
      </c>
      <c r="I114" s="99" t="n">
        <v>18</v>
      </c>
      <c r="J114" s="99" t="inlineStr">
        <is>
          <t>Ống 3 Xanh lá / Trắng</t>
        </is>
      </c>
      <c r="K114" s="99" t="inlineStr">
        <is>
          <t>S4-06</t>
        </is>
      </c>
      <c r="L114" s="99" t="inlineStr">
        <is>
          <t>A-22</t>
        </is>
      </c>
      <c r="M114" s="99" t="inlineStr">
        <is>
          <t>PON-06</t>
        </is>
      </c>
      <c r="N114" s="99" t="inlineStr">
        <is>
          <t>Chưa lắp</t>
        </is>
      </c>
      <c r="O114" s="149" t="n"/>
      <c r="P114" s="150" t="n"/>
      <c r="Q114" s="13">
        <f>M114&amp;" &gt; P96#"&amp;U114&amp;" &gt; "&amp;K114&amp;" &gt; P96#"&amp;L114&amp;" &gt; "&amp;R114&amp;" "&amp;S114&amp;" "&amp;T114&amp;" &gt; "&amp;H114&amp;"#"&amp;I114&amp;" &gt; "&amp;F114&amp;" p"&amp;G114</f>
        <v/>
      </c>
      <c r="R114" s="9" t="inlineStr">
        <is>
          <t>ODF-08/09</t>
        </is>
      </c>
      <c r="S114" s="9" t="inlineStr">
        <is>
          <t>Trái</t>
        </is>
      </c>
      <c r="T114" s="9" t="inlineStr">
        <is>
          <t>H3-C6</t>
        </is>
      </c>
      <c r="U114" s="9" t="inlineStr">
        <is>
          <t>A-42</t>
        </is>
      </c>
    </row>
    <row r="115">
      <c r="A115" s="149" t="inlineStr">
        <is>
          <t>A-15-02</t>
        </is>
      </c>
      <c r="B115" s="99" t="inlineStr">
        <is>
          <t>A</t>
        </is>
      </c>
      <c r="C115" s="99" t="inlineStr">
        <is>
          <t>15</t>
        </is>
      </c>
      <c r="D115" s="99" t="n">
        <v>2</v>
      </c>
      <c r="E115" s="99" t="inlineStr">
        <is>
          <t>TU-A15</t>
        </is>
      </c>
      <c r="F115" s="99" t="inlineStr">
        <is>
          <t>TU-A15/S2</t>
        </is>
      </c>
      <c r="G115" s="99" t="n">
        <v>2</v>
      </c>
      <c r="H115" s="99" t="inlineStr">
        <is>
          <t>TR-A2</t>
        </is>
      </c>
      <c r="I115" s="99" t="n">
        <v>18</v>
      </c>
      <c r="J115" s="99" t="inlineStr">
        <is>
          <t>Ống 3 Xanh lá / Trắng</t>
        </is>
      </c>
      <c r="K115" s="99" t="inlineStr">
        <is>
          <t>S4-06</t>
        </is>
      </c>
      <c r="L115" s="99" t="inlineStr">
        <is>
          <t>A-22</t>
        </is>
      </c>
      <c r="M115" s="99" t="inlineStr">
        <is>
          <t>PON-06</t>
        </is>
      </c>
      <c r="N115" s="99" t="inlineStr">
        <is>
          <t>Chưa lắp</t>
        </is>
      </c>
      <c r="O115" s="149" t="n"/>
      <c r="P115" s="150" t="n"/>
      <c r="Q115" s="13">
        <f>M115&amp;" &gt; P96#"&amp;U115&amp;" &gt; "&amp;K115&amp;" &gt; P96#"&amp;L115&amp;" &gt; "&amp;R115&amp;" "&amp;S115&amp;" "&amp;T115&amp;" &gt; "&amp;H115&amp;"#"&amp;I115&amp;" &gt; "&amp;F115&amp;" p"&amp;G115</f>
        <v/>
      </c>
      <c r="R115" s="9" t="inlineStr">
        <is>
          <t>ODF-08/09</t>
        </is>
      </c>
      <c r="S115" s="9" t="inlineStr">
        <is>
          <t>Trái</t>
        </is>
      </c>
      <c r="T115" s="9" t="inlineStr">
        <is>
          <t>H3-C6</t>
        </is>
      </c>
      <c r="U115" s="9" t="inlineStr">
        <is>
          <t>A-42</t>
        </is>
      </c>
    </row>
    <row r="116">
      <c r="A116" s="149" t="inlineStr">
        <is>
          <t>A-15-03</t>
        </is>
      </c>
      <c r="B116" s="99" t="inlineStr">
        <is>
          <t>A</t>
        </is>
      </c>
      <c r="C116" s="99" t="inlineStr">
        <is>
          <t>15</t>
        </is>
      </c>
      <c r="D116" s="99" t="n">
        <v>3</v>
      </c>
      <c r="E116" s="99" t="inlineStr">
        <is>
          <t>TU-A15</t>
        </is>
      </c>
      <c r="F116" s="99" t="inlineStr">
        <is>
          <t>TU-A15/S2</t>
        </is>
      </c>
      <c r="G116" s="99" t="n">
        <v>3</v>
      </c>
      <c r="H116" s="99" t="inlineStr">
        <is>
          <t>TR-A2</t>
        </is>
      </c>
      <c r="I116" s="99" t="n">
        <v>18</v>
      </c>
      <c r="J116" s="99" t="inlineStr">
        <is>
          <t>Ống 3 Xanh lá / Trắng</t>
        </is>
      </c>
      <c r="K116" s="99" t="inlineStr">
        <is>
          <t>S4-06</t>
        </is>
      </c>
      <c r="L116" s="99" t="inlineStr">
        <is>
          <t>A-22</t>
        </is>
      </c>
      <c r="M116" s="99" t="inlineStr">
        <is>
          <t>PON-06</t>
        </is>
      </c>
      <c r="N116" s="99" t="inlineStr">
        <is>
          <t>Chưa lắp</t>
        </is>
      </c>
      <c r="O116" s="149" t="n"/>
      <c r="P116" s="150" t="n"/>
      <c r="Q116" s="13">
        <f>M116&amp;" &gt; P96#"&amp;U116&amp;" &gt; "&amp;K116&amp;" &gt; P96#"&amp;L116&amp;" &gt; "&amp;R116&amp;" "&amp;S116&amp;" "&amp;T116&amp;" &gt; "&amp;H116&amp;"#"&amp;I116&amp;" &gt; "&amp;F116&amp;" p"&amp;G116</f>
        <v/>
      </c>
      <c r="R116" s="9" t="inlineStr">
        <is>
          <t>ODF-08/09</t>
        </is>
      </c>
      <c r="S116" s="9" t="inlineStr">
        <is>
          <t>Trái</t>
        </is>
      </c>
      <c r="T116" s="9" t="inlineStr">
        <is>
          <t>H3-C6</t>
        </is>
      </c>
      <c r="U116" s="9" t="inlineStr">
        <is>
          <t>A-42</t>
        </is>
      </c>
    </row>
    <row r="117">
      <c r="A117" s="149" t="inlineStr">
        <is>
          <t>A-15-04</t>
        </is>
      </c>
      <c r="B117" s="99" t="inlineStr">
        <is>
          <t>A</t>
        </is>
      </c>
      <c r="C117" s="99" t="inlineStr">
        <is>
          <t>15</t>
        </is>
      </c>
      <c r="D117" s="99" t="n">
        <v>4</v>
      </c>
      <c r="E117" s="99" t="inlineStr">
        <is>
          <t>TU-A15</t>
        </is>
      </c>
      <c r="F117" s="99" t="inlineStr">
        <is>
          <t>TU-A15/S2</t>
        </is>
      </c>
      <c r="G117" s="99" t="n">
        <v>4</v>
      </c>
      <c r="H117" s="99" t="inlineStr">
        <is>
          <t>TR-A2</t>
        </is>
      </c>
      <c r="I117" s="99" t="n">
        <v>18</v>
      </c>
      <c r="J117" s="99" t="inlineStr">
        <is>
          <t>Ống 3 Xanh lá / Trắng</t>
        </is>
      </c>
      <c r="K117" s="99" t="inlineStr">
        <is>
          <t>S4-06</t>
        </is>
      </c>
      <c r="L117" s="99" t="inlineStr">
        <is>
          <t>A-22</t>
        </is>
      </c>
      <c r="M117" s="99" t="inlineStr">
        <is>
          <t>PON-06</t>
        </is>
      </c>
      <c r="N117" s="99" t="inlineStr">
        <is>
          <t>Chưa lắp</t>
        </is>
      </c>
      <c r="O117" s="149" t="n"/>
      <c r="P117" s="150" t="n"/>
      <c r="Q117" s="13">
        <f>M117&amp;" &gt; P96#"&amp;U117&amp;" &gt; "&amp;K117&amp;" &gt; P96#"&amp;L117&amp;" &gt; "&amp;R117&amp;" "&amp;S117&amp;" "&amp;T117&amp;" &gt; "&amp;H117&amp;"#"&amp;I117&amp;" &gt; "&amp;F117&amp;" p"&amp;G117</f>
        <v/>
      </c>
      <c r="R117" s="9" t="inlineStr">
        <is>
          <t>ODF-08/09</t>
        </is>
      </c>
      <c r="S117" s="9" t="inlineStr">
        <is>
          <t>Trái</t>
        </is>
      </c>
      <c r="T117" s="9" t="inlineStr">
        <is>
          <t>H3-C6</t>
        </is>
      </c>
      <c r="U117" s="9" t="inlineStr">
        <is>
          <t>A-42</t>
        </is>
      </c>
    </row>
    <row r="118">
      <c r="A118" s="149" t="inlineStr">
        <is>
          <t>A-15-05</t>
        </is>
      </c>
      <c r="B118" s="99" t="inlineStr">
        <is>
          <t>A</t>
        </is>
      </c>
      <c r="C118" s="99" t="inlineStr">
        <is>
          <t>15</t>
        </is>
      </c>
      <c r="D118" s="99" t="n">
        <v>5</v>
      </c>
      <c r="E118" s="99" t="inlineStr">
        <is>
          <t>TU-A15</t>
        </is>
      </c>
      <c r="F118" s="99" t="inlineStr">
        <is>
          <t>TU-A15/S2</t>
        </is>
      </c>
      <c r="G118" s="99" t="n">
        <v>5</v>
      </c>
      <c r="H118" s="99" t="inlineStr">
        <is>
          <t>TR-A2</t>
        </is>
      </c>
      <c r="I118" s="99" t="n">
        <v>18</v>
      </c>
      <c r="J118" s="99" t="inlineStr">
        <is>
          <t>Ống 3 Xanh lá / Trắng</t>
        </is>
      </c>
      <c r="K118" s="99" t="inlineStr">
        <is>
          <t>S4-06</t>
        </is>
      </c>
      <c r="L118" s="99" t="inlineStr">
        <is>
          <t>A-22</t>
        </is>
      </c>
      <c r="M118" s="99" t="inlineStr">
        <is>
          <t>PON-06</t>
        </is>
      </c>
      <c r="N118" s="99" t="inlineStr">
        <is>
          <t>Chưa lắp</t>
        </is>
      </c>
      <c r="O118" s="149" t="n"/>
      <c r="P118" s="150" t="n"/>
      <c r="Q118" s="13">
        <f>M118&amp;" &gt; P96#"&amp;U118&amp;" &gt; "&amp;K118&amp;" &gt; P96#"&amp;L118&amp;" &gt; "&amp;R118&amp;" "&amp;S118&amp;" "&amp;T118&amp;" &gt; "&amp;H118&amp;"#"&amp;I118&amp;" &gt; "&amp;F118&amp;" p"&amp;G118</f>
        <v/>
      </c>
      <c r="R118" s="9" t="inlineStr">
        <is>
          <t>ODF-08/09</t>
        </is>
      </c>
      <c r="S118" s="9" t="inlineStr">
        <is>
          <t>Trái</t>
        </is>
      </c>
      <c r="T118" s="9" t="inlineStr">
        <is>
          <t>H3-C6</t>
        </is>
      </c>
      <c r="U118" s="9" t="inlineStr">
        <is>
          <t>A-42</t>
        </is>
      </c>
    </row>
    <row r="119">
      <c r="A119" s="149" t="inlineStr">
        <is>
          <t>A-15-06</t>
        </is>
      </c>
      <c r="B119" s="99" t="inlineStr">
        <is>
          <t>A</t>
        </is>
      </c>
      <c r="C119" s="99" t="inlineStr">
        <is>
          <t>15</t>
        </is>
      </c>
      <c r="D119" s="99" t="n">
        <v>6</v>
      </c>
      <c r="E119" s="99" t="inlineStr">
        <is>
          <t>TU-A15</t>
        </is>
      </c>
      <c r="F119" s="99" t="inlineStr">
        <is>
          <t>TU-A15/S2</t>
        </is>
      </c>
      <c r="G119" s="99" t="n">
        <v>6</v>
      </c>
      <c r="H119" s="99" t="inlineStr">
        <is>
          <t>TR-A2</t>
        </is>
      </c>
      <c r="I119" s="99" t="n">
        <v>18</v>
      </c>
      <c r="J119" s="99" t="inlineStr">
        <is>
          <t>Ống 3 Xanh lá / Trắng</t>
        </is>
      </c>
      <c r="K119" s="99" t="inlineStr">
        <is>
          <t>S4-06</t>
        </is>
      </c>
      <c r="L119" s="99" t="inlineStr">
        <is>
          <t>A-22</t>
        </is>
      </c>
      <c r="M119" s="99" t="inlineStr">
        <is>
          <t>PON-06</t>
        </is>
      </c>
      <c r="N119" s="99" t="inlineStr">
        <is>
          <t>Chưa lắp</t>
        </is>
      </c>
      <c r="O119" s="149" t="n"/>
      <c r="P119" s="150" t="n"/>
      <c r="Q119" s="13">
        <f>M119&amp;" &gt; P96#"&amp;U119&amp;" &gt; "&amp;K119&amp;" &gt; P96#"&amp;L119&amp;" &gt; "&amp;R119&amp;" "&amp;S119&amp;" "&amp;T119&amp;" &gt; "&amp;H119&amp;"#"&amp;I119&amp;" &gt; "&amp;F119&amp;" p"&amp;G119</f>
        <v/>
      </c>
      <c r="R119" s="9" t="inlineStr">
        <is>
          <t>ODF-08/09</t>
        </is>
      </c>
      <c r="S119" s="9" t="inlineStr">
        <is>
          <t>Trái</t>
        </is>
      </c>
      <c r="T119" s="9" t="inlineStr">
        <is>
          <t>H3-C6</t>
        </is>
      </c>
      <c r="U119" s="9" t="inlineStr">
        <is>
          <t>A-42</t>
        </is>
      </c>
    </row>
    <row r="120">
      <c r="A120" s="149" t="inlineStr">
        <is>
          <t>A-15-07</t>
        </is>
      </c>
      <c r="B120" s="99" t="inlineStr">
        <is>
          <t>A</t>
        </is>
      </c>
      <c r="C120" s="99" t="inlineStr">
        <is>
          <t>15</t>
        </is>
      </c>
      <c r="D120" s="99" t="n">
        <v>7</v>
      </c>
      <c r="E120" s="99" t="inlineStr">
        <is>
          <t>TU-A15</t>
        </is>
      </c>
      <c r="F120" s="99" t="inlineStr">
        <is>
          <t>TU-A15/S2</t>
        </is>
      </c>
      <c r="G120" s="99" t="n">
        <v>7</v>
      </c>
      <c r="H120" s="99" t="inlineStr">
        <is>
          <t>TR-A2</t>
        </is>
      </c>
      <c r="I120" s="99" t="n">
        <v>18</v>
      </c>
      <c r="J120" s="99" t="inlineStr">
        <is>
          <t>Ống 3 Xanh lá / Trắng</t>
        </is>
      </c>
      <c r="K120" s="99" t="inlineStr">
        <is>
          <t>S4-06</t>
        </is>
      </c>
      <c r="L120" s="99" t="inlineStr">
        <is>
          <t>A-22</t>
        </is>
      </c>
      <c r="M120" s="99" t="inlineStr">
        <is>
          <t>PON-06</t>
        </is>
      </c>
      <c r="N120" s="99" t="inlineStr">
        <is>
          <t>Chưa lắp</t>
        </is>
      </c>
      <c r="O120" s="149" t="n"/>
      <c r="P120" s="150" t="n"/>
      <c r="Q120" s="13">
        <f>M120&amp;" &gt; P96#"&amp;U120&amp;" &gt; "&amp;K120&amp;" &gt; P96#"&amp;L120&amp;" &gt; "&amp;R120&amp;" "&amp;S120&amp;" "&amp;T120&amp;" &gt; "&amp;H120&amp;"#"&amp;I120&amp;" &gt; "&amp;F120&amp;" p"&amp;G120</f>
        <v/>
      </c>
      <c r="R120" s="9" t="inlineStr">
        <is>
          <t>ODF-08/09</t>
        </is>
      </c>
      <c r="S120" s="9" t="inlineStr">
        <is>
          <t>Trái</t>
        </is>
      </c>
      <c r="T120" s="9" t="inlineStr">
        <is>
          <t>H3-C6</t>
        </is>
      </c>
      <c r="U120" s="9" t="inlineStr">
        <is>
          <t>A-42</t>
        </is>
      </c>
    </row>
    <row r="121">
      <c r="A121" s="149" t="inlineStr">
        <is>
          <t>A-15-08</t>
        </is>
      </c>
      <c r="B121" s="99" t="inlineStr">
        <is>
          <t>A</t>
        </is>
      </c>
      <c r="C121" s="99" t="inlineStr">
        <is>
          <t>15</t>
        </is>
      </c>
      <c r="D121" s="99" t="n">
        <v>8</v>
      </c>
      <c r="E121" s="99" t="inlineStr">
        <is>
          <t>TU-A15</t>
        </is>
      </c>
      <c r="F121" s="99" t="inlineStr">
        <is>
          <t>TU-A15/S2</t>
        </is>
      </c>
      <c r="G121" s="99" t="n">
        <v>8</v>
      </c>
      <c r="H121" s="99" t="inlineStr">
        <is>
          <t>TR-A2</t>
        </is>
      </c>
      <c r="I121" s="99" t="n">
        <v>18</v>
      </c>
      <c r="J121" s="99" t="inlineStr">
        <is>
          <t>Ống 3 Xanh lá / Trắng</t>
        </is>
      </c>
      <c r="K121" s="99" t="inlineStr">
        <is>
          <t>S4-06</t>
        </is>
      </c>
      <c r="L121" s="99" t="inlineStr">
        <is>
          <t>A-22</t>
        </is>
      </c>
      <c r="M121" s="99" t="inlineStr">
        <is>
          <t>PON-06</t>
        </is>
      </c>
      <c r="N121" s="99" t="inlineStr">
        <is>
          <t>Chưa lắp</t>
        </is>
      </c>
      <c r="O121" s="149" t="n"/>
      <c r="P121" s="150" t="n"/>
      <c r="Q121" s="13">
        <f>M121&amp;" &gt; P96#"&amp;U121&amp;" &gt; "&amp;K121&amp;" &gt; P96#"&amp;L121&amp;" &gt; "&amp;R121&amp;" "&amp;S121&amp;" "&amp;T121&amp;" &gt; "&amp;H121&amp;"#"&amp;I121&amp;" &gt; "&amp;F121&amp;" p"&amp;G121</f>
        <v/>
      </c>
      <c r="R121" s="9" t="inlineStr">
        <is>
          <t>ODF-08/09</t>
        </is>
      </c>
      <c r="S121" s="9" t="inlineStr">
        <is>
          <t>Trái</t>
        </is>
      </c>
      <c r="T121" s="9" t="inlineStr">
        <is>
          <t>H3-C6</t>
        </is>
      </c>
      <c r="U121" s="9" t="inlineStr">
        <is>
          <t>A-42</t>
        </is>
      </c>
    </row>
    <row r="122">
      <c r="A122" s="149" t="inlineStr">
        <is>
          <t>A-15-09</t>
        </is>
      </c>
      <c r="B122" s="99" t="inlineStr">
        <is>
          <t>A</t>
        </is>
      </c>
      <c r="C122" s="99" t="inlineStr">
        <is>
          <t>15</t>
        </is>
      </c>
      <c r="D122" s="99" t="n">
        <v>9</v>
      </c>
      <c r="E122" s="99" t="inlineStr">
        <is>
          <t>TU-A15</t>
        </is>
      </c>
      <c r="F122" s="99" t="inlineStr">
        <is>
          <t>TU-A15/S2</t>
        </is>
      </c>
      <c r="G122" s="99" t="n">
        <v>9</v>
      </c>
      <c r="H122" s="99" t="inlineStr">
        <is>
          <t>TR-A2</t>
        </is>
      </c>
      <c r="I122" s="99" t="n">
        <v>18</v>
      </c>
      <c r="J122" s="99" t="inlineStr">
        <is>
          <t>Ống 3 Xanh lá / Trắng</t>
        </is>
      </c>
      <c r="K122" s="99" t="inlineStr">
        <is>
          <t>S4-06</t>
        </is>
      </c>
      <c r="L122" s="99" t="inlineStr">
        <is>
          <t>A-22</t>
        </is>
      </c>
      <c r="M122" s="99" t="inlineStr">
        <is>
          <t>PON-06</t>
        </is>
      </c>
      <c r="N122" s="99" t="inlineStr">
        <is>
          <t>Chưa lắp</t>
        </is>
      </c>
      <c r="O122" s="149" t="n"/>
      <c r="P122" s="150" t="n"/>
      <c r="Q122" s="13">
        <f>M122&amp;" &gt; P96#"&amp;U122&amp;" &gt; "&amp;K122&amp;" &gt; P96#"&amp;L122&amp;" &gt; "&amp;R122&amp;" "&amp;S122&amp;" "&amp;T122&amp;" &gt; "&amp;H122&amp;"#"&amp;I122&amp;" &gt; "&amp;F122&amp;" p"&amp;G122</f>
        <v/>
      </c>
      <c r="R122" s="9" t="inlineStr">
        <is>
          <t>ODF-08/09</t>
        </is>
      </c>
      <c r="S122" s="9" t="inlineStr">
        <is>
          <t>Trái</t>
        </is>
      </c>
      <c r="T122" s="9" t="inlineStr">
        <is>
          <t>H3-C6</t>
        </is>
      </c>
      <c r="U122" s="9" t="inlineStr">
        <is>
          <t>A-42</t>
        </is>
      </c>
    </row>
    <row r="123">
      <c r="A123" s="149" t="inlineStr">
        <is>
          <t>A-15-10</t>
        </is>
      </c>
      <c r="B123" s="99" t="inlineStr">
        <is>
          <t>A</t>
        </is>
      </c>
      <c r="C123" s="99" t="inlineStr">
        <is>
          <t>15</t>
        </is>
      </c>
      <c r="D123" s="99" t="n">
        <v>10</v>
      </c>
      <c r="E123" s="99" t="inlineStr">
        <is>
          <t>TU-A15</t>
        </is>
      </c>
      <c r="F123" s="99" t="inlineStr">
        <is>
          <t>TU-A15/S2</t>
        </is>
      </c>
      <c r="G123" s="99" t="n">
        <v>10</v>
      </c>
      <c r="H123" s="99" t="inlineStr">
        <is>
          <t>TR-A2</t>
        </is>
      </c>
      <c r="I123" s="99" t="n">
        <v>18</v>
      </c>
      <c r="J123" s="99" t="inlineStr">
        <is>
          <t>Ống 3 Xanh lá / Trắng</t>
        </is>
      </c>
      <c r="K123" s="99" t="inlineStr">
        <is>
          <t>S4-06</t>
        </is>
      </c>
      <c r="L123" s="99" t="inlineStr">
        <is>
          <t>A-22</t>
        </is>
      </c>
      <c r="M123" s="99" t="inlineStr">
        <is>
          <t>PON-06</t>
        </is>
      </c>
      <c r="N123" s="99" t="inlineStr">
        <is>
          <t>Chưa lắp</t>
        </is>
      </c>
      <c r="O123" s="149" t="n"/>
      <c r="P123" s="150" t="n"/>
      <c r="Q123" s="13">
        <f>M123&amp;" &gt; P96#"&amp;U123&amp;" &gt; "&amp;K123&amp;" &gt; P96#"&amp;L123&amp;" &gt; "&amp;R123&amp;" "&amp;S123&amp;" "&amp;T123&amp;" &gt; "&amp;H123&amp;"#"&amp;I123&amp;" &gt; "&amp;F123&amp;" p"&amp;G123</f>
        <v/>
      </c>
      <c r="R123" s="9" t="inlineStr">
        <is>
          <t>ODF-08/09</t>
        </is>
      </c>
      <c r="S123" s="9" t="inlineStr">
        <is>
          <t>Trái</t>
        </is>
      </c>
      <c r="T123" s="9" t="inlineStr">
        <is>
          <t>H3-C6</t>
        </is>
      </c>
      <c r="U123" s="9" t="inlineStr">
        <is>
          <t>A-42</t>
        </is>
      </c>
    </row>
    <row r="124">
      <c r="A124" s="149" t="inlineStr">
        <is>
          <t>A-15-11</t>
        </is>
      </c>
      <c r="B124" s="99" t="inlineStr">
        <is>
          <t>A</t>
        </is>
      </c>
      <c r="C124" s="99" t="inlineStr">
        <is>
          <t>15</t>
        </is>
      </c>
      <c r="D124" s="99" t="n">
        <v>11</v>
      </c>
      <c r="E124" s="99" t="inlineStr">
        <is>
          <t>TU-A15</t>
        </is>
      </c>
      <c r="F124" s="99" t="inlineStr">
        <is>
          <t>TU-A15/S2</t>
        </is>
      </c>
      <c r="G124" s="99" t="n">
        <v>11</v>
      </c>
      <c r="H124" s="99" t="inlineStr">
        <is>
          <t>TR-A2</t>
        </is>
      </c>
      <c r="I124" s="99" t="n">
        <v>18</v>
      </c>
      <c r="J124" s="99" t="inlineStr">
        <is>
          <t>Ống 3 Xanh lá / Trắng</t>
        </is>
      </c>
      <c r="K124" s="99" t="inlineStr">
        <is>
          <t>S4-06</t>
        </is>
      </c>
      <c r="L124" s="99" t="inlineStr">
        <is>
          <t>A-22</t>
        </is>
      </c>
      <c r="M124" s="99" t="inlineStr">
        <is>
          <t>PON-06</t>
        </is>
      </c>
      <c r="N124" s="99" t="inlineStr">
        <is>
          <t>Chưa lắp</t>
        </is>
      </c>
      <c r="O124" s="149" t="n"/>
      <c r="P124" s="150" t="n"/>
      <c r="Q124" s="13">
        <f>M124&amp;" &gt; P96#"&amp;U124&amp;" &gt; "&amp;K124&amp;" &gt; P96#"&amp;L124&amp;" &gt; "&amp;R124&amp;" "&amp;S124&amp;" "&amp;T124&amp;" &gt; "&amp;H124&amp;"#"&amp;I124&amp;" &gt; "&amp;F124&amp;" p"&amp;G124</f>
        <v/>
      </c>
      <c r="R124" s="9" t="inlineStr">
        <is>
          <t>ODF-08/09</t>
        </is>
      </c>
      <c r="S124" s="9" t="inlineStr">
        <is>
          <t>Trái</t>
        </is>
      </c>
      <c r="T124" s="9" t="inlineStr">
        <is>
          <t>H3-C6</t>
        </is>
      </c>
      <c r="U124" s="9" t="inlineStr">
        <is>
          <t>A-42</t>
        </is>
      </c>
    </row>
    <row r="125">
      <c r="A125" s="149" t="inlineStr">
        <is>
          <t>A-15-12</t>
        </is>
      </c>
      <c r="B125" s="99" t="inlineStr">
        <is>
          <t>A</t>
        </is>
      </c>
      <c r="C125" s="99" t="inlineStr">
        <is>
          <t>15</t>
        </is>
      </c>
      <c r="D125" s="99" t="n">
        <v>12</v>
      </c>
      <c r="E125" s="99" t="inlineStr">
        <is>
          <t>TU-A15</t>
        </is>
      </c>
      <c r="F125" s="99" t="inlineStr">
        <is>
          <t>TU-A15/S2</t>
        </is>
      </c>
      <c r="G125" s="99" t="n">
        <v>12</v>
      </c>
      <c r="H125" s="99" t="inlineStr">
        <is>
          <t>TR-A2</t>
        </is>
      </c>
      <c r="I125" s="99" t="n">
        <v>18</v>
      </c>
      <c r="J125" s="99" t="inlineStr">
        <is>
          <t>Ống 3 Xanh lá / Trắng</t>
        </is>
      </c>
      <c r="K125" s="99" t="inlineStr">
        <is>
          <t>S4-06</t>
        </is>
      </c>
      <c r="L125" s="99" t="inlineStr">
        <is>
          <t>A-22</t>
        </is>
      </c>
      <c r="M125" s="99" t="inlineStr">
        <is>
          <t>PON-06</t>
        </is>
      </c>
      <c r="N125" s="99" t="inlineStr">
        <is>
          <t>Chưa lắp</t>
        </is>
      </c>
      <c r="O125" s="149" t="n"/>
      <c r="P125" s="150" t="n"/>
      <c r="Q125" s="13">
        <f>M125&amp;" &gt; P96#"&amp;U125&amp;" &gt; "&amp;K125&amp;" &gt; P96#"&amp;L125&amp;" &gt; "&amp;R125&amp;" "&amp;S125&amp;" "&amp;T125&amp;" &gt; "&amp;H125&amp;"#"&amp;I125&amp;" &gt; "&amp;F125&amp;" p"&amp;G125</f>
        <v/>
      </c>
      <c r="R125" s="9" t="inlineStr">
        <is>
          <t>ODF-08/09</t>
        </is>
      </c>
      <c r="S125" s="9" t="inlineStr">
        <is>
          <t>Trái</t>
        </is>
      </c>
      <c r="T125" s="9" t="inlineStr">
        <is>
          <t>H3-C6</t>
        </is>
      </c>
      <c r="U125" s="9" t="inlineStr">
        <is>
          <t>A-42</t>
        </is>
      </c>
    </row>
    <row r="126">
      <c r="A126" s="149" t="inlineStr">
        <is>
          <t>A-15-13</t>
        </is>
      </c>
      <c r="B126" s="99" t="inlineStr">
        <is>
          <t>A</t>
        </is>
      </c>
      <c r="C126" s="99" t="inlineStr">
        <is>
          <t>15</t>
        </is>
      </c>
      <c r="D126" s="99" t="n">
        <v>13</v>
      </c>
      <c r="E126" s="99" t="inlineStr">
        <is>
          <t>TU-A15</t>
        </is>
      </c>
      <c r="F126" s="99" t="inlineStr">
        <is>
          <t>TU-A15/S2</t>
        </is>
      </c>
      <c r="G126" s="99" t="n">
        <v>13</v>
      </c>
      <c r="H126" s="99" t="inlineStr">
        <is>
          <t>TR-A2</t>
        </is>
      </c>
      <c r="I126" s="99" t="n">
        <v>18</v>
      </c>
      <c r="J126" s="99" t="inlineStr">
        <is>
          <t>Ống 3 Xanh lá / Trắng</t>
        </is>
      </c>
      <c r="K126" s="99" t="inlineStr">
        <is>
          <t>S4-06</t>
        </is>
      </c>
      <c r="L126" s="99" t="inlineStr">
        <is>
          <t>A-22</t>
        </is>
      </c>
      <c r="M126" s="99" t="inlineStr">
        <is>
          <t>PON-06</t>
        </is>
      </c>
      <c r="N126" s="99" t="inlineStr">
        <is>
          <t>Chưa lắp</t>
        </is>
      </c>
      <c r="O126" s="149" t="n"/>
      <c r="P126" s="150" t="n"/>
      <c r="Q126" s="13">
        <f>M126&amp;" &gt; P96#"&amp;U126&amp;" &gt; "&amp;K126&amp;" &gt; P96#"&amp;L126&amp;" &gt; "&amp;R126&amp;" "&amp;S126&amp;" "&amp;T126&amp;" &gt; "&amp;H126&amp;"#"&amp;I126&amp;" &gt; "&amp;F126&amp;" p"&amp;G126</f>
        <v/>
      </c>
      <c r="R126" s="9" t="inlineStr">
        <is>
          <t>ODF-08/09</t>
        </is>
      </c>
      <c r="S126" s="9" t="inlineStr">
        <is>
          <t>Trái</t>
        </is>
      </c>
      <c r="T126" s="9" t="inlineStr">
        <is>
          <t>H3-C6</t>
        </is>
      </c>
      <c r="U126" s="9" t="inlineStr">
        <is>
          <t>A-42</t>
        </is>
      </c>
    </row>
    <row r="127">
      <c r="A127" s="149" t="inlineStr">
        <is>
          <t>A-15-14</t>
        </is>
      </c>
      <c r="B127" s="99" t="inlineStr">
        <is>
          <t>A</t>
        </is>
      </c>
      <c r="C127" s="99" t="inlineStr">
        <is>
          <t>15</t>
        </is>
      </c>
      <c r="D127" s="99" t="n">
        <v>14</v>
      </c>
      <c r="E127" s="99" t="inlineStr">
        <is>
          <t>TU-A15</t>
        </is>
      </c>
      <c r="F127" s="99" t="inlineStr">
        <is>
          <t>TU-A15/S2</t>
        </is>
      </c>
      <c r="G127" s="99" t="n">
        <v>14</v>
      </c>
      <c r="H127" s="99" t="inlineStr">
        <is>
          <t>TR-A2</t>
        </is>
      </c>
      <c r="I127" s="99" t="n">
        <v>18</v>
      </c>
      <c r="J127" s="99" t="inlineStr">
        <is>
          <t>Ống 3 Xanh lá / Trắng</t>
        </is>
      </c>
      <c r="K127" s="99" t="inlineStr">
        <is>
          <t>S4-06</t>
        </is>
      </c>
      <c r="L127" s="99" t="inlineStr">
        <is>
          <t>A-22</t>
        </is>
      </c>
      <c r="M127" s="99" t="inlineStr">
        <is>
          <t>PON-06</t>
        </is>
      </c>
      <c r="N127" s="99" t="inlineStr">
        <is>
          <t>Chưa lắp</t>
        </is>
      </c>
      <c r="O127" s="149" t="n"/>
      <c r="P127" s="150" t="n"/>
      <c r="Q127" s="13">
        <f>M127&amp;" &gt; P96#"&amp;U127&amp;" &gt; "&amp;K127&amp;" &gt; P96#"&amp;L127&amp;" &gt; "&amp;R127&amp;" "&amp;S127&amp;" "&amp;T127&amp;" &gt; "&amp;H127&amp;"#"&amp;I127&amp;" &gt; "&amp;F127&amp;" p"&amp;G127</f>
        <v/>
      </c>
      <c r="R127" s="9" t="inlineStr">
        <is>
          <t>ODF-08/09</t>
        </is>
      </c>
      <c r="S127" s="9" t="inlineStr">
        <is>
          <t>Trái</t>
        </is>
      </c>
      <c r="T127" s="9" t="inlineStr">
        <is>
          <t>H3-C6</t>
        </is>
      </c>
      <c r="U127" s="9" t="inlineStr">
        <is>
          <t>A-42</t>
        </is>
      </c>
    </row>
    <row r="128">
      <c r="A128" s="151" t="inlineStr">
        <is>
          <t>A-14-01</t>
        </is>
      </c>
      <c r="B128" s="102" t="inlineStr">
        <is>
          <t>A</t>
        </is>
      </c>
      <c r="C128" s="102" t="inlineStr">
        <is>
          <t>14</t>
        </is>
      </c>
      <c r="D128" s="102" t="n">
        <v>1</v>
      </c>
      <c r="E128" s="102" t="inlineStr">
        <is>
          <t>TU-A15</t>
        </is>
      </c>
      <c r="F128" s="102" t="inlineStr">
        <is>
          <t>TU-A15/S1</t>
        </is>
      </c>
      <c r="G128" s="102" t="n">
        <v>1</v>
      </c>
      <c r="H128" s="102" t="inlineStr">
        <is>
          <t>TR-A2</t>
        </is>
      </c>
      <c r="I128" s="102" t="n">
        <v>17</v>
      </c>
      <c r="J128" s="102" t="inlineStr">
        <is>
          <t>Ống 3 Xanh lá / Xám</t>
        </is>
      </c>
      <c r="K128" s="102" t="inlineStr">
        <is>
          <t>S4-06</t>
        </is>
      </c>
      <c r="L128" s="102" t="inlineStr">
        <is>
          <t>A-21</t>
        </is>
      </c>
      <c r="M128" s="102" t="inlineStr">
        <is>
          <t>PON-06</t>
        </is>
      </c>
      <c r="N128" s="102" t="inlineStr">
        <is>
          <t>Chưa lắp</t>
        </is>
      </c>
      <c r="O128" s="151" t="n"/>
      <c r="P128" s="152" t="n"/>
      <c r="Q128" s="13">
        <f>M128&amp;" &gt; P96#"&amp;U128&amp;" &gt; "&amp;K128&amp;" &gt; P96#"&amp;L128&amp;" &gt; "&amp;R128&amp;" "&amp;S128&amp;" "&amp;T128&amp;" &gt; "&amp;H128&amp;"#"&amp;I128&amp;" &gt; "&amp;F128&amp;" p"&amp;G128</f>
        <v/>
      </c>
      <c r="R128" s="9" t="inlineStr">
        <is>
          <t>ODF-08/09</t>
        </is>
      </c>
      <c r="S128" s="9" t="inlineStr">
        <is>
          <t>Trái</t>
        </is>
      </c>
      <c r="T128" s="9" t="inlineStr">
        <is>
          <t>H3-C5</t>
        </is>
      </c>
      <c r="U128" s="9" t="inlineStr">
        <is>
          <t>A-42</t>
        </is>
      </c>
    </row>
    <row r="129">
      <c r="A129" s="151" t="inlineStr">
        <is>
          <t>A-14-02</t>
        </is>
      </c>
      <c r="B129" s="102" t="inlineStr">
        <is>
          <t>A</t>
        </is>
      </c>
      <c r="C129" s="102" t="inlineStr">
        <is>
          <t>14</t>
        </is>
      </c>
      <c r="D129" s="102" t="n">
        <v>2</v>
      </c>
      <c r="E129" s="102" t="inlineStr">
        <is>
          <t>TU-A15</t>
        </is>
      </c>
      <c r="F129" s="102" t="inlineStr">
        <is>
          <t>TU-A15/S1</t>
        </is>
      </c>
      <c r="G129" s="102" t="n">
        <v>2</v>
      </c>
      <c r="H129" s="102" t="inlineStr">
        <is>
          <t>TR-A2</t>
        </is>
      </c>
      <c r="I129" s="102" t="n">
        <v>17</v>
      </c>
      <c r="J129" s="102" t="inlineStr">
        <is>
          <t>Ống 3 Xanh lá / Xám</t>
        </is>
      </c>
      <c r="K129" s="102" t="inlineStr">
        <is>
          <t>S4-06</t>
        </is>
      </c>
      <c r="L129" s="102" t="inlineStr">
        <is>
          <t>A-21</t>
        </is>
      </c>
      <c r="M129" s="102" t="inlineStr">
        <is>
          <t>PON-06</t>
        </is>
      </c>
      <c r="N129" s="102" t="inlineStr">
        <is>
          <t>Chưa lắp</t>
        </is>
      </c>
      <c r="O129" s="151" t="n"/>
      <c r="P129" s="152" t="n"/>
      <c r="Q129" s="13">
        <f>M129&amp;" &gt; P96#"&amp;U129&amp;" &gt; "&amp;K129&amp;" &gt; P96#"&amp;L129&amp;" &gt; "&amp;R129&amp;" "&amp;S129&amp;" "&amp;T129&amp;" &gt; "&amp;H129&amp;"#"&amp;I129&amp;" &gt; "&amp;F129&amp;" p"&amp;G129</f>
        <v/>
      </c>
      <c r="R129" s="9" t="inlineStr">
        <is>
          <t>ODF-08/09</t>
        </is>
      </c>
      <c r="S129" s="9" t="inlineStr">
        <is>
          <t>Trái</t>
        </is>
      </c>
      <c r="T129" s="9" t="inlineStr">
        <is>
          <t>H3-C5</t>
        </is>
      </c>
      <c r="U129" s="9" t="inlineStr">
        <is>
          <t>A-42</t>
        </is>
      </c>
    </row>
    <row r="130">
      <c r="A130" s="151" t="inlineStr">
        <is>
          <t>A-14-03</t>
        </is>
      </c>
      <c r="B130" s="102" t="inlineStr">
        <is>
          <t>A</t>
        </is>
      </c>
      <c r="C130" s="102" t="inlineStr">
        <is>
          <t>14</t>
        </is>
      </c>
      <c r="D130" s="102" t="n">
        <v>3</v>
      </c>
      <c r="E130" s="102" t="inlineStr">
        <is>
          <t>TU-A15</t>
        </is>
      </c>
      <c r="F130" s="102" t="inlineStr">
        <is>
          <t>TU-A15/S1</t>
        </is>
      </c>
      <c r="G130" s="102" t="n">
        <v>3</v>
      </c>
      <c r="H130" s="102" t="inlineStr">
        <is>
          <t>TR-A2</t>
        </is>
      </c>
      <c r="I130" s="102" t="n">
        <v>17</v>
      </c>
      <c r="J130" s="102" t="inlineStr">
        <is>
          <t>Ống 3 Xanh lá / Xám</t>
        </is>
      </c>
      <c r="K130" s="102" t="inlineStr">
        <is>
          <t>S4-06</t>
        </is>
      </c>
      <c r="L130" s="102" t="inlineStr">
        <is>
          <t>A-21</t>
        </is>
      </c>
      <c r="M130" s="102" t="inlineStr">
        <is>
          <t>PON-06</t>
        </is>
      </c>
      <c r="N130" s="102" t="inlineStr">
        <is>
          <t>Chưa lắp</t>
        </is>
      </c>
      <c r="O130" s="151" t="n"/>
      <c r="P130" s="152" t="n"/>
      <c r="Q130" s="13">
        <f>M130&amp;" &gt; P96#"&amp;U130&amp;" &gt; "&amp;K130&amp;" &gt; P96#"&amp;L130&amp;" &gt; "&amp;R130&amp;" "&amp;S130&amp;" "&amp;T130&amp;" &gt; "&amp;H130&amp;"#"&amp;I130&amp;" &gt; "&amp;F130&amp;" p"&amp;G130</f>
        <v/>
      </c>
      <c r="R130" s="9" t="inlineStr">
        <is>
          <t>ODF-08/09</t>
        </is>
      </c>
      <c r="S130" s="9" t="inlineStr">
        <is>
          <t>Trái</t>
        </is>
      </c>
      <c r="T130" s="9" t="inlineStr">
        <is>
          <t>H3-C5</t>
        </is>
      </c>
      <c r="U130" s="9" t="inlineStr">
        <is>
          <t>A-42</t>
        </is>
      </c>
    </row>
    <row r="131">
      <c r="A131" s="151" t="inlineStr">
        <is>
          <t>A-14-04</t>
        </is>
      </c>
      <c r="B131" s="102" t="inlineStr">
        <is>
          <t>A</t>
        </is>
      </c>
      <c r="C131" s="102" t="inlineStr">
        <is>
          <t>14</t>
        </is>
      </c>
      <c r="D131" s="102" t="n">
        <v>4</v>
      </c>
      <c r="E131" s="102" t="inlineStr">
        <is>
          <t>TU-A15</t>
        </is>
      </c>
      <c r="F131" s="102" t="inlineStr">
        <is>
          <t>TU-A15/S1</t>
        </is>
      </c>
      <c r="G131" s="102" t="n">
        <v>4</v>
      </c>
      <c r="H131" s="102" t="inlineStr">
        <is>
          <t>TR-A2</t>
        </is>
      </c>
      <c r="I131" s="102" t="n">
        <v>17</v>
      </c>
      <c r="J131" s="102" t="inlineStr">
        <is>
          <t>Ống 3 Xanh lá / Xám</t>
        </is>
      </c>
      <c r="K131" s="102" t="inlineStr">
        <is>
          <t>S4-06</t>
        </is>
      </c>
      <c r="L131" s="102" t="inlineStr">
        <is>
          <t>A-21</t>
        </is>
      </c>
      <c r="M131" s="102" t="inlineStr">
        <is>
          <t>PON-06</t>
        </is>
      </c>
      <c r="N131" s="102" t="inlineStr">
        <is>
          <t>Chưa lắp</t>
        </is>
      </c>
      <c r="O131" s="151" t="n"/>
      <c r="P131" s="152" t="n"/>
      <c r="Q131" s="13">
        <f>M131&amp;" &gt; P96#"&amp;U131&amp;" &gt; "&amp;K131&amp;" &gt; P96#"&amp;L131&amp;" &gt; "&amp;R131&amp;" "&amp;S131&amp;" "&amp;T131&amp;" &gt; "&amp;H131&amp;"#"&amp;I131&amp;" &gt; "&amp;F131&amp;" p"&amp;G131</f>
        <v/>
      </c>
      <c r="R131" s="9" t="inlineStr">
        <is>
          <t>ODF-08/09</t>
        </is>
      </c>
      <c r="S131" s="9" t="inlineStr">
        <is>
          <t>Trái</t>
        </is>
      </c>
      <c r="T131" s="9" t="inlineStr">
        <is>
          <t>H3-C5</t>
        </is>
      </c>
      <c r="U131" s="9" t="inlineStr">
        <is>
          <t>A-42</t>
        </is>
      </c>
    </row>
    <row r="132">
      <c r="A132" s="151" t="inlineStr">
        <is>
          <t>A-14-05</t>
        </is>
      </c>
      <c r="B132" s="102" t="inlineStr">
        <is>
          <t>A</t>
        </is>
      </c>
      <c r="C132" s="102" t="inlineStr">
        <is>
          <t>14</t>
        </is>
      </c>
      <c r="D132" s="102" t="n">
        <v>5</v>
      </c>
      <c r="E132" s="102" t="inlineStr">
        <is>
          <t>TU-A15</t>
        </is>
      </c>
      <c r="F132" s="102" t="inlineStr">
        <is>
          <t>TU-A15/S1</t>
        </is>
      </c>
      <c r="G132" s="102" t="n">
        <v>5</v>
      </c>
      <c r="H132" s="102" t="inlineStr">
        <is>
          <t>TR-A2</t>
        </is>
      </c>
      <c r="I132" s="102" t="n">
        <v>17</v>
      </c>
      <c r="J132" s="102" t="inlineStr">
        <is>
          <t>Ống 3 Xanh lá / Xám</t>
        </is>
      </c>
      <c r="K132" s="102" t="inlineStr">
        <is>
          <t>S4-06</t>
        </is>
      </c>
      <c r="L132" s="102" t="inlineStr">
        <is>
          <t>A-21</t>
        </is>
      </c>
      <c r="M132" s="102" t="inlineStr">
        <is>
          <t>PON-06</t>
        </is>
      </c>
      <c r="N132" s="102" t="inlineStr">
        <is>
          <t>Chưa lắp</t>
        </is>
      </c>
      <c r="O132" s="151" t="n"/>
      <c r="P132" s="152" t="n"/>
      <c r="Q132" s="13">
        <f>M132&amp;" &gt; P96#"&amp;U132&amp;" &gt; "&amp;K132&amp;" &gt; P96#"&amp;L132&amp;" &gt; "&amp;R132&amp;" "&amp;S132&amp;" "&amp;T132&amp;" &gt; "&amp;H132&amp;"#"&amp;I132&amp;" &gt; "&amp;F132&amp;" p"&amp;G132</f>
        <v/>
      </c>
      <c r="R132" s="9" t="inlineStr">
        <is>
          <t>ODF-08/09</t>
        </is>
      </c>
      <c r="S132" s="9" t="inlineStr">
        <is>
          <t>Trái</t>
        </is>
      </c>
      <c r="T132" s="9" t="inlineStr">
        <is>
          <t>H3-C5</t>
        </is>
      </c>
      <c r="U132" s="9" t="inlineStr">
        <is>
          <t>A-42</t>
        </is>
      </c>
    </row>
    <row r="133">
      <c r="A133" s="151" t="inlineStr">
        <is>
          <t>A-14-06</t>
        </is>
      </c>
      <c r="B133" s="102" t="inlineStr">
        <is>
          <t>A</t>
        </is>
      </c>
      <c r="C133" s="102" t="inlineStr">
        <is>
          <t>14</t>
        </is>
      </c>
      <c r="D133" s="102" t="n">
        <v>6</v>
      </c>
      <c r="E133" s="102" t="inlineStr">
        <is>
          <t>TU-A15</t>
        </is>
      </c>
      <c r="F133" s="102" t="inlineStr">
        <is>
          <t>TU-A15/S1</t>
        </is>
      </c>
      <c r="G133" s="102" t="n">
        <v>6</v>
      </c>
      <c r="H133" s="102" t="inlineStr">
        <is>
          <t>TR-A2</t>
        </is>
      </c>
      <c r="I133" s="102" t="n">
        <v>17</v>
      </c>
      <c r="J133" s="102" t="inlineStr">
        <is>
          <t>Ống 3 Xanh lá / Xám</t>
        </is>
      </c>
      <c r="K133" s="102" t="inlineStr">
        <is>
          <t>S4-06</t>
        </is>
      </c>
      <c r="L133" s="102" t="inlineStr">
        <is>
          <t>A-21</t>
        </is>
      </c>
      <c r="M133" s="102" t="inlineStr">
        <is>
          <t>PON-06</t>
        </is>
      </c>
      <c r="N133" s="102" t="inlineStr">
        <is>
          <t>Chưa lắp</t>
        </is>
      </c>
      <c r="O133" s="151" t="n"/>
      <c r="P133" s="152" t="n"/>
      <c r="Q133" s="13">
        <f>M133&amp;" &gt; P96#"&amp;U133&amp;" &gt; "&amp;K133&amp;" &gt; P96#"&amp;L133&amp;" &gt; "&amp;R133&amp;" "&amp;S133&amp;" "&amp;T133&amp;" &gt; "&amp;H133&amp;"#"&amp;I133&amp;" &gt; "&amp;F133&amp;" p"&amp;G133</f>
        <v/>
      </c>
      <c r="R133" s="9" t="inlineStr">
        <is>
          <t>ODF-08/09</t>
        </is>
      </c>
      <c r="S133" s="9" t="inlineStr">
        <is>
          <t>Trái</t>
        </is>
      </c>
      <c r="T133" s="9" t="inlineStr">
        <is>
          <t>H3-C5</t>
        </is>
      </c>
      <c r="U133" s="9" t="inlineStr">
        <is>
          <t>A-42</t>
        </is>
      </c>
    </row>
    <row r="134">
      <c r="A134" s="151" t="inlineStr">
        <is>
          <t>A-14-07</t>
        </is>
      </c>
      <c r="B134" s="102" t="inlineStr">
        <is>
          <t>A</t>
        </is>
      </c>
      <c r="C134" s="102" t="inlineStr">
        <is>
          <t>14</t>
        </is>
      </c>
      <c r="D134" s="102" t="n">
        <v>7</v>
      </c>
      <c r="E134" s="102" t="inlineStr">
        <is>
          <t>TU-A15</t>
        </is>
      </c>
      <c r="F134" s="102" t="inlineStr">
        <is>
          <t>TU-A15/S1</t>
        </is>
      </c>
      <c r="G134" s="102" t="n">
        <v>7</v>
      </c>
      <c r="H134" s="102" t="inlineStr">
        <is>
          <t>TR-A2</t>
        </is>
      </c>
      <c r="I134" s="102" t="n">
        <v>17</v>
      </c>
      <c r="J134" s="102" t="inlineStr">
        <is>
          <t>Ống 3 Xanh lá / Xám</t>
        </is>
      </c>
      <c r="K134" s="102" t="inlineStr">
        <is>
          <t>S4-06</t>
        </is>
      </c>
      <c r="L134" s="102" t="inlineStr">
        <is>
          <t>A-21</t>
        </is>
      </c>
      <c r="M134" s="102" t="inlineStr">
        <is>
          <t>PON-06</t>
        </is>
      </c>
      <c r="N134" s="102" t="inlineStr">
        <is>
          <t>Chưa lắp</t>
        </is>
      </c>
      <c r="O134" s="151" t="n"/>
      <c r="P134" s="152" t="n"/>
      <c r="Q134" s="13">
        <f>M134&amp;" &gt; P96#"&amp;U134&amp;" &gt; "&amp;K134&amp;" &gt; P96#"&amp;L134&amp;" &gt; "&amp;R134&amp;" "&amp;S134&amp;" "&amp;T134&amp;" &gt; "&amp;H134&amp;"#"&amp;I134&amp;" &gt; "&amp;F134&amp;" p"&amp;G134</f>
        <v/>
      </c>
      <c r="R134" s="9" t="inlineStr">
        <is>
          <t>ODF-08/09</t>
        </is>
      </c>
      <c r="S134" s="9" t="inlineStr">
        <is>
          <t>Trái</t>
        </is>
      </c>
      <c r="T134" s="9" t="inlineStr">
        <is>
          <t>H3-C5</t>
        </is>
      </c>
      <c r="U134" s="9" t="inlineStr">
        <is>
          <t>A-42</t>
        </is>
      </c>
    </row>
    <row r="135">
      <c r="A135" s="151" t="inlineStr">
        <is>
          <t>A-14-08</t>
        </is>
      </c>
      <c r="B135" s="102" t="inlineStr">
        <is>
          <t>A</t>
        </is>
      </c>
      <c r="C135" s="102" t="inlineStr">
        <is>
          <t>14</t>
        </is>
      </c>
      <c r="D135" s="102" t="n">
        <v>8</v>
      </c>
      <c r="E135" s="102" t="inlineStr">
        <is>
          <t>TU-A15</t>
        </is>
      </c>
      <c r="F135" s="102" t="inlineStr">
        <is>
          <t>TU-A15/S1</t>
        </is>
      </c>
      <c r="G135" s="102" t="n">
        <v>8</v>
      </c>
      <c r="H135" s="102" t="inlineStr">
        <is>
          <t>TR-A2</t>
        </is>
      </c>
      <c r="I135" s="102" t="n">
        <v>17</v>
      </c>
      <c r="J135" s="102" t="inlineStr">
        <is>
          <t>Ống 3 Xanh lá / Xám</t>
        </is>
      </c>
      <c r="K135" s="102" t="inlineStr">
        <is>
          <t>S4-06</t>
        </is>
      </c>
      <c r="L135" s="102" t="inlineStr">
        <is>
          <t>A-21</t>
        </is>
      </c>
      <c r="M135" s="102" t="inlineStr">
        <is>
          <t>PON-06</t>
        </is>
      </c>
      <c r="N135" s="102" t="inlineStr">
        <is>
          <t>Chưa lắp</t>
        </is>
      </c>
      <c r="O135" s="151" t="n"/>
      <c r="P135" s="152" t="n"/>
      <c r="Q135" s="13">
        <f>M135&amp;" &gt; P96#"&amp;U135&amp;" &gt; "&amp;K135&amp;" &gt; P96#"&amp;L135&amp;" &gt; "&amp;R135&amp;" "&amp;S135&amp;" "&amp;T135&amp;" &gt; "&amp;H135&amp;"#"&amp;I135&amp;" &gt; "&amp;F135&amp;" p"&amp;G135</f>
        <v/>
      </c>
      <c r="R135" s="9" t="inlineStr">
        <is>
          <t>ODF-08/09</t>
        </is>
      </c>
      <c r="S135" s="9" t="inlineStr">
        <is>
          <t>Trái</t>
        </is>
      </c>
      <c r="T135" s="9" t="inlineStr">
        <is>
          <t>H3-C5</t>
        </is>
      </c>
      <c r="U135" s="9" t="inlineStr">
        <is>
          <t>A-42</t>
        </is>
      </c>
    </row>
    <row r="136">
      <c r="A136" s="151" t="inlineStr">
        <is>
          <t>A-14-09</t>
        </is>
      </c>
      <c r="B136" s="102" t="inlineStr">
        <is>
          <t>A</t>
        </is>
      </c>
      <c r="C136" s="102" t="inlineStr">
        <is>
          <t>14</t>
        </is>
      </c>
      <c r="D136" s="102" t="n">
        <v>9</v>
      </c>
      <c r="E136" s="102" t="inlineStr">
        <is>
          <t>TU-A15</t>
        </is>
      </c>
      <c r="F136" s="102" t="inlineStr">
        <is>
          <t>TU-A15/S1</t>
        </is>
      </c>
      <c r="G136" s="102" t="n">
        <v>9</v>
      </c>
      <c r="H136" s="102" t="inlineStr">
        <is>
          <t>TR-A2</t>
        </is>
      </c>
      <c r="I136" s="102" t="n">
        <v>17</v>
      </c>
      <c r="J136" s="102" t="inlineStr">
        <is>
          <t>Ống 3 Xanh lá / Xám</t>
        </is>
      </c>
      <c r="K136" s="102" t="inlineStr">
        <is>
          <t>S4-06</t>
        </is>
      </c>
      <c r="L136" s="102" t="inlineStr">
        <is>
          <t>A-21</t>
        </is>
      </c>
      <c r="M136" s="102" t="inlineStr">
        <is>
          <t>PON-06</t>
        </is>
      </c>
      <c r="N136" s="102" t="inlineStr">
        <is>
          <t>Chưa lắp</t>
        </is>
      </c>
      <c r="O136" s="151" t="n"/>
      <c r="P136" s="152" t="n"/>
      <c r="Q136" s="13">
        <f>M136&amp;" &gt; P96#"&amp;U136&amp;" &gt; "&amp;K136&amp;" &gt; P96#"&amp;L136&amp;" &gt; "&amp;R136&amp;" "&amp;S136&amp;" "&amp;T136&amp;" &gt; "&amp;H136&amp;"#"&amp;I136&amp;" &gt; "&amp;F136&amp;" p"&amp;G136</f>
        <v/>
      </c>
      <c r="R136" s="9" t="inlineStr">
        <is>
          <t>ODF-08/09</t>
        </is>
      </c>
      <c r="S136" s="9" t="inlineStr">
        <is>
          <t>Trái</t>
        </is>
      </c>
      <c r="T136" s="9" t="inlineStr">
        <is>
          <t>H3-C5</t>
        </is>
      </c>
      <c r="U136" s="9" t="inlineStr">
        <is>
          <t>A-42</t>
        </is>
      </c>
    </row>
    <row r="137">
      <c r="A137" s="151" t="inlineStr">
        <is>
          <t>A-14-10</t>
        </is>
      </c>
      <c r="B137" s="102" t="inlineStr">
        <is>
          <t>A</t>
        </is>
      </c>
      <c r="C137" s="102" t="inlineStr">
        <is>
          <t>14</t>
        </is>
      </c>
      <c r="D137" s="102" t="n">
        <v>10</v>
      </c>
      <c r="E137" s="102" t="inlineStr">
        <is>
          <t>TU-A15</t>
        </is>
      </c>
      <c r="F137" s="102" t="inlineStr">
        <is>
          <t>TU-A15/S1</t>
        </is>
      </c>
      <c r="G137" s="102" t="n">
        <v>10</v>
      </c>
      <c r="H137" s="102" t="inlineStr">
        <is>
          <t>TR-A2</t>
        </is>
      </c>
      <c r="I137" s="102" t="n">
        <v>17</v>
      </c>
      <c r="J137" s="102" t="inlineStr">
        <is>
          <t>Ống 3 Xanh lá / Xám</t>
        </is>
      </c>
      <c r="K137" s="102" t="inlineStr">
        <is>
          <t>S4-06</t>
        </is>
      </c>
      <c r="L137" s="102" t="inlineStr">
        <is>
          <t>A-21</t>
        </is>
      </c>
      <c r="M137" s="102" t="inlineStr">
        <is>
          <t>PON-06</t>
        </is>
      </c>
      <c r="N137" s="102" t="inlineStr">
        <is>
          <t>Chưa lắp</t>
        </is>
      </c>
      <c r="O137" s="151" t="n"/>
      <c r="P137" s="152" t="n"/>
      <c r="Q137" s="13">
        <f>M137&amp;" &gt; P96#"&amp;U137&amp;" &gt; "&amp;K137&amp;" &gt; P96#"&amp;L137&amp;" &gt; "&amp;R137&amp;" "&amp;S137&amp;" "&amp;T137&amp;" &gt; "&amp;H137&amp;"#"&amp;I137&amp;" &gt; "&amp;F137&amp;" p"&amp;G137</f>
        <v/>
      </c>
      <c r="R137" s="9" t="inlineStr">
        <is>
          <t>ODF-08/09</t>
        </is>
      </c>
      <c r="S137" s="9" t="inlineStr">
        <is>
          <t>Trái</t>
        </is>
      </c>
      <c r="T137" s="9" t="inlineStr">
        <is>
          <t>H3-C5</t>
        </is>
      </c>
      <c r="U137" s="9" t="inlineStr">
        <is>
          <t>A-42</t>
        </is>
      </c>
    </row>
    <row r="138">
      <c r="A138" s="151" t="inlineStr">
        <is>
          <t>A-14-11</t>
        </is>
      </c>
      <c r="B138" s="102" t="inlineStr">
        <is>
          <t>A</t>
        </is>
      </c>
      <c r="C138" s="102" t="inlineStr">
        <is>
          <t>14</t>
        </is>
      </c>
      <c r="D138" s="102" t="n">
        <v>11</v>
      </c>
      <c r="E138" s="102" t="inlineStr">
        <is>
          <t>TU-A15</t>
        </is>
      </c>
      <c r="F138" s="102" t="inlineStr">
        <is>
          <t>TU-A15/S1</t>
        </is>
      </c>
      <c r="G138" s="102" t="n">
        <v>11</v>
      </c>
      <c r="H138" s="102" t="inlineStr">
        <is>
          <t>TR-A2</t>
        </is>
      </c>
      <c r="I138" s="102" t="n">
        <v>17</v>
      </c>
      <c r="J138" s="102" t="inlineStr">
        <is>
          <t>Ống 3 Xanh lá / Xám</t>
        </is>
      </c>
      <c r="K138" s="102" t="inlineStr">
        <is>
          <t>S4-06</t>
        </is>
      </c>
      <c r="L138" s="102" t="inlineStr">
        <is>
          <t>A-21</t>
        </is>
      </c>
      <c r="M138" s="102" t="inlineStr">
        <is>
          <t>PON-06</t>
        </is>
      </c>
      <c r="N138" s="102" t="inlineStr">
        <is>
          <t>Chưa lắp</t>
        </is>
      </c>
      <c r="O138" s="151" t="n"/>
      <c r="P138" s="152" t="n"/>
      <c r="Q138" s="13">
        <f>M138&amp;" &gt; P96#"&amp;U138&amp;" &gt; "&amp;K138&amp;" &gt; P96#"&amp;L138&amp;" &gt; "&amp;R138&amp;" "&amp;S138&amp;" "&amp;T138&amp;" &gt; "&amp;H138&amp;"#"&amp;I138&amp;" &gt; "&amp;F138&amp;" p"&amp;G138</f>
        <v/>
      </c>
      <c r="R138" s="9" t="inlineStr">
        <is>
          <t>ODF-08/09</t>
        </is>
      </c>
      <c r="S138" s="9" t="inlineStr">
        <is>
          <t>Trái</t>
        </is>
      </c>
      <c r="T138" s="9" t="inlineStr">
        <is>
          <t>H3-C5</t>
        </is>
      </c>
      <c r="U138" s="9" t="inlineStr">
        <is>
          <t>A-42</t>
        </is>
      </c>
    </row>
    <row r="139">
      <c r="A139" s="151" t="inlineStr">
        <is>
          <t>A-14-12</t>
        </is>
      </c>
      <c r="B139" s="102" t="inlineStr">
        <is>
          <t>A</t>
        </is>
      </c>
      <c r="C139" s="102" t="inlineStr">
        <is>
          <t>14</t>
        </is>
      </c>
      <c r="D139" s="102" t="n">
        <v>12</v>
      </c>
      <c r="E139" s="102" t="inlineStr">
        <is>
          <t>TU-A15</t>
        </is>
      </c>
      <c r="F139" s="102" t="inlineStr">
        <is>
          <t>TU-A15/S1</t>
        </is>
      </c>
      <c r="G139" s="102" t="n">
        <v>12</v>
      </c>
      <c r="H139" s="102" t="inlineStr">
        <is>
          <t>TR-A2</t>
        </is>
      </c>
      <c r="I139" s="102" t="n">
        <v>17</v>
      </c>
      <c r="J139" s="102" t="inlineStr">
        <is>
          <t>Ống 3 Xanh lá / Xám</t>
        </is>
      </c>
      <c r="K139" s="102" t="inlineStr">
        <is>
          <t>S4-06</t>
        </is>
      </c>
      <c r="L139" s="102" t="inlineStr">
        <is>
          <t>A-21</t>
        </is>
      </c>
      <c r="M139" s="102" t="inlineStr">
        <is>
          <t>PON-06</t>
        </is>
      </c>
      <c r="N139" s="102" t="inlineStr">
        <is>
          <t>Chưa lắp</t>
        </is>
      </c>
      <c r="O139" s="151" t="n"/>
      <c r="P139" s="152" t="n"/>
      <c r="Q139" s="13">
        <f>M139&amp;" &gt; P96#"&amp;U139&amp;" &gt; "&amp;K139&amp;" &gt; P96#"&amp;L139&amp;" &gt; "&amp;R139&amp;" "&amp;S139&amp;" "&amp;T139&amp;" &gt; "&amp;H139&amp;"#"&amp;I139&amp;" &gt; "&amp;F139&amp;" p"&amp;G139</f>
        <v/>
      </c>
      <c r="R139" s="9" t="inlineStr">
        <is>
          <t>ODF-08/09</t>
        </is>
      </c>
      <c r="S139" s="9" t="inlineStr">
        <is>
          <t>Trái</t>
        </is>
      </c>
      <c r="T139" s="9" t="inlineStr">
        <is>
          <t>H3-C5</t>
        </is>
      </c>
      <c r="U139" s="9" t="inlineStr">
        <is>
          <t>A-42</t>
        </is>
      </c>
    </row>
    <row r="140">
      <c r="A140" s="151" t="inlineStr">
        <is>
          <t>A-14-13</t>
        </is>
      </c>
      <c r="B140" s="102" t="inlineStr">
        <is>
          <t>A</t>
        </is>
      </c>
      <c r="C140" s="102" t="inlineStr">
        <is>
          <t>14</t>
        </is>
      </c>
      <c r="D140" s="102" t="n">
        <v>13</v>
      </c>
      <c r="E140" s="102" t="inlineStr">
        <is>
          <t>TU-A15</t>
        </is>
      </c>
      <c r="F140" s="102" t="inlineStr">
        <is>
          <t>TU-A15/S1</t>
        </is>
      </c>
      <c r="G140" s="102" t="n">
        <v>13</v>
      </c>
      <c r="H140" s="102" t="inlineStr">
        <is>
          <t>TR-A2</t>
        </is>
      </c>
      <c r="I140" s="102" t="n">
        <v>17</v>
      </c>
      <c r="J140" s="102" t="inlineStr">
        <is>
          <t>Ống 3 Xanh lá / Xám</t>
        </is>
      </c>
      <c r="K140" s="102" t="inlineStr">
        <is>
          <t>S4-06</t>
        </is>
      </c>
      <c r="L140" s="102" t="inlineStr">
        <is>
          <t>A-21</t>
        </is>
      </c>
      <c r="M140" s="102" t="inlineStr">
        <is>
          <t>PON-06</t>
        </is>
      </c>
      <c r="N140" s="102" t="inlineStr">
        <is>
          <t>Chưa lắp</t>
        </is>
      </c>
      <c r="O140" s="151" t="n"/>
      <c r="P140" s="152" t="n"/>
      <c r="Q140" s="13">
        <f>M140&amp;" &gt; P96#"&amp;U140&amp;" &gt; "&amp;K140&amp;" &gt; P96#"&amp;L140&amp;" &gt; "&amp;R140&amp;" "&amp;S140&amp;" "&amp;T140&amp;" &gt; "&amp;H140&amp;"#"&amp;I140&amp;" &gt; "&amp;F140&amp;" p"&amp;G140</f>
        <v/>
      </c>
      <c r="R140" s="9" t="inlineStr">
        <is>
          <t>ODF-08/09</t>
        </is>
      </c>
      <c r="S140" s="9" t="inlineStr">
        <is>
          <t>Trái</t>
        </is>
      </c>
      <c r="T140" s="9" t="inlineStr">
        <is>
          <t>H3-C5</t>
        </is>
      </c>
      <c r="U140" s="9" t="inlineStr">
        <is>
          <t>A-42</t>
        </is>
      </c>
    </row>
    <row r="141">
      <c r="A141" s="151" t="inlineStr">
        <is>
          <t>A-14-14</t>
        </is>
      </c>
      <c r="B141" s="102" t="inlineStr">
        <is>
          <t>A</t>
        </is>
      </c>
      <c r="C141" s="102" t="inlineStr">
        <is>
          <t>14</t>
        </is>
      </c>
      <c r="D141" s="102" t="n">
        <v>14</v>
      </c>
      <c r="E141" s="102" t="inlineStr">
        <is>
          <t>TU-A15</t>
        </is>
      </c>
      <c r="F141" s="102" t="inlineStr">
        <is>
          <t>TU-A15/S1</t>
        </is>
      </c>
      <c r="G141" s="102" t="n">
        <v>14</v>
      </c>
      <c r="H141" s="102" t="inlineStr">
        <is>
          <t>TR-A2</t>
        </is>
      </c>
      <c r="I141" s="102" t="n">
        <v>17</v>
      </c>
      <c r="J141" s="102" t="inlineStr">
        <is>
          <t>Ống 3 Xanh lá / Xám</t>
        </is>
      </c>
      <c r="K141" s="102" t="inlineStr">
        <is>
          <t>S4-06</t>
        </is>
      </c>
      <c r="L141" s="102" t="inlineStr">
        <is>
          <t>A-21</t>
        </is>
      </c>
      <c r="M141" s="102" t="inlineStr">
        <is>
          <t>PON-06</t>
        </is>
      </c>
      <c r="N141" s="102" t="inlineStr">
        <is>
          <t>Chưa lắp</t>
        </is>
      </c>
      <c r="O141" s="151" t="n"/>
      <c r="P141" s="152" t="n"/>
      <c r="Q141" s="13">
        <f>M141&amp;" &gt; P96#"&amp;U141&amp;" &gt; "&amp;K141&amp;" &gt; P96#"&amp;L141&amp;" &gt; "&amp;R141&amp;" "&amp;S141&amp;" "&amp;T141&amp;" &gt; "&amp;H141&amp;"#"&amp;I141&amp;" &gt; "&amp;F141&amp;" p"&amp;G141</f>
        <v/>
      </c>
      <c r="R141" s="9" t="inlineStr">
        <is>
          <t>ODF-08/09</t>
        </is>
      </c>
      <c r="S141" s="9" t="inlineStr">
        <is>
          <t>Trái</t>
        </is>
      </c>
      <c r="T141" s="9" t="inlineStr">
        <is>
          <t>H3-C5</t>
        </is>
      </c>
      <c r="U141" s="9" t="inlineStr">
        <is>
          <t>A-42</t>
        </is>
      </c>
    </row>
    <row r="142">
      <c r="A142" s="149" t="inlineStr">
        <is>
          <t>A-12A-01</t>
        </is>
      </c>
      <c r="B142" s="99" t="inlineStr">
        <is>
          <t>A</t>
        </is>
      </c>
      <c r="C142" s="99" t="inlineStr">
        <is>
          <t>12A</t>
        </is>
      </c>
      <c r="D142" s="99" t="n">
        <v>1</v>
      </c>
      <c r="E142" s="99" t="inlineStr">
        <is>
          <t>TU-A12</t>
        </is>
      </c>
      <c r="F142" s="99" t="inlineStr">
        <is>
          <t>TU-A12/S3</t>
        </is>
      </c>
      <c r="G142" s="99" t="n">
        <v>1</v>
      </c>
      <c r="H142" s="99" t="inlineStr">
        <is>
          <t>TR-A2</t>
        </is>
      </c>
      <c r="I142" s="99" t="n">
        <v>11</v>
      </c>
      <c r="J142" s="99" t="inlineStr">
        <is>
          <t>Ống 2 Cam / Xám</t>
        </is>
      </c>
      <c r="K142" s="99" t="inlineStr">
        <is>
          <t>S4-05</t>
        </is>
      </c>
      <c r="L142" s="99" t="inlineStr">
        <is>
          <t>A-19</t>
        </is>
      </c>
      <c r="M142" s="99" t="inlineStr">
        <is>
          <t>PON-05</t>
        </is>
      </c>
      <c r="N142" s="99" t="inlineStr">
        <is>
          <t>Chưa lắp</t>
        </is>
      </c>
      <c r="O142" s="149" t="n"/>
      <c r="P142" s="150" t="n"/>
      <c r="Q142" s="13">
        <f>M142&amp;" &gt; P96#"&amp;U142&amp;" &gt; "&amp;K142&amp;" &gt; P96#"&amp;L142&amp;" &gt; "&amp;R142&amp;" "&amp;S142&amp;" "&amp;T142&amp;" &gt; "&amp;H142&amp;"#"&amp;I142&amp;" &gt; "&amp;F142&amp;" p"&amp;G142</f>
        <v/>
      </c>
      <c r="R142" s="9" t="inlineStr">
        <is>
          <t>ODF-08/09</t>
        </is>
      </c>
      <c r="S142" s="9" t="inlineStr">
        <is>
          <t>Trái</t>
        </is>
      </c>
      <c r="T142" s="9" t="inlineStr">
        <is>
          <t>H2-C5</t>
        </is>
      </c>
      <c r="U142" s="9" t="inlineStr">
        <is>
          <t>A-41</t>
        </is>
      </c>
    </row>
    <row r="143">
      <c r="A143" s="149" t="inlineStr">
        <is>
          <t>A-12A-02</t>
        </is>
      </c>
      <c r="B143" s="99" t="inlineStr">
        <is>
          <t>A</t>
        </is>
      </c>
      <c r="C143" s="99" t="inlineStr">
        <is>
          <t>12A</t>
        </is>
      </c>
      <c r="D143" s="99" t="n">
        <v>2</v>
      </c>
      <c r="E143" s="99" t="inlineStr">
        <is>
          <t>TU-A12</t>
        </is>
      </c>
      <c r="F143" s="99" t="inlineStr">
        <is>
          <t>TU-A12/S3</t>
        </is>
      </c>
      <c r="G143" s="99" t="n">
        <v>2</v>
      </c>
      <c r="H143" s="99" t="inlineStr">
        <is>
          <t>TR-A2</t>
        </is>
      </c>
      <c r="I143" s="99" t="n">
        <v>11</v>
      </c>
      <c r="J143" s="99" t="inlineStr">
        <is>
          <t>Ống 2 Cam / Xám</t>
        </is>
      </c>
      <c r="K143" s="99" t="inlineStr">
        <is>
          <t>S4-05</t>
        </is>
      </c>
      <c r="L143" s="99" t="inlineStr">
        <is>
          <t>A-19</t>
        </is>
      </c>
      <c r="M143" s="99" t="inlineStr">
        <is>
          <t>PON-05</t>
        </is>
      </c>
      <c r="N143" s="99" t="inlineStr">
        <is>
          <t>Chưa lắp</t>
        </is>
      </c>
      <c r="O143" s="149" t="n"/>
      <c r="P143" s="150" t="n"/>
      <c r="Q143" s="13">
        <f>M143&amp;" &gt; P96#"&amp;U143&amp;" &gt; "&amp;K143&amp;" &gt; P96#"&amp;L143&amp;" &gt; "&amp;R143&amp;" "&amp;S143&amp;" "&amp;T143&amp;" &gt; "&amp;H143&amp;"#"&amp;I143&amp;" &gt; "&amp;F143&amp;" p"&amp;G143</f>
        <v/>
      </c>
      <c r="R143" s="9" t="inlineStr">
        <is>
          <t>ODF-08/09</t>
        </is>
      </c>
      <c r="S143" s="9" t="inlineStr">
        <is>
          <t>Trái</t>
        </is>
      </c>
      <c r="T143" s="9" t="inlineStr">
        <is>
          <t>H2-C5</t>
        </is>
      </c>
      <c r="U143" s="9" t="inlineStr">
        <is>
          <t>A-41</t>
        </is>
      </c>
    </row>
    <row r="144">
      <c r="A144" s="149" t="inlineStr">
        <is>
          <t>A-12A-03</t>
        </is>
      </c>
      <c r="B144" s="99" t="inlineStr">
        <is>
          <t>A</t>
        </is>
      </c>
      <c r="C144" s="99" t="inlineStr">
        <is>
          <t>12A</t>
        </is>
      </c>
      <c r="D144" s="99" t="n">
        <v>3</v>
      </c>
      <c r="E144" s="99" t="inlineStr">
        <is>
          <t>TU-A12</t>
        </is>
      </c>
      <c r="F144" s="99" t="inlineStr">
        <is>
          <t>TU-A12/S3</t>
        </is>
      </c>
      <c r="G144" s="99" t="n">
        <v>3</v>
      </c>
      <c r="H144" s="99" t="inlineStr">
        <is>
          <t>TR-A2</t>
        </is>
      </c>
      <c r="I144" s="99" t="n">
        <v>11</v>
      </c>
      <c r="J144" s="99" t="inlineStr">
        <is>
          <t>Ống 2 Cam / Xám</t>
        </is>
      </c>
      <c r="K144" s="99" t="inlineStr">
        <is>
          <t>S4-05</t>
        </is>
      </c>
      <c r="L144" s="99" t="inlineStr">
        <is>
          <t>A-19</t>
        </is>
      </c>
      <c r="M144" s="99" t="inlineStr">
        <is>
          <t>PON-05</t>
        </is>
      </c>
      <c r="N144" s="99" t="inlineStr">
        <is>
          <t>Chưa lắp</t>
        </is>
      </c>
      <c r="O144" s="149" t="n"/>
      <c r="P144" s="150" t="n"/>
      <c r="Q144" s="13">
        <f>M144&amp;" &gt; P96#"&amp;U144&amp;" &gt; "&amp;K144&amp;" &gt; P96#"&amp;L144&amp;" &gt; "&amp;R144&amp;" "&amp;S144&amp;" "&amp;T144&amp;" &gt; "&amp;H144&amp;"#"&amp;I144&amp;" &gt; "&amp;F144&amp;" p"&amp;G144</f>
        <v/>
      </c>
      <c r="R144" s="9" t="inlineStr">
        <is>
          <t>ODF-08/09</t>
        </is>
      </c>
      <c r="S144" s="9" t="inlineStr">
        <is>
          <t>Trái</t>
        </is>
      </c>
      <c r="T144" s="9" t="inlineStr">
        <is>
          <t>H2-C5</t>
        </is>
      </c>
      <c r="U144" s="9" t="inlineStr">
        <is>
          <t>A-41</t>
        </is>
      </c>
    </row>
    <row r="145">
      <c r="A145" s="149" t="inlineStr">
        <is>
          <t>A-12A-04</t>
        </is>
      </c>
      <c r="B145" s="99" t="inlineStr">
        <is>
          <t>A</t>
        </is>
      </c>
      <c r="C145" s="99" t="inlineStr">
        <is>
          <t>12A</t>
        </is>
      </c>
      <c r="D145" s="99" t="n">
        <v>4</v>
      </c>
      <c r="E145" s="99" t="inlineStr">
        <is>
          <t>TU-A12</t>
        </is>
      </c>
      <c r="F145" s="99" t="inlineStr">
        <is>
          <t>TU-A12/S3</t>
        </is>
      </c>
      <c r="G145" s="99" t="n">
        <v>4</v>
      </c>
      <c r="H145" s="99" t="inlineStr">
        <is>
          <t>TR-A2</t>
        </is>
      </c>
      <c r="I145" s="99" t="n">
        <v>11</v>
      </c>
      <c r="J145" s="99" t="inlineStr">
        <is>
          <t>Ống 2 Cam / Xám</t>
        </is>
      </c>
      <c r="K145" s="99" t="inlineStr">
        <is>
          <t>S4-05</t>
        </is>
      </c>
      <c r="L145" s="99" t="inlineStr">
        <is>
          <t>A-19</t>
        </is>
      </c>
      <c r="M145" s="99" t="inlineStr">
        <is>
          <t>PON-05</t>
        </is>
      </c>
      <c r="N145" s="99" t="inlineStr">
        <is>
          <t>Chưa lắp</t>
        </is>
      </c>
      <c r="O145" s="149" t="n"/>
      <c r="P145" s="150" t="n"/>
      <c r="Q145" s="13">
        <f>M145&amp;" &gt; P96#"&amp;U145&amp;" &gt; "&amp;K145&amp;" &gt; P96#"&amp;L145&amp;" &gt; "&amp;R145&amp;" "&amp;S145&amp;" "&amp;T145&amp;" &gt; "&amp;H145&amp;"#"&amp;I145&amp;" &gt; "&amp;F145&amp;" p"&amp;G145</f>
        <v/>
      </c>
      <c r="R145" s="9" t="inlineStr">
        <is>
          <t>ODF-08/09</t>
        </is>
      </c>
      <c r="S145" s="9" t="inlineStr">
        <is>
          <t>Trái</t>
        </is>
      </c>
      <c r="T145" s="9" t="inlineStr">
        <is>
          <t>H2-C5</t>
        </is>
      </c>
      <c r="U145" s="9" t="inlineStr">
        <is>
          <t>A-41</t>
        </is>
      </c>
    </row>
    <row r="146">
      <c r="A146" s="149" t="inlineStr">
        <is>
          <t>A-12A-05</t>
        </is>
      </c>
      <c r="B146" s="99" t="inlineStr">
        <is>
          <t>A</t>
        </is>
      </c>
      <c r="C146" s="99" t="inlineStr">
        <is>
          <t>12A</t>
        </is>
      </c>
      <c r="D146" s="99" t="n">
        <v>5</v>
      </c>
      <c r="E146" s="99" t="inlineStr">
        <is>
          <t>TU-A12</t>
        </is>
      </c>
      <c r="F146" s="99" t="inlineStr">
        <is>
          <t>TU-A12/S3</t>
        </is>
      </c>
      <c r="G146" s="99" t="n">
        <v>5</v>
      </c>
      <c r="H146" s="99" t="inlineStr">
        <is>
          <t>TR-A2</t>
        </is>
      </c>
      <c r="I146" s="99" t="n">
        <v>11</v>
      </c>
      <c r="J146" s="99" t="inlineStr">
        <is>
          <t>Ống 2 Cam / Xám</t>
        </is>
      </c>
      <c r="K146" s="99" t="inlineStr">
        <is>
          <t>S4-05</t>
        </is>
      </c>
      <c r="L146" s="99" t="inlineStr">
        <is>
          <t>A-19</t>
        </is>
      </c>
      <c r="M146" s="99" t="inlineStr">
        <is>
          <t>PON-05</t>
        </is>
      </c>
      <c r="N146" s="99" t="inlineStr">
        <is>
          <t>Chưa lắp</t>
        </is>
      </c>
      <c r="O146" s="149" t="n"/>
      <c r="P146" s="150" t="n"/>
      <c r="Q146" s="13">
        <f>M146&amp;" &gt; P96#"&amp;U146&amp;" &gt; "&amp;K146&amp;" &gt; P96#"&amp;L146&amp;" &gt; "&amp;R146&amp;" "&amp;S146&amp;" "&amp;T146&amp;" &gt; "&amp;H146&amp;"#"&amp;I146&amp;" &gt; "&amp;F146&amp;" p"&amp;G146</f>
        <v/>
      </c>
      <c r="R146" s="9" t="inlineStr">
        <is>
          <t>ODF-08/09</t>
        </is>
      </c>
      <c r="S146" s="9" t="inlineStr">
        <is>
          <t>Trái</t>
        </is>
      </c>
      <c r="T146" s="9" t="inlineStr">
        <is>
          <t>H2-C5</t>
        </is>
      </c>
      <c r="U146" s="9" t="inlineStr">
        <is>
          <t>A-41</t>
        </is>
      </c>
    </row>
    <row r="147">
      <c r="A147" s="149" t="inlineStr">
        <is>
          <t>A-12A-06</t>
        </is>
      </c>
      <c r="B147" s="99" t="inlineStr">
        <is>
          <t>A</t>
        </is>
      </c>
      <c r="C147" s="99" t="inlineStr">
        <is>
          <t>12A</t>
        </is>
      </c>
      <c r="D147" s="99" t="n">
        <v>6</v>
      </c>
      <c r="E147" s="99" t="inlineStr">
        <is>
          <t>TU-A12</t>
        </is>
      </c>
      <c r="F147" s="99" t="inlineStr">
        <is>
          <t>TU-A12/S3</t>
        </is>
      </c>
      <c r="G147" s="99" t="n">
        <v>6</v>
      </c>
      <c r="H147" s="99" t="inlineStr">
        <is>
          <t>TR-A2</t>
        </is>
      </c>
      <c r="I147" s="99" t="n">
        <v>11</v>
      </c>
      <c r="J147" s="99" t="inlineStr">
        <is>
          <t>Ống 2 Cam / Xám</t>
        </is>
      </c>
      <c r="K147" s="99" t="inlineStr">
        <is>
          <t>S4-05</t>
        </is>
      </c>
      <c r="L147" s="99" t="inlineStr">
        <is>
          <t>A-19</t>
        </is>
      </c>
      <c r="M147" s="99" t="inlineStr">
        <is>
          <t>PON-05</t>
        </is>
      </c>
      <c r="N147" s="99" t="inlineStr">
        <is>
          <t>Chưa lắp</t>
        </is>
      </c>
      <c r="O147" s="149" t="n"/>
      <c r="P147" s="150" t="n"/>
      <c r="Q147" s="13">
        <f>M147&amp;" &gt; P96#"&amp;U147&amp;" &gt; "&amp;K147&amp;" &gt; P96#"&amp;L147&amp;" &gt; "&amp;R147&amp;" "&amp;S147&amp;" "&amp;T147&amp;" &gt; "&amp;H147&amp;"#"&amp;I147&amp;" &gt; "&amp;F147&amp;" p"&amp;G147</f>
        <v/>
      </c>
      <c r="R147" s="9" t="inlineStr">
        <is>
          <t>ODF-08/09</t>
        </is>
      </c>
      <c r="S147" s="9" t="inlineStr">
        <is>
          <t>Trái</t>
        </is>
      </c>
      <c r="T147" s="9" t="inlineStr">
        <is>
          <t>H2-C5</t>
        </is>
      </c>
      <c r="U147" s="9" t="inlineStr">
        <is>
          <t>A-41</t>
        </is>
      </c>
    </row>
    <row r="148">
      <c r="A148" s="149" t="inlineStr">
        <is>
          <t>A-12A-07</t>
        </is>
      </c>
      <c r="B148" s="99" t="inlineStr">
        <is>
          <t>A</t>
        </is>
      </c>
      <c r="C148" s="99" t="inlineStr">
        <is>
          <t>12A</t>
        </is>
      </c>
      <c r="D148" s="99" t="n">
        <v>7</v>
      </c>
      <c r="E148" s="99" t="inlineStr">
        <is>
          <t>TU-A12</t>
        </is>
      </c>
      <c r="F148" s="99" t="inlineStr">
        <is>
          <t>TU-A12/S3</t>
        </is>
      </c>
      <c r="G148" s="99" t="n">
        <v>7</v>
      </c>
      <c r="H148" s="99" t="inlineStr">
        <is>
          <t>TR-A2</t>
        </is>
      </c>
      <c r="I148" s="99" t="n">
        <v>11</v>
      </c>
      <c r="J148" s="99" t="inlineStr">
        <is>
          <t>Ống 2 Cam / Xám</t>
        </is>
      </c>
      <c r="K148" s="99" t="inlineStr">
        <is>
          <t>S4-05</t>
        </is>
      </c>
      <c r="L148" s="99" t="inlineStr">
        <is>
          <t>A-19</t>
        </is>
      </c>
      <c r="M148" s="99" t="inlineStr">
        <is>
          <t>PON-05</t>
        </is>
      </c>
      <c r="N148" s="99" t="inlineStr">
        <is>
          <t>Chưa lắp</t>
        </is>
      </c>
      <c r="O148" s="149" t="n"/>
      <c r="P148" s="150" t="n"/>
      <c r="Q148" s="13">
        <f>M148&amp;" &gt; P96#"&amp;U148&amp;" &gt; "&amp;K148&amp;" &gt; P96#"&amp;L148&amp;" &gt; "&amp;R148&amp;" "&amp;S148&amp;" "&amp;T148&amp;" &gt; "&amp;H148&amp;"#"&amp;I148&amp;" &gt; "&amp;F148&amp;" p"&amp;G148</f>
        <v/>
      </c>
      <c r="R148" s="9" t="inlineStr">
        <is>
          <t>ODF-08/09</t>
        </is>
      </c>
      <c r="S148" s="9" t="inlineStr">
        <is>
          <t>Trái</t>
        </is>
      </c>
      <c r="T148" s="9" t="inlineStr">
        <is>
          <t>H2-C5</t>
        </is>
      </c>
      <c r="U148" s="9" t="inlineStr">
        <is>
          <t>A-41</t>
        </is>
      </c>
    </row>
    <row r="149">
      <c r="A149" s="149" t="inlineStr">
        <is>
          <t>A-12A-08</t>
        </is>
      </c>
      <c r="B149" s="99" t="inlineStr">
        <is>
          <t>A</t>
        </is>
      </c>
      <c r="C149" s="99" t="inlineStr">
        <is>
          <t>12A</t>
        </is>
      </c>
      <c r="D149" s="99" t="n">
        <v>8</v>
      </c>
      <c r="E149" s="99" t="inlineStr">
        <is>
          <t>TU-A12</t>
        </is>
      </c>
      <c r="F149" s="99" t="inlineStr">
        <is>
          <t>TU-A12/S3</t>
        </is>
      </c>
      <c r="G149" s="99" t="n">
        <v>8</v>
      </c>
      <c r="H149" s="99" t="inlineStr">
        <is>
          <t>TR-A2</t>
        </is>
      </c>
      <c r="I149" s="99" t="n">
        <v>11</v>
      </c>
      <c r="J149" s="99" t="inlineStr">
        <is>
          <t>Ống 2 Cam / Xám</t>
        </is>
      </c>
      <c r="K149" s="99" t="inlineStr">
        <is>
          <t>S4-05</t>
        </is>
      </c>
      <c r="L149" s="99" t="inlineStr">
        <is>
          <t>A-19</t>
        </is>
      </c>
      <c r="M149" s="99" t="inlineStr">
        <is>
          <t>PON-05</t>
        </is>
      </c>
      <c r="N149" s="99" t="inlineStr">
        <is>
          <t>Chưa lắp</t>
        </is>
      </c>
      <c r="O149" s="149" t="n"/>
      <c r="P149" s="150" t="n"/>
      <c r="Q149" s="13">
        <f>M149&amp;" &gt; P96#"&amp;U149&amp;" &gt; "&amp;K149&amp;" &gt; P96#"&amp;L149&amp;" &gt; "&amp;R149&amp;" "&amp;S149&amp;" "&amp;T149&amp;" &gt; "&amp;H149&amp;"#"&amp;I149&amp;" &gt; "&amp;F149&amp;" p"&amp;G149</f>
        <v/>
      </c>
      <c r="R149" s="9" t="inlineStr">
        <is>
          <t>ODF-08/09</t>
        </is>
      </c>
      <c r="S149" s="9" t="inlineStr">
        <is>
          <t>Trái</t>
        </is>
      </c>
      <c r="T149" s="9" t="inlineStr">
        <is>
          <t>H2-C5</t>
        </is>
      </c>
      <c r="U149" s="9" t="inlineStr">
        <is>
          <t>A-41</t>
        </is>
      </c>
    </row>
    <row r="150">
      <c r="A150" s="149" t="inlineStr">
        <is>
          <t>A-12A-09</t>
        </is>
      </c>
      <c r="B150" s="99" t="inlineStr">
        <is>
          <t>A</t>
        </is>
      </c>
      <c r="C150" s="99" t="inlineStr">
        <is>
          <t>12A</t>
        </is>
      </c>
      <c r="D150" s="99" t="n">
        <v>9</v>
      </c>
      <c r="E150" s="99" t="inlineStr">
        <is>
          <t>TU-A12</t>
        </is>
      </c>
      <c r="F150" s="99" t="inlineStr">
        <is>
          <t>TU-A12/S3</t>
        </is>
      </c>
      <c r="G150" s="99" t="n">
        <v>9</v>
      </c>
      <c r="H150" s="99" t="inlineStr">
        <is>
          <t>TR-A2</t>
        </is>
      </c>
      <c r="I150" s="99" t="n">
        <v>11</v>
      </c>
      <c r="J150" s="99" t="inlineStr">
        <is>
          <t>Ống 2 Cam / Xám</t>
        </is>
      </c>
      <c r="K150" s="99" t="inlineStr">
        <is>
          <t>S4-05</t>
        </is>
      </c>
      <c r="L150" s="99" t="inlineStr">
        <is>
          <t>A-19</t>
        </is>
      </c>
      <c r="M150" s="99" t="inlineStr">
        <is>
          <t>PON-05</t>
        </is>
      </c>
      <c r="N150" s="99" t="inlineStr">
        <is>
          <t>Chưa lắp</t>
        </is>
      </c>
      <c r="O150" s="149" t="n"/>
      <c r="P150" s="150" t="n"/>
      <c r="Q150" s="13">
        <f>M150&amp;" &gt; P96#"&amp;U150&amp;" &gt; "&amp;K150&amp;" &gt; P96#"&amp;L150&amp;" &gt; "&amp;R150&amp;" "&amp;S150&amp;" "&amp;T150&amp;" &gt; "&amp;H150&amp;"#"&amp;I150&amp;" &gt; "&amp;F150&amp;" p"&amp;G150</f>
        <v/>
      </c>
      <c r="R150" s="9" t="inlineStr">
        <is>
          <t>ODF-08/09</t>
        </is>
      </c>
      <c r="S150" s="9" t="inlineStr">
        <is>
          <t>Trái</t>
        </is>
      </c>
      <c r="T150" s="9" t="inlineStr">
        <is>
          <t>H2-C5</t>
        </is>
      </c>
      <c r="U150" s="9" t="inlineStr">
        <is>
          <t>A-41</t>
        </is>
      </c>
    </row>
    <row r="151">
      <c r="A151" s="149" t="inlineStr">
        <is>
          <t>A-12A-10</t>
        </is>
      </c>
      <c r="B151" s="99" t="inlineStr">
        <is>
          <t>A</t>
        </is>
      </c>
      <c r="C151" s="99" t="inlineStr">
        <is>
          <t>12A</t>
        </is>
      </c>
      <c r="D151" s="99" t="n">
        <v>10</v>
      </c>
      <c r="E151" s="99" t="inlineStr">
        <is>
          <t>TU-A12</t>
        </is>
      </c>
      <c r="F151" s="99" t="inlineStr">
        <is>
          <t>TU-A12/S3</t>
        </is>
      </c>
      <c r="G151" s="99" t="n">
        <v>10</v>
      </c>
      <c r="H151" s="99" t="inlineStr">
        <is>
          <t>TR-A2</t>
        </is>
      </c>
      <c r="I151" s="99" t="n">
        <v>11</v>
      </c>
      <c r="J151" s="99" t="inlineStr">
        <is>
          <t>Ống 2 Cam / Xám</t>
        </is>
      </c>
      <c r="K151" s="99" t="inlineStr">
        <is>
          <t>S4-05</t>
        </is>
      </c>
      <c r="L151" s="99" t="inlineStr">
        <is>
          <t>A-19</t>
        </is>
      </c>
      <c r="M151" s="99" t="inlineStr">
        <is>
          <t>PON-05</t>
        </is>
      </c>
      <c r="N151" s="99" t="inlineStr">
        <is>
          <t>Chưa lắp</t>
        </is>
      </c>
      <c r="O151" s="149" t="n"/>
      <c r="P151" s="150" t="n"/>
      <c r="Q151" s="13">
        <f>M151&amp;" &gt; P96#"&amp;U151&amp;" &gt; "&amp;K151&amp;" &gt; P96#"&amp;L151&amp;" &gt; "&amp;R151&amp;" "&amp;S151&amp;" "&amp;T151&amp;" &gt; "&amp;H151&amp;"#"&amp;I151&amp;" &gt; "&amp;F151&amp;" p"&amp;G151</f>
        <v/>
      </c>
      <c r="R151" s="9" t="inlineStr">
        <is>
          <t>ODF-08/09</t>
        </is>
      </c>
      <c r="S151" s="9" t="inlineStr">
        <is>
          <t>Trái</t>
        </is>
      </c>
      <c r="T151" s="9" t="inlineStr">
        <is>
          <t>H2-C5</t>
        </is>
      </c>
      <c r="U151" s="9" t="inlineStr">
        <is>
          <t>A-41</t>
        </is>
      </c>
    </row>
    <row r="152">
      <c r="A152" s="149" t="inlineStr">
        <is>
          <t>A-12A-11</t>
        </is>
      </c>
      <c r="B152" s="99" t="inlineStr">
        <is>
          <t>A</t>
        </is>
      </c>
      <c r="C152" s="99" t="inlineStr">
        <is>
          <t>12A</t>
        </is>
      </c>
      <c r="D152" s="99" t="n">
        <v>11</v>
      </c>
      <c r="E152" s="99" t="inlineStr">
        <is>
          <t>TU-A12</t>
        </is>
      </c>
      <c r="F152" s="99" t="inlineStr">
        <is>
          <t>TU-A12/S3</t>
        </is>
      </c>
      <c r="G152" s="99" t="n">
        <v>11</v>
      </c>
      <c r="H152" s="99" t="inlineStr">
        <is>
          <t>TR-A2</t>
        </is>
      </c>
      <c r="I152" s="99" t="n">
        <v>11</v>
      </c>
      <c r="J152" s="99" t="inlineStr">
        <is>
          <t>Ống 2 Cam / Xám</t>
        </is>
      </c>
      <c r="K152" s="99" t="inlineStr">
        <is>
          <t>S4-05</t>
        </is>
      </c>
      <c r="L152" s="99" t="inlineStr">
        <is>
          <t>A-19</t>
        </is>
      </c>
      <c r="M152" s="99" t="inlineStr">
        <is>
          <t>PON-05</t>
        </is>
      </c>
      <c r="N152" s="99" t="inlineStr">
        <is>
          <t>Chưa lắp</t>
        </is>
      </c>
      <c r="O152" s="149" t="n"/>
      <c r="P152" s="150" t="n"/>
      <c r="Q152" s="13">
        <f>M152&amp;" &gt; P96#"&amp;U152&amp;" &gt; "&amp;K152&amp;" &gt; P96#"&amp;L152&amp;" &gt; "&amp;R152&amp;" "&amp;S152&amp;" "&amp;T152&amp;" &gt; "&amp;H152&amp;"#"&amp;I152&amp;" &gt; "&amp;F152&amp;" p"&amp;G152</f>
        <v/>
      </c>
      <c r="R152" s="9" t="inlineStr">
        <is>
          <t>ODF-08/09</t>
        </is>
      </c>
      <c r="S152" s="9" t="inlineStr">
        <is>
          <t>Trái</t>
        </is>
      </c>
      <c r="T152" s="9" t="inlineStr">
        <is>
          <t>H2-C5</t>
        </is>
      </c>
      <c r="U152" s="9" t="inlineStr">
        <is>
          <t>A-41</t>
        </is>
      </c>
    </row>
    <row r="153">
      <c r="A153" s="149" t="inlineStr">
        <is>
          <t>A-12A-12</t>
        </is>
      </c>
      <c r="B153" s="99" t="inlineStr">
        <is>
          <t>A</t>
        </is>
      </c>
      <c r="C153" s="99" t="inlineStr">
        <is>
          <t>12A</t>
        </is>
      </c>
      <c r="D153" s="99" t="n">
        <v>12</v>
      </c>
      <c r="E153" s="99" t="inlineStr">
        <is>
          <t>TU-A12</t>
        </is>
      </c>
      <c r="F153" s="99" t="inlineStr">
        <is>
          <t>TU-A12/S3</t>
        </is>
      </c>
      <c r="G153" s="99" t="n">
        <v>12</v>
      </c>
      <c r="H153" s="99" t="inlineStr">
        <is>
          <t>TR-A2</t>
        </is>
      </c>
      <c r="I153" s="99" t="n">
        <v>11</v>
      </c>
      <c r="J153" s="99" t="inlineStr">
        <is>
          <t>Ống 2 Cam / Xám</t>
        </is>
      </c>
      <c r="K153" s="99" t="inlineStr">
        <is>
          <t>S4-05</t>
        </is>
      </c>
      <c r="L153" s="99" t="inlineStr">
        <is>
          <t>A-19</t>
        </is>
      </c>
      <c r="M153" s="99" t="inlineStr">
        <is>
          <t>PON-05</t>
        </is>
      </c>
      <c r="N153" s="99" t="inlineStr">
        <is>
          <t>Chưa lắp</t>
        </is>
      </c>
      <c r="O153" s="149" t="n"/>
      <c r="P153" s="150" t="n"/>
      <c r="Q153" s="13">
        <f>M153&amp;" &gt; P96#"&amp;U153&amp;" &gt; "&amp;K153&amp;" &gt; P96#"&amp;L153&amp;" &gt; "&amp;R153&amp;" "&amp;S153&amp;" "&amp;T153&amp;" &gt; "&amp;H153&amp;"#"&amp;I153&amp;" &gt; "&amp;F153&amp;" p"&amp;G153</f>
        <v/>
      </c>
      <c r="R153" s="9" t="inlineStr">
        <is>
          <t>ODF-08/09</t>
        </is>
      </c>
      <c r="S153" s="9" t="inlineStr">
        <is>
          <t>Trái</t>
        </is>
      </c>
      <c r="T153" s="9" t="inlineStr">
        <is>
          <t>H2-C5</t>
        </is>
      </c>
      <c r="U153" s="9" t="inlineStr">
        <is>
          <t>A-41</t>
        </is>
      </c>
    </row>
    <row r="154">
      <c r="A154" s="149" t="inlineStr">
        <is>
          <t>A-12A-13</t>
        </is>
      </c>
      <c r="B154" s="99" t="inlineStr">
        <is>
          <t>A</t>
        </is>
      </c>
      <c r="C154" s="99" t="inlineStr">
        <is>
          <t>12A</t>
        </is>
      </c>
      <c r="D154" s="99" t="n">
        <v>13</v>
      </c>
      <c r="E154" s="99" t="inlineStr">
        <is>
          <t>TU-A12</t>
        </is>
      </c>
      <c r="F154" s="99" t="inlineStr">
        <is>
          <t>TU-A12/S3</t>
        </is>
      </c>
      <c r="G154" s="99" t="n">
        <v>13</v>
      </c>
      <c r="H154" s="99" t="inlineStr">
        <is>
          <t>TR-A2</t>
        </is>
      </c>
      <c r="I154" s="99" t="n">
        <v>11</v>
      </c>
      <c r="J154" s="99" t="inlineStr">
        <is>
          <t>Ống 2 Cam / Xám</t>
        </is>
      </c>
      <c r="K154" s="99" t="inlineStr">
        <is>
          <t>S4-05</t>
        </is>
      </c>
      <c r="L154" s="99" t="inlineStr">
        <is>
          <t>A-19</t>
        </is>
      </c>
      <c r="M154" s="99" t="inlineStr">
        <is>
          <t>PON-05</t>
        </is>
      </c>
      <c r="N154" s="99" t="inlineStr">
        <is>
          <t>Chưa lắp</t>
        </is>
      </c>
      <c r="O154" s="149" t="n"/>
      <c r="P154" s="150" t="n"/>
      <c r="Q154" s="13">
        <f>M154&amp;" &gt; P96#"&amp;U154&amp;" &gt; "&amp;K154&amp;" &gt; P96#"&amp;L154&amp;" &gt; "&amp;R154&amp;" "&amp;S154&amp;" "&amp;T154&amp;" &gt; "&amp;H154&amp;"#"&amp;I154&amp;" &gt; "&amp;F154&amp;" p"&amp;G154</f>
        <v/>
      </c>
      <c r="R154" s="9" t="inlineStr">
        <is>
          <t>ODF-08/09</t>
        </is>
      </c>
      <c r="S154" s="9" t="inlineStr">
        <is>
          <t>Trái</t>
        </is>
      </c>
      <c r="T154" s="9" t="inlineStr">
        <is>
          <t>H2-C5</t>
        </is>
      </c>
      <c r="U154" s="9" t="inlineStr">
        <is>
          <t>A-41</t>
        </is>
      </c>
    </row>
    <row r="155">
      <c r="A155" s="149" t="inlineStr">
        <is>
          <t>A-12A-14</t>
        </is>
      </c>
      <c r="B155" s="99" t="inlineStr">
        <is>
          <t>A</t>
        </is>
      </c>
      <c r="C155" s="99" t="inlineStr">
        <is>
          <t>12A</t>
        </is>
      </c>
      <c r="D155" s="99" t="n">
        <v>14</v>
      </c>
      <c r="E155" s="99" t="inlineStr">
        <is>
          <t>TU-A12</t>
        </is>
      </c>
      <c r="F155" s="99" t="inlineStr">
        <is>
          <t>TU-A12/S3</t>
        </is>
      </c>
      <c r="G155" s="99" t="n">
        <v>14</v>
      </c>
      <c r="H155" s="99" t="inlineStr">
        <is>
          <t>TR-A2</t>
        </is>
      </c>
      <c r="I155" s="99" t="n">
        <v>11</v>
      </c>
      <c r="J155" s="99" t="inlineStr">
        <is>
          <t>Ống 2 Cam / Xám</t>
        </is>
      </c>
      <c r="K155" s="99" t="inlineStr">
        <is>
          <t>S4-05</t>
        </is>
      </c>
      <c r="L155" s="99" t="inlineStr">
        <is>
          <t>A-19</t>
        </is>
      </c>
      <c r="M155" s="99" t="inlineStr">
        <is>
          <t>PON-05</t>
        </is>
      </c>
      <c r="N155" s="99" t="inlineStr">
        <is>
          <t>Chưa lắp</t>
        </is>
      </c>
      <c r="O155" s="149" t="n"/>
      <c r="P155" s="150" t="n"/>
      <c r="Q155" s="13">
        <f>M155&amp;" &gt; P96#"&amp;U155&amp;" &gt; "&amp;K155&amp;" &gt; P96#"&amp;L155&amp;" &gt; "&amp;R155&amp;" "&amp;S155&amp;" "&amp;T155&amp;" &gt; "&amp;H155&amp;"#"&amp;I155&amp;" &gt; "&amp;F155&amp;" p"&amp;G155</f>
        <v/>
      </c>
      <c r="R155" s="9" t="inlineStr">
        <is>
          <t>ODF-08/09</t>
        </is>
      </c>
      <c r="S155" s="9" t="inlineStr">
        <is>
          <t>Trái</t>
        </is>
      </c>
      <c r="T155" s="9" t="inlineStr">
        <is>
          <t>H2-C5</t>
        </is>
      </c>
      <c r="U155" s="9" t="inlineStr">
        <is>
          <t>A-41</t>
        </is>
      </c>
    </row>
    <row r="156">
      <c r="A156" s="151" t="inlineStr">
        <is>
          <t>A-12-01</t>
        </is>
      </c>
      <c r="B156" s="102" t="inlineStr">
        <is>
          <t>A</t>
        </is>
      </c>
      <c r="C156" s="102" t="inlineStr">
        <is>
          <t>12</t>
        </is>
      </c>
      <c r="D156" s="102" t="n">
        <v>1</v>
      </c>
      <c r="E156" s="102" t="inlineStr">
        <is>
          <t>TU-A12</t>
        </is>
      </c>
      <c r="F156" s="102" t="inlineStr">
        <is>
          <t>TU-A12/S2</t>
        </is>
      </c>
      <c r="G156" s="102" t="n">
        <v>1</v>
      </c>
      <c r="H156" s="102" t="inlineStr">
        <is>
          <t>TR-A2</t>
        </is>
      </c>
      <c r="I156" s="102" t="n">
        <v>10</v>
      </c>
      <c r="J156" s="102" t="inlineStr">
        <is>
          <t>Ống 2 Cam / Nâu</t>
        </is>
      </c>
      <c r="K156" s="102" t="inlineStr">
        <is>
          <t>S4-05</t>
        </is>
      </c>
      <c r="L156" s="102" t="inlineStr">
        <is>
          <t>A-18</t>
        </is>
      </c>
      <c r="M156" s="102" t="inlineStr">
        <is>
          <t>PON-05</t>
        </is>
      </c>
      <c r="N156" s="102" t="inlineStr">
        <is>
          <t>Chưa lắp</t>
        </is>
      </c>
      <c r="O156" s="151" t="n"/>
      <c r="P156" s="152" t="n"/>
      <c r="Q156" s="13">
        <f>M156&amp;" &gt; P96#"&amp;U156&amp;" &gt; "&amp;K156&amp;" &gt; P96#"&amp;L156&amp;" &gt; "&amp;R156&amp;" "&amp;S156&amp;" "&amp;T156&amp;" &gt; "&amp;H156&amp;"#"&amp;I156&amp;" &gt; "&amp;F156&amp;" p"&amp;G156</f>
        <v/>
      </c>
      <c r="R156" s="9" t="inlineStr">
        <is>
          <t>ODF-08/09</t>
        </is>
      </c>
      <c r="S156" s="9" t="inlineStr">
        <is>
          <t>Trái</t>
        </is>
      </c>
      <c r="T156" s="9" t="inlineStr">
        <is>
          <t>H2-C4</t>
        </is>
      </c>
      <c r="U156" s="9" t="inlineStr">
        <is>
          <t>A-41</t>
        </is>
      </c>
    </row>
    <row r="157">
      <c r="A157" s="151" t="inlineStr">
        <is>
          <t>A-12-02</t>
        </is>
      </c>
      <c r="B157" s="102" t="inlineStr">
        <is>
          <t>A</t>
        </is>
      </c>
      <c r="C157" s="102" t="inlineStr">
        <is>
          <t>12</t>
        </is>
      </c>
      <c r="D157" s="102" t="n">
        <v>2</v>
      </c>
      <c r="E157" s="102" t="inlineStr">
        <is>
          <t>TU-A12</t>
        </is>
      </c>
      <c r="F157" s="102" t="inlineStr">
        <is>
          <t>TU-A12/S2</t>
        </is>
      </c>
      <c r="G157" s="102" t="n">
        <v>2</v>
      </c>
      <c r="H157" s="102" t="inlineStr">
        <is>
          <t>TR-A2</t>
        </is>
      </c>
      <c r="I157" s="102" t="n">
        <v>10</v>
      </c>
      <c r="J157" s="102" t="inlineStr">
        <is>
          <t>Ống 2 Cam / Nâu</t>
        </is>
      </c>
      <c r="K157" s="102" t="inlineStr">
        <is>
          <t>S4-05</t>
        </is>
      </c>
      <c r="L157" s="102" t="inlineStr">
        <is>
          <t>A-18</t>
        </is>
      </c>
      <c r="M157" s="102" t="inlineStr">
        <is>
          <t>PON-05</t>
        </is>
      </c>
      <c r="N157" s="102" t="inlineStr">
        <is>
          <t>Chưa lắp</t>
        </is>
      </c>
      <c r="O157" s="151" t="n"/>
      <c r="P157" s="152" t="n"/>
      <c r="Q157" s="13">
        <f>M157&amp;" &gt; P96#"&amp;U157&amp;" &gt; "&amp;K157&amp;" &gt; P96#"&amp;L157&amp;" &gt; "&amp;R157&amp;" "&amp;S157&amp;" "&amp;T157&amp;" &gt; "&amp;H157&amp;"#"&amp;I157&amp;" &gt; "&amp;F157&amp;" p"&amp;G157</f>
        <v/>
      </c>
      <c r="R157" s="9" t="inlineStr">
        <is>
          <t>ODF-08/09</t>
        </is>
      </c>
      <c r="S157" s="9" t="inlineStr">
        <is>
          <t>Trái</t>
        </is>
      </c>
      <c r="T157" s="9" t="inlineStr">
        <is>
          <t>H2-C4</t>
        </is>
      </c>
      <c r="U157" s="9" t="inlineStr">
        <is>
          <t>A-41</t>
        </is>
      </c>
    </row>
    <row r="158">
      <c r="A158" s="151" t="inlineStr">
        <is>
          <t>A-12-03</t>
        </is>
      </c>
      <c r="B158" s="102" t="inlineStr">
        <is>
          <t>A</t>
        </is>
      </c>
      <c r="C158" s="102" t="inlineStr">
        <is>
          <t>12</t>
        </is>
      </c>
      <c r="D158" s="102" t="n">
        <v>3</v>
      </c>
      <c r="E158" s="102" t="inlineStr">
        <is>
          <t>TU-A12</t>
        </is>
      </c>
      <c r="F158" s="102" t="inlineStr">
        <is>
          <t>TU-A12/S2</t>
        </is>
      </c>
      <c r="G158" s="102" t="n">
        <v>3</v>
      </c>
      <c r="H158" s="102" t="inlineStr">
        <is>
          <t>TR-A2</t>
        </is>
      </c>
      <c r="I158" s="102" t="n">
        <v>10</v>
      </c>
      <c r="J158" s="102" t="inlineStr">
        <is>
          <t>Ống 2 Cam / Nâu</t>
        </is>
      </c>
      <c r="K158" s="102" t="inlineStr">
        <is>
          <t>S4-05</t>
        </is>
      </c>
      <c r="L158" s="102" t="inlineStr">
        <is>
          <t>A-18</t>
        </is>
      </c>
      <c r="M158" s="102" t="inlineStr">
        <is>
          <t>PON-05</t>
        </is>
      </c>
      <c r="N158" s="102" t="inlineStr">
        <is>
          <t>Chưa lắp</t>
        </is>
      </c>
      <c r="O158" s="151" t="n"/>
      <c r="P158" s="152" t="n"/>
      <c r="Q158" s="13">
        <f>M158&amp;" &gt; P96#"&amp;U158&amp;" &gt; "&amp;K158&amp;" &gt; P96#"&amp;L158&amp;" &gt; "&amp;R158&amp;" "&amp;S158&amp;" "&amp;T158&amp;" &gt; "&amp;H158&amp;"#"&amp;I158&amp;" &gt; "&amp;F158&amp;" p"&amp;G158</f>
        <v/>
      </c>
      <c r="R158" s="9" t="inlineStr">
        <is>
          <t>ODF-08/09</t>
        </is>
      </c>
      <c r="S158" s="9" t="inlineStr">
        <is>
          <t>Trái</t>
        </is>
      </c>
      <c r="T158" s="9" t="inlineStr">
        <is>
          <t>H2-C4</t>
        </is>
      </c>
      <c r="U158" s="9" t="inlineStr">
        <is>
          <t>A-41</t>
        </is>
      </c>
    </row>
    <row r="159">
      <c r="A159" s="151" t="inlineStr">
        <is>
          <t>A-12-04</t>
        </is>
      </c>
      <c r="B159" s="102" t="inlineStr">
        <is>
          <t>A</t>
        </is>
      </c>
      <c r="C159" s="102" t="inlineStr">
        <is>
          <t>12</t>
        </is>
      </c>
      <c r="D159" s="102" t="n">
        <v>4</v>
      </c>
      <c r="E159" s="102" t="inlineStr">
        <is>
          <t>TU-A12</t>
        </is>
      </c>
      <c r="F159" s="102" t="inlineStr">
        <is>
          <t>TU-A12/S2</t>
        </is>
      </c>
      <c r="G159" s="102" t="n">
        <v>4</v>
      </c>
      <c r="H159" s="102" t="inlineStr">
        <is>
          <t>TR-A2</t>
        </is>
      </c>
      <c r="I159" s="102" t="n">
        <v>10</v>
      </c>
      <c r="J159" s="102" t="inlineStr">
        <is>
          <t>Ống 2 Cam / Nâu</t>
        </is>
      </c>
      <c r="K159" s="102" t="inlineStr">
        <is>
          <t>S4-05</t>
        </is>
      </c>
      <c r="L159" s="102" t="inlineStr">
        <is>
          <t>A-18</t>
        </is>
      </c>
      <c r="M159" s="102" t="inlineStr">
        <is>
          <t>PON-05</t>
        </is>
      </c>
      <c r="N159" s="102" t="inlineStr">
        <is>
          <t>Chưa lắp</t>
        </is>
      </c>
      <c r="O159" s="151" t="n"/>
      <c r="P159" s="152" t="n"/>
      <c r="Q159" s="13">
        <f>M159&amp;" &gt; P96#"&amp;U159&amp;" &gt; "&amp;K159&amp;" &gt; P96#"&amp;L159&amp;" &gt; "&amp;R159&amp;" "&amp;S159&amp;" "&amp;T159&amp;" &gt; "&amp;H159&amp;"#"&amp;I159&amp;" &gt; "&amp;F159&amp;" p"&amp;G159</f>
        <v/>
      </c>
      <c r="R159" s="9" t="inlineStr">
        <is>
          <t>ODF-08/09</t>
        </is>
      </c>
      <c r="S159" s="9" t="inlineStr">
        <is>
          <t>Trái</t>
        </is>
      </c>
      <c r="T159" s="9" t="inlineStr">
        <is>
          <t>H2-C4</t>
        </is>
      </c>
      <c r="U159" s="9" t="inlineStr">
        <is>
          <t>A-41</t>
        </is>
      </c>
    </row>
    <row r="160">
      <c r="A160" s="151" t="inlineStr">
        <is>
          <t>A-12-05</t>
        </is>
      </c>
      <c r="B160" s="102" t="inlineStr">
        <is>
          <t>A</t>
        </is>
      </c>
      <c r="C160" s="102" t="inlineStr">
        <is>
          <t>12</t>
        </is>
      </c>
      <c r="D160" s="102" t="n">
        <v>5</v>
      </c>
      <c r="E160" s="102" t="inlineStr">
        <is>
          <t>TU-A12</t>
        </is>
      </c>
      <c r="F160" s="102" t="inlineStr">
        <is>
          <t>TU-A12/S2</t>
        </is>
      </c>
      <c r="G160" s="102" t="n">
        <v>5</v>
      </c>
      <c r="H160" s="102" t="inlineStr">
        <is>
          <t>TR-A2</t>
        </is>
      </c>
      <c r="I160" s="102" t="n">
        <v>10</v>
      </c>
      <c r="J160" s="102" t="inlineStr">
        <is>
          <t>Ống 2 Cam / Nâu</t>
        </is>
      </c>
      <c r="K160" s="102" t="inlineStr">
        <is>
          <t>S4-05</t>
        </is>
      </c>
      <c r="L160" s="102" t="inlineStr">
        <is>
          <t>A-18</t>
        </is>
      </c>
      <c r="M160" s="102" t="inlineStr">
        <is>
          <t>PON-05</t>
        </is>
      </c>
      <c r="N160" s="102" t="inlineStr">
        <is>
          <t>Chưa lắp</t>
        </is>
      </c>
      <c r="O160" s="151" t="n"/>
      <c r="P160" s="152" t="n"/>
      <c r="Q160" s="13">
        <f>M160&amp;" &gt; P96#"&amp;U160&amp;" &gt; "&amp;K160&amp;" &gt; P96#"&amp;L160&amp;" &gt; "&amp;R160&amp;" "&amp;S160&amp;" "&amp;T160&amp;" &gt; "&amp;H160&amp;"#"&amp;I160&amp;" &gt; "&amp;F160&amp;" p"&amp;G160</f>
        <v/>
      </c>
      <c r="R160" s="9" t="inlineStr">
        <is>
          <t>ODF-08/09</t>
        </is>
      </c>
      <c r="S160" s="9" t="inlineStr">
        <is>
          <t>Trái</t>
        </is>
      </c>
      <c r="T160" s="9" t="inlineStr">
        <is>
          <t>H2-C4</t>
        </is>
      </c>
      <c r="U160" s="9" t="inlineStr">
        <is>
          <t>A-41</t>
        </is>
      </c>
    </row>
    <row r="161">
      <c r="A161" s="151" t="inlineStr">
        <is>
          <t>A-12-06</t>
        </is>
      </c>
      <c r="B161" s="102" t="inlineStr">
        <is>
          <t>A</t>
        </is>
      </c>
      <c r="C161" s="102" t="inlineStr">
        <is>
          <t>12</t>
        </is>
      </c>
      <c r="D161" s="102" t="n">
        <v>6</v>
      </c>
      <c r="E161" s="102" t="inlineStr">
        <is>
          <t>TU-A12</t>
        </is>
      </c>
      <c r="F161" s="102" t="inlineStr">
        <is>
          <t>TU-A12/S2</t>
        </is>
      </c>
      <c r="G161" s="102" t="n">
        <v>6</v>
      </c>
      <c r="H161" s="102" t="inlineStr">
        <is>
          <t>TR-A2</t>
        </is>
      </c>
      <c r="I161" s="102" t="n">
        <v>10</v>
      </c>
      <c r="J161" s="102" t="inlineStr">
        <is>
          <t>Ống 2 Cam / Nâu</t>
        </is>
      </c>
      <c r="K161" s="102" t="inlineStr">
        <is>
          <t>S4-05</t>
        </is>
      </c>
      <c r="L161" s="102" t="inlineStr">
        <is>
          <t>A-18</t>
        </is>
      </c>
      <c r="M161" s="102" t="inlineStr">
        <is>
          <t>PON-05</t>
        </is>
      </c>
      <c r="N161" s="102" t="inlineStr">
        <is>
          <t>Chưa lắp</t>
        </is>
      </c>
      <c r="O161" s="151" t="n"/>
      <c r="P161" s="152" t="n"/>
      <c r="Q161" s="13">
        <f>M161&amp;" &gt; P96#"&amp;U161&amp;" &gt; "&amp;K161&amp;" &gt; P96#"&amp;L161&amp;" &gt; "&amp;R161&amp;" "&amp;S161&amp;" "&amp;T161&amp;" &gt; "&amp;H161&amp;"#"&amp;I161&amp;" &gt; "&amp;F161&amp;" p"&amp;G161</f>
        <v/>
      </c>
      <c r="R161" s="9" t="inlineStr">
        <is>
          <t>ODF-08/09</t>
        </is>
      </c>
      <c r="S161" s="9" t="inlineStr">
        <is>
          <t>Trái</t>
        </is>
      </c>
      <c r="T161" s="9" t="inlineStr">
        <is>
          <t>H2-C4</t>
        </is>
      </c>
      <c r="U161" s="9" t="inlineStr">
        <is>
          <t>A-41</t>
        </is>
      </c>
    </row>
    <row r="162">
      <c r="A162" s="151" t="inlineStr">
        <is>
          <t>A-12-07</t>
        </is>
      </c>
      <c r="B162" s="102" t="inlineStr">
        <is>
          <t>A</t>
        </is>
      </c>
      <c r="C162" s="102" t="inlineStr">
        <is>
          <t>12</t>
        </is>
      </c>
      <c r="D162" s="102" t="n">
        <v>7</v>
      </c>
      <c r="E162" s="102" t="inlineStr">
        <is>
          <t>TU-A12</t>
        </is>
      </c>
      <c r="F162" s="102" t="inlineStr">
        <is>
          <t>TU-A12/S2</t>
        </is>
      </c>
      <c r="G162" s="102" t="n">
        <v>7</v>
      </c>
      <c r="H162" s="102" t="inlineStr">
        <is>
          <t>TR-A2</t>
        </is>
      </c>
      <c r="I162" s="102" t="n">
        <v>10</v>
      </c>
      <c r="J162" s="102" t="inlineStr">
        <is>
          <t>Ống 2 Cam / Nâu</t>
        </is>
      </c>
      <c r="K162" s="102" t="inlineStr">
        <is>
          <t>S4-05</t>
        </is>
      </c>
      <c r="L162" s="102" t="inlineStr">
        <is>
          <t>A-18</t>
        </is>
      </c>
      <c r="M162" s="102" t="inlineStr">
        <is>
          <t>PON-05</t>
        </is>
      </c>
      <c r="N162" s="102" t="inlineStr">
        <is>
          <t>Chưa lắp</t>
        </is>
      </c>
      <c r="O162" s="151" t="n"/>
      <c r="P162" s="152" t="n"/>
      <c r="Q162" s="13">
        <f>M162&amp;" &gt; P96#"&amp;U162&amp;" &gt; "&amp;K162&amp;" &gt; P96#"&amp;L162&amp;" &gt; "&amp;R162&amp;" "&amp;S162&amp;" "&amp;T162&amp;" &gt; "&amp;H162&amp;"#"&amp;I162&amp;" &gt; "&amp;F162&amp;" p"&amp;G162</f>
        <v/>
      </c>
      <c r="R162" s="9" t="inlineStr">
        <is>
          <t>ODF-08/09</t>
        </is>
      </c>
      <c r="S162" s="9" t="inlineStr">
        <is>
          <t>Trái</t>
        </is>
      </c>
      <c r="T162" s="9" t="inlineStr">
        <is>
          <t>H2-C4</t>
        </is>
      </c>
      <c r="U162" s="9" t="inlineStr">
        <is>
          <t>A-41</t>
        </is>
      </c>
    </row>
    <row r="163">
      <c r="A163" s="151" t="inlineStr">
        <is>
          <t>A-12-08</t>
        </is>
      </c>
      <c r="B163" s="102" t="inlineStr">
        <is>
          <t>A</t>
        </is>
      </c>
      <c r="C163" s="102" t="inlineStr">
        <is>
          <t>12</t>
        </is>
      </c>
      <c r="D163" s="102" t="n">
        <v>8</v>
      </c>
      <c r="E163" s="102" t="inlineStr">
        <is>
          <t>TU-A12</t>
        </is>
      </c>
      <c r="F163" s="102" t="inlineStr">
        <is>
          <t>TU-A12/S2</t>
        </is>
      </c>
      <c r="G163" s="102" t="n">
        <v>8</v>
      </c>
      <c r="H163" s="102" t="inlineStr">
        <is>
          <t>TR-A2</t>
        </is>
      </c>
      <c r="I163" s="102" t="n">
        <v>10</v>
      </c>
      <c r="J163" s="102" t="inlineStr">
        <is>
          <t>Ống 2 Cam / Nâu</t>
        </is>
      </c>
      <c r="K163" s="102" t="inlineStr">
        <is>
          <t>S4-05</t>
        </is>
      </c>
      <c r="L163" s="102" t="inlineStr">
        <is>
          <t>A-18</t>
        </is>
      </c>
      <c r="M163" s="102" t="inlineStr">
        <is>
          <t>PON-05</t>
        </is>
      </c>
      <c r="N163" s="102" t="inlineStr">
        <is>
          <t>Chưa lắp</t>
        </is>
      </c>
      <c r="O163" s="151" t="n"/>
      <c r="P163" s="152" t="n"/>
      <c r="Q163" s="13">
        <f>M163&amp;" &gt; P96#"&amp;U163&amp;" &gt; "&amp;K163&amp;" &gt; P96#"&amp;L163&amp;" &gt; "&amp;R163&amp;" "&amp;S163&amp;" "&amp;T163&amp;" &gt; "&amp;H163&amp;"#"&amp;I163&amp;" &gt; "&amp;F163&amp;" p"&amp;G163</f>
        <v/>
      </c>
      <c r="R163" s="9" t="inlineStr">
        <is>
          <t>ODF-08/09</t>
        </is>
      </c>
      <c r="S163" s="9" t="inlineStr">
        <is>
          <t>Trái</t>
        </is>
      </c>
      <c r="T163" s="9" t="inlineStr">
        <is>
          <t>H2-C4</t>
        </is>
      </c>
      <c r="U163" s="9" t="inlineStr">
        <is>
          <t>A-41</t>
        </is>
      </c>
    </row>
    <row r="164">
      <c r="A164" s="151" t="inlineStr">
        <is>
          <t>A-12-09</t>
        </is>
      </c>
      <c r="B164" s="102" t="inlineStr">
        <is>
          <t>A</t>
        </is>
      </c>
      <c r="C164" s="102" t="inlineStr">
        <is>
          <t>12</t>
        </is>
      </c>
      <c r="D164" s="102" t="n">
        <v>9</v>
      </c>
      <c r="E164" s="102" t="inlineStr">
        <is>
          <t>TU-A12</t>
        </is>
      </c>
      <c r="F164" s="102" t="inlineStr">
        <is>
          <t>TU-A12/S2</t>
        </is>
      </c>
      <c r="G164" s="102" t="n">
        <v>9</v>
      </c>
      <c r="H164" s="102" t="inlineStr">
        <is>
          <t>TR-A2</t>
        </is>
      </c>
      <c r="I164" s="102" t="n">
        <v>10</v>
      </c>
      <c r="J164" s="102" t="inlineStr">
        <is>
          <t>Ống 2 Cam / Nâu</t>
        </is>
      </c>
      <c r="K164" s="102" t="inlineStr">
        <is>
          <t>S4-05</t>
        </is>
      </c>
      <c r="L164" s="102" t="inlineStr">
        <is>
          <t>A-18</t>
        </is>
      </c>
      <c r="M164" s="102" t="inlineStr">
        <is>
          <t>PON-05</t>
        </is>
      </c>
      <c r="N164" s="102" t="inlineStr">
        <is>
          <t>Chưa lắp</t>
        </is>
      </c>
      <c r="O164" s="151" t="n"/>
      <c r="P164" s="152" t="n"/>
      <c r="Q164" s="13">
        <f>M164&amp;" &gt; P96#"&amp;U164&amp;" &gt; "&amp;K164&amp;" &gt; P96#"&amp;L164&amp;" &gt; "&amp;R164&amp;" "&amp;S164&amp;" "&amp;T164&amp;" &gt; "&amp;H164&amp;"#"&amp;I164&amp;" &gt; "&amp;F164&amp;" p"&amp;G164</f>
        <v/>
      </c>
      <c r="R164" s="9" t="inlineStr">
        <is>
          <t>ODF-08/09</t>
        </is>
      </c>
      <c r="S164" s="9" t="inlineStr">
        <is>
          <t>Trái</t>
        </is>
      </c>
      <c r="T164" s="9" t="inlineStr">
        <is>
          <t>H2-C4</t>
        </is>
      </c>
      <c r="U164" s="9" t="inlineStr">
        <is>
          <t>A-41</t>
        </is>
      </c>
    </row>
    <row r="165">
      <c r="A165" s="151" t="inlineStr">
        <is>
          <t>A-12-10</t>
        </is>
      </c>
      <c r="B165" s="102" t="inlineStr">
        <is>
          <t>A</t>
        </is>
      </c>
      <c r="C165" s="102" t="inlineStr">
        <is>
          <t>12</t>
        </is>
      </c>
      <c r="D165" s="102" t="n">
        <v>10</v>
      </c>
      <c r="E165" s="102" t="inlineStr">
        <is>
          <t>TU-A12</t>
        </is>
      </c>
      <c r="F165" s="102" t="inlineStr">
        <is>
          <t>TU-A12/S2</t>
        </is>
      </c>
      <c r="G165" s="102" t="n">
        <v>10</v>
      </c>
      <c r="H165" s="102" t="inlineStr">
        <is>
          <t>TR-A2</t>
        </is>
      </c>
      <c r="I165" s="102" t="n">
        <v>10</v>
      </c>
      <c r="J165" s="102" t="inlineStr">
        <is>
          <t>Ống 2 Cam / Nâu</t>
        </is>
      </c>
      <c r="K165" s="102" t="inlineStr">
        <is>
          <t>S4-05</t>
        </is>
      </c>
      <c r="L165" s="102" t="inlineStr">
        <is>
          <t>A-18</t>
        </is>
      </c>
      <c r="M165" s="102" t="inlineStr">
        <is>
          <t>PON-05</t>
        </is>
      </c>
      <c r="N165" s="102" t="inlineStr">
        <is>
          <t>Chưa lắp</t>
        </is>
      </c>
      <c r="O165" s="151" t="n"/>
      <c r="P165" s="152" t="n"/>
      <c r="Q165" s="13">
        <f>M165&amp;" &gt; P96#"&amp;U165&amp;" &gt; "&amp;K165&amp;" &gt; P96#"&amp;L165&amp;" &gt; "&amp;R165&amp;" "&amp;S165&amp;" "&amp;T165&amp;" &gt; "&amp;H165&amp;"#"&amp;I165&amp;" &gt; "&amp;F165&amp;" p"&amp;G165</f>
        <v/>
      </c>
      <c r="R165" s="9" t="inlineStr">
        <is>
          <t>ODF-08/09</t>
        </is>
      </c>
      <c r="S165" s="9" t="inlineStr">
        <is>
          <t>Trái</t>
        </is>
      </c>
      <c r="T165" s="9" t="inlineStr">
        <is>
          <t>H2-C4</t>
        </is>
      </c>
      <c r="U165" s="9" t="inlineStr">
        <is>
          <t>A-41</t>
        </is>
      </c>
    </row>
    <row r="166">
      <c r="A166" s="151" t="inlineStr">
        <is>
          <t>A-12-11</t>
        </is>
      </c>
      <c r="B166" s="102" t="inlineStr">
        <is>
          <t>A</t>
        </is>
      </c>
      <c r="C166" s="102" t="inlineStr">
        <is>
          <t>12</t>
        </is>
      </c>
      <c r="D166" s="102" t="n">
        <v>11</v>
      </c>
      <c r="E166" s="102" t="inlineStr">
        <is>
          <t>TU-A12</t>
        </is>
      </c>
      <c r="F166" s="102" t="inlineStr">
        <is>
          <t>TU-A12/S2</t>
        </is>
      </c>
      <c r="G166" s="102" t="n">
        <v>11</v>
      </c>
      <c r="H166" s="102" t="inlineStr">
        <is>
          <t>TR-A2</t>
        </is>
      </c>
      <c r="I166" s="102" t="n">
        <v>10</v>
      </c>
      <c r="J166" s="102" t="inlineStr">
        <is>
          <t>Ống 2 Cam / Nâu</t>
        </is>
      </c>
      <c r="K166" s="102" t="inlineStr">
        <is>
          <t>S4-05</t>
        </is>
      </c>
      <c r="L166" s="102" t="inlineStr">
        <is>
          <t>A-18</t>
        </is>
      </c>
      <c r="M166" s="102" t="inlineStr">
        <is>
          <t>PON-05</t>
        </is>
      </c>
      <c r="N166" s="102" t="inlineStr">
        <is>
          <t>Chưa lắp</t>
        </is>
      </c>
      <c r="O166" s="151" t="n"/>
      <c r="P166" s="152" t="n"/>
      <c r="Q166" s="13">
        <f>M166&amp;" &gt; P96#"&amp;U166&amp;" &gt; "&amp;K166&amp;" &gt; P96#"&amp;L166&amp;" &gt; "&amp;R166&amp;" "&amp;S166&amp;" "&amp;T166&amp;" &gt; "&amp;H166&amp;"#"&amp;I166&amp;" &gt; "&amp;F166&amp;" p"&amp;G166</f>
        <v/>
      </c>
      <c r="R166" s="9" t="inlineStr">
        <is>
          <t>ODF-08/09</t>
        </is>
      </c>
      <c r="S166" s="9" t="inlineStr">
        <is>
          <t>Trái</t>
        </is>
      </c>
      <c r="T166" s="9" t="inlineStr">
        <is>
          <t>H2-C4</t>
        </is>
      </c>
      <c r="U166" s="9" t="inlineStr">
        <is>
          <t>A-41</t>
        </is>
      </c>
    </row>
    <row r="167">
      <c r="A167" s="151" t="inlineStr">
        <is>
          <t>A-12-12</t>
        </is>
      </c>
      <c r="B167" s="102" t="inlineStr">
        <is>
          <t>A</t>
        </is>
      </c>
      <c r="C167" s="102" t="inlineStr">
        <is>
          <t>12</t>
        </is>
      </c>
      <c r="D167" s="102" t="n">
        <v>12</v>
      </c>
      <c r="E167" s="102" t="inlineStr">
        <is>
          <t>TU-A12</t>
        </is>
      </c>
      <c r="F167" s="102" t="inlineStr">
        <is>
          <t>TU-A12/S2</t>
        </is>
      </c>
      <c r="G167" s="102" t="n">
        <v>12</v>
      </c>
      <c r="H167" s="102" t="inlineStr">
        <is>
          <t>TR-A2</t>
        </is>
      </c>
      <c r="I167" s="102" t="n">
        <v>10</v>
      </c>
      <c r="J167" s="102" t="inlineStr">
        <is>
          <t>Ống 2 Cam / Nâu</t>
        </is>
      </c>
      <c r="K167" s="102" t="inlineStr">
        <is>
          <t>S4-05</t>
        </is>
      </c>
      <c r="L167" s="102" t="inlineStr">
        <is>
          <t>A-18</t>
        </is>
      </c>
      <c r="M167" s="102" t="inlineStr">
        <is>
          <t>PON-05</t>
        </is>
      </c>
      <c r="N167" s="102" t="inlineStr">
        <is>
          <t>Chưa lắp</t>
        </is>
      </c>
      <c r="O167" s="151" t="n"/>
      <c r="P167" s="152" t="n"/>
      <c r="Q167" s="13">
        <f>M167&amp;" &gt; P96#"&amp;U167&amp;" &gt; "&amp;K167&amp;" &gt; P96#"&amp;L167&amp;" &gt; "&amp;R167&amp;" "&amp;S167&amp;" "&amp;T167&amp;" &gt; "&amp;H167&amp;"#"&amp;I167&amp;" &gt; "&amp;F167&amp;" p"&amp;G167</f>
        <v/>
      </c>
      <c r="R167" s="9" t="inlineStr">
        <is>
          <t>ODF-08/09</t>
        </is>
      </c>
      <c r="S167" s="9" t="inlineStr">
        <is>
          <t>Trái</t>
        </is>
      </c>
      <c r="T167" s="9" t="inlineStr">
        <is>
          <t>H2-C4</t>
        </is>
      </c>
      <c r="U167" s="9" t="inlineStr">
        <is>
          <t>A-41</t>
        </is>
      </c>
    </row>
    <row r="168">
      <c r="A168" s="151" t="inlineStr">
        <is>
          <t>A-12-13</t>
        </is>
      </c>
      <c r="B168" s="102" t="inlineStr">
        <is>
          <t>A</t>
        </is>
      </c>
      <c r="C168" s="102" t="inlineStr">
        <is>
          <t>12</t>
        </is>
      </c>
      <c r="D168" s="102" t="n">
        <v>13</v>
      </c>
      <c r="E168" s="102" t="inlineStr">
        <is>
          <t>TU-A12</t>
        </is>
      </c>
      <c r="F168" s="102" t="inlineStr">
        <is>
          <t>TU-A12/S2</t>
        </is>
      </c>
      <c r="G168" s="102" t="n">
        <v>13</v>
      </c>
      <c r="H168" s="102" t="inlineStr">
        <is>
          <t>TR-A2</t>
        </is>
      </c>
      <c r="I168" s="102" t="n">
        <v>10</v>
      </c>
      <c r="J168" s="102" t="inlineStr">
        <is>
          <t>Ống 2 Cam / Nâu</t>
        </is>
      </c>
      <c r="K168" s="102" t="inlineStr">
        <is>
          <t>S4-05</t>
        </is>
      </c>
      <c r="L168" s="102" t="inlineStr">
        <is>
          <t>A-18</t>
        </is>
      </c>
      <c r="M168" s="102" t="inlineStr">
        <is>
          <t>PON-05</t>
        </is>
      </c>
      <c r="N168" s="102" t="inlineStr">
        <is>
          <t>Chưa lắp</t>
        </is>
      </c>
      <c r="O168" s="151" t="n"/>
      <c r="P168" s="152" t="n"/>
      <c r="Q168" s="13">
        <f>M168&amp;" &gt; P96#"&amp;U168&amp;" &gt; "&amp;K168&amp;" &gt; P96#"&amp;L168&amp;" &gt; "&amp;R168&amp;" "&amp;S168&amp;" "&amp;T168&amp;" &gt; "&amp;H168&amp;"#"&amp;I168&amp;" &gt; "&amp;F168&amp;" p"&amp;G168</f>
        <v/>
      </c>
      <c r="R168" s="9" t="inlineStr">
        <is>
          <t>ODF-08/09</t>
        </is>
      </c>
      <c r="S168" s="9" t="inlineStr">
        <is>
          <t>Trái</t>
        </is>
      </c>
      <c r="T168" s="9" t="inlineStr">
        <is>
          <t>H2-C4</t>
        </is>
      </c>
      <c r="U168" s="9" t="inlineStr">
        <is>
          <t>A-41</t>
        </is>
      </c>
    </row>
    <row r="169">
      <c r="A169" s="151" t="inlineStr">
        <is>
          <t>A-12-14</t>
        </is>
      </c>
      <c r="B169" s="102" t="inlineStr">
        <is>
          <t>A</t>
        </is>
      </c>
      <c r="C169" s="102" t="inlineStr">
        <is>
          <t>12</t>
        </is>
      </c>
      <c r="D169" s="102" t="n">
        <v>14</v>
      </c>
      <c r="E169" s="102" t="inlineStr">
        <is>
          <t>TU-A12</t>
        </is>
      </c>
      <c r="F169" s="102" t="inlineStr">
        <is>
          <t>TU-A12/S2</t>
        </is>
      </c>
      <c r="G169" s="102" t="n">
        <v>14</v>
      </c>
      <c r="H169" s="102" t="inlineStr">
        <is>
          <t>TR-A2</t>
        </is>
      </c>
      <c r="I169" s="102" t="n">
        <v>10</v>
      </c>
      <c r="J169" s="102" t="inlineStr">
        <is>
          <t>Ống 2 Cam / Nâu</t>
        </is>
      </c>
      <c r="K169" s="102" t="inlineStr">
        <is>
          <t>S4-05</t>
        </is>
      </c>
      <c r="L169" s="102" t="inlineStr">
        <is>
          <t>A-18</t>
        </is>
      </c>
      <c r="M169" s="102" t="inlineStr">
        <is>
          <t>PON-05</t>
        </is>
      </c>
      <c r="N169" s="102" t="inlineStr">
        <is>
          <t>Chưa lắp</t>
        </is>
      </c>
      <c r="O169" s="151" t="n"/>
      <c r="P169" s="152" t="n"/>
      <c r="Q169" s="13">
        <f>M169&amp;" &gt; P96#"&amp;U169&amp;" &gt; "&amp;K169&amp;" &gt; P96#"&amp;L169&amp;" &gt; "&amp;R169&amp;" "&amp;S169&amp;" "&amp;T169&amp;" &gt; "&amp;H169&amp;"#"&amp;I169&amp;" &gt; "&amp;F169&amp;" p"&amp;G169</f>
        <v/>
      </c>
      <c r="R169" s="9" t="inlineStr">
        <is>
          <t>ODF-08/09</t>
        </is>
      </c>
      <c r="S169" s="9" t="inlineStr">
        <is>
          <t>Trái</t>
        </is>
      </c>
      <c r="T169" s="9" t="inlineStr">
        <is>
          <t>H2-C4</t>
        </is>
      </c>
      <c r="U169" s="9" t="inlineStr">
        <is>
          <t>A-41</t>
        </is>
      </c>
    </row>
    <row r="170">
      <c r="A170" s="149" t="inlineStr">
        <is>
          <t>A-12-15</t>
        </is>
      </c>
      <c r="B170" s="99" t="inlineStr">
        <is>
          <t>A</t>
        </is>
      </c>
      <c r="C170" s="99" t="inlineStr">
        <is>
          <t>12</t>
        </is>
      </c>
      <c r="D170" s="99" t="n">
        <v>15</v>
      </c>
      <c r="E170" s="99" t="inlineStr">
        <is>
          <t>TU-A12</t>
        </is>
      </c>
      <c r="F170" s="99" t="inlineStr">
        <is>
          <t>TU-A12/S2</t>
        </is>
      </c>
      <c r="G170" s="99" t="n">
        <v>15</v>
      </c>
      <c r="H170" s="99" t="inlineStr">
        <is>
          <t>TR-A2</t>
        </is>
      </c>
      <c r="I170" s="99" t="n">
        <v>10</v>
      </c>
      <c r="J170" s="99" t="inlineStr">
        <is>
          <t>Ống 2 Cam / Nâu</t>
        </is>
      </c>
      <c r="K170" s="99" t="inlineStr">
        <is>
          <t>S4-05</t>
        </is>
      </c>
      <c r="L170" s="99" t="inlineStr">
        <is>
          <t>A-18</t>
        </is>
      </c>
      <c r="M170" s="99" t="inlineStr">
        <is>
          <t>PON-05</t>
        </is>
      </c>
      <c r="N170" s="99" t="inlineStr">
        <is>
          <t>Chưa lắp</t>
        </is>
      </c>
      <c r="O170" s="149" t="n"/>
      <c r="P170" s="150" t="n"/>
      <c r="Q170" s="13">
        <f>M170&amp;" &gt; P96#"&amp;U170&amp;" &gt; "&amp;K170&amp;" &gt; P96#"&amp;L170&amp;" &gt; "&amp;R170&amp;" "&amp;S170&amp;" "&amp;T170&amp;" &gt; "&amp;H170&amp;"#"&amp;I170&amp;" &gt; "&amp;F170&amp;" p"&amp;G170</f>
        <v/>
      </c>
      <c r="R170" s="9" t="inlineStr">
        <is>
          <t>ODF-08/09</t>
        </is>
      </c>
      <c r="S170" s="9" t="inlineStr">
        <is>
          <t>Trái</t>
        </is>
      </c>
      <c r="T170" s="9" t="inlineStr">
        <is>
          <t>H2-C4</t>
        </is>
      </c>
      <c r="U170" s="9" t="inlineStr">
        <is>
          <t>A-41</t>
        </is>
      </c>
    </row>
    <row r="171">
      <c r="A171" s="149" t="inlineStr">
        <is>
          <t>A-11-01</t>
        </is>
      </c>
      <c r="B171" s="99" t="inlineStr">
        <is>
          <t>A</t>
        </is>
      </c>
      <c r="C171" s="99" t="inlineStr">
        <is>
          <t>11</t>
        </is>
      </c>
      <c r="D171" s="99" t="n">
        <v>1</v>
      </c>
      <c r="E171" s="99" t="inlineStr">
        <is>
          <t>TU-A12</t>
        </is>
      </c>
      <c r="F171" s="99" t="inlineStr">
        <is>
          <t>TU-A12/S1</t>
        </is>
      </c>
      <c r="G171" s="99" t="n">
        <v>1</v>
      </c>
      <c r="H171" s="99" t="inlineStr">
        <is>
          <t>TR-A2</t>
        </is>
      </c>
      <c r="I171" s="99" t="n">
        <v>9</v>
      </c>
      <c r="J171" s="99" t="inlineStr">
        <is>
          <t>Ống 2 Cam / Xanh lá</t>
        </is>
      </c>
      <c r="K171" s="99" t="inlineStr">
        <is>
          <t>S4-05</t>
        </is>
      </c>
      <c r="L171" s="99" t="inlineStr">
        <is>
          <t>A-17</t>
        </is>
      </c>
      <c r="M171" s="99" t="inlineStr">
        <is>
          <t>PON-05</t>
        </is>
      </c>
      <c r="N171" s="99" t="inlineStr">
        <is>
          <t>Chưa lắp</t>
        </is>
      </c>
      <c r="O171" s="149" t="n"/>
      <c r="P171" s="150" t="n"/>
      <c r="Q171" s="13">
        <f>M171&amp;" &gt; P96#"&amp;U171&amp;" &gt; "&amp;K171&amp;" &gt; P96#"&amp;L171&amp;" &gt; "&amp;R171&amp;" "&amp;S171&amp;" "&amp;T171&amp;" &gt; "&amp;H171&amp;"#"&amp;I171&amp;" &gt; "&amp;F171&amp;" p"&amp;G171</f>
        <v/>
      </c>
      <c r="R171" s="9" t="inlineStr">
        <is>
          <t>ODF-08/09</t>
        </is>
      </c>
      <c r="S171" s="9" t="inlineStr">
        <is>
          <t>Trái</t>
        </is>
      </c>
      <c r="T171" s="9" t="inlineStr">
        <is>
          <t>H2-C3</t>
        </is>
      </c>
      <c r="U171" s="9" t="inlineStr">
        <is>
          <t>A-41</t>
        </is>
      </c>
    </row>
    <row r="172">
      <c r="A172" s="149" t="inlineStr">
        <is>
          <t>A-11-02</t>
        </is>
      </c>
      <c r="B172" s="99" t="inlineStr">
        <is>
          <t>A</t>
        </is>
      </c>
      <c r="C172" s="99" t="inlineStr">
        <is>
          <t>11</t>
        </is>
      </c>
      <c r="D172" s="99" t="n">
        <v>2</v>
      </c>
      <c r="E172" s="99" t="inlineStr">
        <is>
          <t>TU-A12</t>
        </is>
      </c>
      <c r="F172" s="99" t="inlineStr">
        <is>
          <t>TU-A12/S1</t>
        </is>
      </c>
      <c r="G172" s="99" t="n">
        <v>2</v>
      </c>
      <c r="H172" s="99" t="inlineStr">
        <is>
          <t>TR-A2</t>
        </is>
      </c>
      <c r="I172" s="99" t="n">
        <v>9</v>
      </c>
      <c r="J172" s="99" t="inlineStr">
        <is>
          <t>Ống 2 Cam / Xanh lá</t>
        </is>
      </c>
      <c r="K172" s="99" t="inlineStr">
        <is>
          <t>S4-05</t>
        </is>
      </c>
      <c r="L172" s="99" t="inlineStr">
        <is>
          <t>A-17</t>
        </is>
      </c>
      <c r="M172" s="99" t="inlineStr">
        <is>
          <t>PON-05</t>
        </is>
      </c>
      <c r="N172" s="99" t="inlineStr">
        <is>
          <t>Chưa lắp</t>
        </is>
      </c>
      <c r="O172" s="149" t="n"/>
      <c r="P172" s="150" t="n"/>
      <c r="Q172" s="13">
        <f>M172&amp;" &gt; P96#"&amp;U172&amp;" &gt; "&amp;K172&amp;" &gt; P96#"&amp;L172&amp;" &gt; "&amp;R172&amp;" "&amp;S172&amp;" "&amp;T172&amp;" &gt; "&amp;H172&amp;"#"&amp;I172&amp;" &gt; "&amp;F172&amp;" p"&amp;G172</f>
        <v/>
      </c>
      <c r="R172" s="9" t="inlineStr">
        <is>
          <t>ODF-08/09</t>
        </is>
      </c>
      <c r="S172" s="9" t="inlineStr">
        <is>
          <t>Trái</t>
        </is>
      </c>
      <c r="T172" s="9" t="inlineStr">
        <is>
          <t>H2-C3</t>
        </is>
      </c>
      <c r="U172" s="9" t="inlineStr">
        <is>
          <t>A-41</t>
        </is>
      </c>
    </row>
    <row r="173">
      <c r="A173" s="149" t="inlineStr">
        <is>
          <t>A-11-03</t>
        </is>
      </c>
      <c r="B173" s="99" t="inlineStr">
        <is>
          <t>A</t>
        </is>
      </c>
      <c r="C173" s="99" t="inlineStr">
        <is>
          <t>11</t>
        </is>
      </c>
      <c r="D173" s="99" t="n">
        <v>3</v>
      </c>
      <c r="E173" s="99" t="inlineStr">
        <is>
          <t>TU-A12</t>
        </is>
      </c>
      <c r="F173" s="99" t="inlineStr">
        <is>
          <t>TU-A12/S1</t>
        </is>
      </c>
      <c r="G173" s="99" t="n">
        <v>3</v>
      </c>
      <c r="H173" s="99" t="inlineStr">
        <is>
          <t>TR-A2</t>
        </is>
      </c>
      <c r="I173" s="99" t="n">
        <v>9</v>
      </c>
      <c r="J173" s="99" t="inlineStr">
        <is>
          <t>Ống 2 Cam / Xanh lá</t>
        </is>
      </c>
      <c r="K173" s="99" t="inlineStr">
        <is>
          <t>S4-05</t>
        </is>
      </c>
      <c r="L173" s="99" t="inlineStr">
        <is>
          <t>A-17</t>
        </is>
      </c>
      <c r="M173" s="99" t="inlineStr">
        <is>
          <t>PON-05</t>
        </is>
      </c>
      <c r="N173" s="99" t="inlineStr">
        <is>
          <t>Chưa lắp</t>
        </is>
      </c>
      <c r="O173" s="149" t="n"/>
      <c r="P173" s="150" t="n"/>
      <c r="Q173" s="13">
        <f>M173&amp;" &gt; P96#"&amp;U173&amp;" &gt; "&amp;K173&amp;" &gt; P96#"&amp;L173&amp;" &gt; "&amp;R173&amp;" "&amp;S173&amp;" "&amp;T173&amp;" &gt; "&amp;H173&amp;"#"&amp;I173&amp;" &gt; "&amp;F173&amp;" p"&amp;G173</f>
        <v/>
      </c>
      <c r="R173" s="9" t="inlineStr">
        <is>
          <t>ODF-08/09</t>
        </is>
      </c>
      <c r="S173" s="9" t="inlineStr">
        <is>
          <t>Trái</t>
        </is>
      </c>
      <c r="T173" s="9" t="inlineStr">
        <is>
          <t>H2-C3</t>
        </is>
      </c>
      <c r="U173" s="9" t="inlineStr">
        <is>
          <t>A-41</t>
        </is>
      </c>
    </row>
    <row r="174">
      <c r="A174" s="149" t="inlineStr">
        <is>
          <t>A-11-04</t>
        </is>
      </c>
      <c r="B174" s="99" t="inlineStr">
        <is>
          <t>A</t>
        </is>
      </c>
      <c r="C174" s="99" t="inlineStr">
        <is>
          <t>11</t>
        </is>
      </c>
      <c r="D174" s="99" t="n">
        <v>4</v>
      </c>
      <c r="E174" s="99" t="inlineStr">
        <is>
          <t>TU-A12</t>
        </is>
      </c>
      <c r="F174" s="99" t="inlineStr">
        <is>
          <t>TU-A12/S1</t>
        </is>
      </c>
      <c r="G174" s="99" t="n">
        <v>4</v>
      </c>
      <c r="H174" s="99" t="inlineStr">
        <is>
          <t>TR-A2</t>
        </is>
      </c>
      <c r="I174" s="99" t="n">
        <v>9</v>
      </c>
      <c r="J174" s="99" t="inlineStr">
        <is>
          <t>Ống 2 Cam / Xanh lá</t>
        </is>
      </c>
      <c r="K174" s="99" t="inlineStr">
        <is>
          <t>S4-05</t>
        </is>
      </c>
      <c r="L174" s="99" t="inlineStr">
        <is>
          <t>A-17</t>
        </is>
      </c>
      <c r="M174" s="99" t="inlineStr">
        <is>
          <t>PON-05</t>
        </is>
      </c>
      <c r="N174" s="99" t="inlineStr">
        <is>
          <t>Chưa lắp</t>
        </is>
      </c>
      <c r="O174" s="149" t="n"/>
      <c r="P174" s="150" t="n"/>
      <c r="Q174" s="13">
        <f>M174&amp;" &gt; P96#"&amp;U174&amp;" &gt; "&amp;K174&amp;" &gt; P96#"&amp;L174&amp;" &gt; "&amp;R174&amp;" "&amp;S174&amp;" "&amp;T174&amp;" &gt; "&amp;H174&amp;"#"&amp;I174&amp;" &gt; "&amp;F174&amp;" p"&amp;G174</f>
        <v/>
      </c>
      <c r="R174" s="9" t="inlineStr">
        <is>
          <t>ODF-08/09</t>
        </is>
      </c>
      <c r="S174" s="9" t="inlineStr">
        <is>
          <t>Trái</t>
        </is>
      </c>
      <c r="T174" s="9" t="inlineStr">
        <is>
          <t>H2-C3</t>
        </is>
      </c>
      <c r="U174" s="9" t="inlineStr">
        <is>
          <t>A-41</t>
        </is>
      </c>
    </row>
    <row r="175">
      <c r="A175" s="149" t="inlineStr">
        <is>
          <t>A-11-05</t>
        </is>
      </c>
      <c r="B175" s="99" t="inlineStr">
        <is>
          <t>A</t>
        </is>
      </c>
      <c r="C175" s="99" t="inlineStr">
        <is>
          <t>11</t>
        </is>
      </c>
      <c r="D175" s="99" t="n">
        <v>5</v>
      </c>
      <c r="E175" s="99" t="inlineStr">
        <is>
          <t>TU-A12</t>
        </is>
      </c>
      <c r="F175" s="99" t="inlineStr">
        <is>
          <t>TU-A12/S1</t>
        </is>
      </c>
      <c r="G175" s="99" t="n">
        <v>5</v>
      </c>
      <c r="H175" s="99" t="inlineStr">
        <is>
          <t>TR-A2</t>
        </is>
      </c>
      <c r="I175" s="99" t="n">
        <v>9</v>
      </c>
      <c r="J175" s="99" t="inlineStr">
        <is>
          <t>Ống 2 Cam / Xanh lá</t>
        </is>
      </c>
      <c r="K175" s="99" t="inlineStr">
        <is>
          <t>S4-05</t>
        </is>
      </c>
      <c r="L175" s="99" t="inlineStr">
        <is>
          <t>A-17</t>
        </is>
      </c>
      <c r="M175" s="99" t="inlineStr">
        <is>
          <t>PON-05</t>
        </is>
      </c>
      <c r="N175" s="99" t="inlineStr">
        <is>
          <t>Chưa lắp</t>
        </is>
      </c>
      <c r="O175" s="149" t="n"/>
      <c r="P175" s="150" t="n"/>
      <c r="Q175" s="13">
        <f>M175&amp;" &gt; P96#"&amp;U175&amp;" &gt; "&amp;K175&amp;" &gt; P96#"&amp;L175&amp;" &gt; "&amp;R175&amp;" "&amp;S175&amp;" "&amp;T175&amp;" &gt; "&amp;H175&amp;"#"&amp;I175&amp;" &gt; "&amp;F175&amp;" p"&amp;G175</f>
        <v/>
      </c>
      <c r="R175" s="9" t="inlineStr">
        <is>
          <t>ODF-08/09</t>
        </is>
      </c>
      <c r="S175" s="9" t="inlineStr">
        <is>
          <t>Trái</t>
        </is>
      </c>
      <c r="T175" s="9" t="inlineStr">
        <is>
          <t>H2-C3</t>
        </is>
      </c>
      <c r="U175" s="9" t="inlineStr">
        <is>
          <t>A-41</t>
        </is>
      </c>
    </row>
    <row r="176">
      <c r="A176" s="149" t="inlineStr">
        <is>
          <t>A-11-06</t>
        </is>
      </c>
      <c r="B176" s="99" t="inlineStr">
        <is>
          <t>A</t>
        </is>
      </c>
      <c r="C176" s="99" t="inlineStr">
        <is>
          <t>11</t>
        </is>
      </c>
      <c r="D176" s="99" t="n">
        <v>6</v>
      </c>
      <c r="E176" s="99" t="inlineStr">
        <is>
          <t>TU-A12</t>
        </is>
      </c>
      <c r="F176" s="99" t="inlineStr">
        <is>
          <t>TU-A12/S1</t>
        </is>
      </c>
      <c r="G176" s="99" t="n">
        <v>6</v>
      </c>
      <c r="H176" s="99" t="inlineStr">
        <is>
          <t>TR-A2</t>
        </is>
      </c>
      <c r="I176" s="99" t="n">
        <v>9</v>
      </c>
      <c r="J176" s="99" t="inlineStr">
        <is>
          <t>Ống 2 Cam / Xanh lá</t>
        </is>
      </c>
      <c r="K176" s="99" t="inlineStr">
        <is>
          <t>S4-05</t>
        </is>
      </c>
      <c r="L176" s="99" t="inlineStr">
        <is>
          <t>A-17</t>
        </is>
      </c>
      <c r="M176" s="99" t="inlineStr">
        <is>
          <t>PON-05</t>
        </is>
      </c>
      <c r="N176" s="99" t="inlineStr">
        <is>
          <t>Chưa lắp</t>
        </is>
      </c>
      <c r="O176" s="149" t="n"/>
      <c r="P176" s="150" t="n"/>
      <c r="Q176" s="13">
        <f>M176&amp;" &gt; P96#"&amp;U176&amp;" &gt; "&amp;K176&amp;" &gt; P96#"&amp;L176&amp;" &gt; "&amp;R176&amp;" "&amp;S176&amp;" "&amp;T176&amp;" &gt; "&amp;H176&amp;"#"&amp;I176&amp;" &gt; "&amp;F176&amp;" p"&amp;G176</f>
        <v/>
      </c>
      <c r="R176" s="9" t="inlineStr">
        <is>
          <t>ODF-08/09</t>
        </is>
      </c>
      <c r="S176" s="9" t="inlineStr">
        <is>
          <t>Trái</t>
        </is>
      </c>
      <c r="T176" s="9" t="inlineStr">
        <is>
          <t>H2-C3</t>
        </is>
      </c>
      <c r="U176" s="9" t="inlineStr">
        <is>
          <t>A-41</t>
        </is>
      </c>
    </row>
    <row r="177">
      <c r="A177" s="149" t="inlineStr">
        <is>
          <t>A-11-07</t>
        </is>
      </c>
      <c r="B177" s="99" t="inlineStr">
        <is>
          <t>A</t>
        </is>
      </c>
      <c r="C177" s="99" t="inlineStr">
        <is>
          <t>11</t>
        </is>
      </c>
      <c r="D177" s="99" t="n">
        <v>7</v>
      </c>
      <c r="E177" s="99" t="inlineStr">
        <is>
          <t>TU-A12</t>
        </is>
      </c>
      <c r="F177" s="99" t="inlineStr">
        <is>
          <t>TU-A12/S1</t>
        </is>
      </c>
      <c r="G177" s="99" t="n">
        <v>7</v>
      </c>
      <c r="H177" s="99" t="inlineStr">
        <is>
          <t>TR-A2</t>
        </is>
      </c>
      <c r="I177" s="99" t="n">
        <v>9</v>
      </c>
      <c r="J177" s="99" t="inlineStr">
        <is>
          <t>Ống 2 Cam / Xanh lá</t>
        </is>
      </c>
      <c r="K177" s="99" t="inlineStr">
        <is>
          <t>S4-05</t>
        </is>
      </c>
      <c r="L177" s="99" t="inlineStr">
        <is>
          <t>A-17</t>
        </is>
      </c>
      <c r="M177" s="99" t="inlineStr">
        <is>
          <t>PON-05</t>
        </is>
      </c>
      <c r="N177" s="99" t="inlineStr">
        <is>
          <t>Chưa lắp</t>
        </is>
      </c>
      <c r="O177" s="149" t="n"/>
      <c r="P177" s="150" t="n"/>
      <c r="Q177" s="13">
        <f>M177&amp;" &gt; P96#"&amp;U177&amp;" &gt; "&amp;K177&amp;" &gt; P96#"&amp;L177&amp;" &gt; "&amp;R177&amp;" "&amp;S177&amp;" "&amp;T177&amp;" &gt; "&amp;H177&amp;"#"&amp;I177&amp;" &gt; "&amp;F177&amp;" p"&amp;G177</f>
        <v/>
      </c>
      <c r="R177" s="9" t="inlineStr">
        <is>
          <t>ODF-08/09</t>
        </is>
      </c>
      <c r="S177" s="9" t="inlineStr">
        <is>
          <t>Trái</t>
        </is>
      </c>
      <c r="T177" s="9" t="inlineStr">
        <is>
          <t>H2-C3</t>
        </is>
      </c>
      <c r="U177" s="9" t="inlineStr">
        <is>
          <t>A-41</t>
        </is>
      </c>
    </row>
    <row r="178">
      <c r="A178" s="149" t="inlineStr">
        <is>
          <t>A-11-08</t>
        </is>
      </c>
      <c r="B178" s="99" t="inlineStr">
        <is>
          <t>A</t>
        </is>
      </c>
      <c r="C178" s="99" t="inlineStr">
        <is>
          <t>11</t>
        </is>
      </c>
      <c r="D178" s="99" t="n">
        <v>8</v>
      </c>
      <c r="E178" s="99" t="inlineStr">
        <is>
          <t>TU-A12</t>
        </is>
      </c>
      <c r="F178" s="99" t="inlineStr">
        <is>
          <t>TU-A12/S1</t>
        </is>
      </c>
      <c r="G178" s="99" t="n">
        <v>8</v>
      </c>
      <c r="H178" s="99" t="inlineStr">
        <is>
          <t>TR-A2</t>
        </is>
      </c>
      <c r="I178" s="99" t="n">
        <v>9</v>
      </c>
      <c r="J178" s="99" t="inlineStr">
        <is>
          <t>Ống 2 Cam / Xanh lá</t>
        </is>
      </c>
      <c r="K178" s="99" t="inlineStr">
        <is>
          <t>S4-05</t>
        </is>
      </c>
      <c r="L178" s="99" t="inlineStr">
        <is>
          <t>A-17</t>
        </is>
      </c>
      <c r="M178" s="99" t="inlineStr">
        <is>
          <t>PON-05</t>
        </is>
      </c>
      <c r="N178" s="99" t="inlineStr">
        <is>
          <t>Chưa lắp</t>
        </is>
      </c>
      <c r="O178" s="149" t="n"/>
      <c r="P178" s="150" t="n"/>
      <c r="Q178" s="13">
        <f>M178&amp;" &gt; P96#"&amp;U178&amp;" &gt; "&amp;K178&amp;" &gt; P96#"&amp;L178&amp;" &gt; "&amp;R178&amp;" "&amp;S178&amp;" "&amp;T178&amp;" &gt; "&amp;H178&amp;"#"&amp;I178&amp;" &gt; "&amp;F178&amp;" p"&amp;G178</f>
        <v/>
      </c>
      <c r="R178" s="9" t="inlineStr">
        <is>
          <t>ODF-08/09</t>
        </is>
      </c>
      <c r="S178" s="9" t="inlineStr">
        <is>
          <t>Trái</t>
        </is>
      </c>
      <c r="T178" s="9" t="inlineStr">
        <is>
          <t>H2-C3</t>
        </is>
      </c>
      <c r="U178" s="9" t="inlineStr">
        <is>
          <t>A-41</t>
        </is>
      </c>
    </row>
    <row r="179">
      <c r="A179" s="149" t="inlineStr">
        <is>
          <t>A-11-09</t>
        </is>
      </c>
      <c r="B179" s="99" t="inlineStr">
        <is>
          <t>A</t>
        </is>
      </c>
      <c r="C179" s="99" t="inlineStr">
        <is>
          <t>11</t>
        </is>
      </c>
      <c r="D179" s="99" t="n">
        <v>9</v>
      </c>
      <c r="E179" s="99" t="inlineStr">
        <is>
          <t>TU-A12</t>
        </is>
      </c>
      <c r="F179" s="99" t="inlineStr">
        <is>
          <t>TU-A12/S1</t>
        </is>
      </c>
      <c r="G179" s="99" t="n">
        <v>9</v>
      </c>
      <c r="H179" s="99" t="inlineStr">
        <is>
          <t>TR-A2</t>
        </is>
      </c>
      <c r="I179" s="99" t="n">
        <v>9</v>
      </c>
      <c r="J179" s="99" t="inlineStr">
        <is>
          <t>Ống 2 Cam / Xanh lá</t>
        </is>
      </c>
      <c r="K179" s="99" t="inlineStr">
        <is>
          <t>S4-05</t>
        </is>
      </c>
      <c r="L179" s="99" t="inlineStr">
        <is>
          <t>A-17</t>
        </is>
      </c>
      <c r="M179" s="99" t="inlineStr">
        <is>
          <t>PON-05</t>
        </is>
      </c>
      <c r="N179" s="99" t="inlineStr">
        <is>
          <t>Chưa lắp</t>
        </is>
      </c>
      <c r="O179" s="149" t="n"/>
      <c r="P179" s="150" t="n"/>
      <c r="Q179" s="13">
        <f>M179&amp;" &gt; P96#"&amp;U179&amp;" &gt; "&amp;K179&amp;" &gt; P96#"&amp;L179&amp;" &gt; "&amp;R179&amp;" "&amp;S179&amp;" "&amp;T179&amp;" &gt; "&amp;H179&amp;"#"&amp;I179&amp;" &gt; "&amp;F179&amp;" p"&amp;G179</f>
        <v/>
      </c>
      <c r="R179" s="9" t="inlineStr">
        <is>
          <t>ODF-08/09</t>
        </is>
      </c>
      <c r="S179" s="9" t="inlineStr">
        <is>
          <t>Trái</t>
        </is>
      </c>
      <c r="T179" s="9" t="inlineStr">
        <is>
          <t>H2-C3</t>
        </is>
      </c>
      <c r="U179" s="9" t="inlineStr">
        <is>
          <t>A-41</t>
        </is>
      </c>
    </row>
    <row r="180">
      <c r="A180" s="149" t="inlineStr">
        <is>
          <t>A-11-10</t>
        </is>
      </c>
      <c r="B180" s="99" t="inlineStr">
        <is>
          <t>A</t>
        </is>
      </c>
      <c r="C180" s="99" t="inlineStr">
        <is>
          <t>11</t>
        </is>
      </c>
      <c r="D180" s="99" t="n">
        <v>10</v>
      </c>
      <c r="E180" s="99" t="inlineStr">
        <is>
          <t>TU-A12</t>
        </is>
      </c>
      <c r="F180" s="99" t="inlineStr">
        <is>
          <t>TU-A12/S1</t>
        </is>
      </c>
      <c r="G180" s="99" t="n">
        <v>10</v>
      </c>
      <c r="H180" s="99" t="inlineStr">
        <is>
          <t>TR-A2</t>
        </is>
      </c>
      <c r="I180" s="99" t="n">
        <v>9</v>
      </c>
      <c r="J180" s="99" t="inlineStr">
        <is>
          <t>Ống 2 Cam / Xanh lá</t>
        </is>
      </c>
      <c r="K180" s="99" t="inlineStr">
        <is>
          <t>S4-05</t>
        </is>
      </c>
      <c r="L180" s="99" t="inlineStr">
        <is>
          <t>A-17</t>
        </is>
      </c>
      <c r="M180" s="99" t="inlineStr">
        <is>
          <t>PON-05</t>
        </is>
      </c>
      <c r="N180" s="99" t="inlineStr">
        <is>
          <t>Chưa lắp</t>
        </is>
      </c>
      <c r="O180" s="149" t="n"/>
      <c r="P180" s="150" t="n"/>
      <c r="Q180" s="13">
        <f>M180&amp;" &gt; P96#"&amp;U180&amp;" &gt; "&amp;K180&amp;" &gt; P96#"&amp;L180&amp;" &gt; "&amp;R180&amp;" "&amp;S180&amp;" "&amp;T180&amp;" &gt; "&amp;H180&amp;"#"&amp;I180&amp;" &gt; "&amp;F180&amp;" p"&amp;G180</f>
        <v/>
      </c>
      <c r="R180" s="9" t="inlineStr">
        <is>
          <t>ODF-08/09</t>
        </is>
      </c>
      <c r="S180" s="9" t="inlineStr">
        <is>
          <t>Trái</t>
        </is>
      </c>
      <c r="T180" s="9" t="inlineStr">
        <is>
          <t>H2-C3</t>
        </is>
      </c>
      <c r="U180" s="9" t="inlineStr">
        <is>
          <t>A-41</t>
        </is>
      </c>
    </row>
    <row r="181">
      <c r="A181" s="149" t="inlineStr">
        <is>
          <t>A-11-11</t>
        </is>
      </c>
      <c r="B181" s="99" t="inlineStr">
        <is>
          <t>A</t>
        </is>
      </c>
      <c r="C181" s="99" t="inlineStr">
        <is>
          <t>11</t>
        </is>
      </c>
      <c r="D181" s="99" t="n">
        <v>11</v>
      </c>
      <c r="E181" s="99" t="inlineStr">
        <is>
          <t>TU-A12</t>
        </is>
      </c>
      <c r="F181" s="99" t="inlineStr">
        <is>
          <t>TU-A12/S1</t>
        </is>
      </c>
      <c r="G181" s="99" t="n">
        <v>11</v>
      </c>
      <c r="H181" s="99" t="inlineStr">
        <is>
          <t>TR-A2</t>
        </is>
      </c>
      <c r="I181" s="99" t="n">
        <v>9</v>
      </c>
      <c r="J181" s="99" t="inlineStr">
        <is>
          <t>Ống 2 Cam / Xanh lá</t>
        </is>
      </c>
      <c r="K181" s="99" t="inlineStr">
        <is>
          <t>S4-05</t>
        </is>
      </c>
      <c r="L181" s="99" t="inlineStr">
        <is>
          <t>A-17</t>
        </is>
      </c>
      <c r="M181" s="99" t="inlineStr">
        <is>
          <t>PON-05</t>
        </is>
      </c>
      <c r="N181" s="99" t="inlineStr">
        <is>
          <t>Chưa lắp</t>
        </is>
      </c>
      <c r="O181" s="149" t="n"/>
      <c r="P181" s="150" t="n"/>
      <c r="Q181" s="13">
        <f>M181&amp;" &gt; P96#"&amp;U181&amp;" &gt; "&amp;K181&amp;" &gt; P96#"&amp;L181&amp;" &gt; "&amp;R181&amp;" "&amp;S181&amp;" "&amp;T181&amp;" &gt; "&amp;H181&amp;"#"&amp;I181&amp;" &gt; "&amp;F181&amp;" p"&amp;G181</f>
        <v/>
      </c>
      <c r="R181" s="9" t="inlineStr">
        <is>
          <t>ODF-08/09</t>
        </is>
      </c>
      <c r="S181" s="9" t="inlineStr">
        <is>
          <t>Trái</t>
        </is>
      </c>
      <c r="T181" s="9" t="inlineStr">
        <is>
          <t>H2-C3</t>
        </is>
      </c>
      <c r="U181" s="9" t="inlineStr">
        <is>
          <t>A-41</t>
        </is>
      </c>
    </row>
    <row r="182">
      <c r="A182" s="149" t="inlineStr">
        <is>
          <t>A-11-12</t>
        </is>
      </c>
      <c r="B182" s="99" t="inlineStr">
        <is>
          <t>A</t>
        </is>
      </c>
      <c r="C182" s="99" t="inlineStr">
        <is>
          <t>11</t>
        </is>
      </c>
      <c r="D182" s="99" t="n">
        <v>12</v>
      </c>
      <c r="E182" s="99" t="inlineStr">
        <is>
          <t>TU-A12</t>
        </is>
      </c>
      <c r="F182" s="99" t="inlineStr">
        <is>
          <t>TU-A12/S1</t>
        </is>
      </c>
      <c r="G182" s="99" t="n">
        <v>12</v>
      </c>
      <c r="H182" s="99" t="inlineStr">
        <is>
          <t>TR-A2</t>
        </is>
      </c>
      <c r="I182" s="99" t="n">
        <v>9</v>
      </c>
      <c r="J182" s="99" t="inlineStr">
        <is>
          <t>Ống 2 Cam / Xanh lá</t>
        </is>
      </c>
      <c r="K182" s="99" t="inlineStr">
        <is>
          <t>S4-05</t>
        </is>
      </c>
      <c r="L182" s="99" t="inlineStr">
        <is>
          <t>A-17</t>
        </is>
      </c>
      <c r="M182" s="99" t="inlineStr">
        <is>
          <t>PON-05</t>
        </is>
      </c>
      <c r="N182" s="99" t="inlineStr">
        <is>
          <t>Chưa lắp</t>
        </is>
      </c>
      <c r="O182" s="149" t="n"/>
      <c r="P182" s="150" t="n"/>
      <c r="Q182" s="13">
        <f>M182&amp;" &gt; P96#"&amp;U182&amp;" &gt; "&amp;K182&amp;" &gt; P96#"&amp;L182&amp;" &gt; "&amp;R182&amp;" "&amp;S182&amp;" "&amp;T182&amp;" &gt; "&amp;H182&amp;"#"&amp;I182&amp;" &gt; "&amp;F182&amp;" p"&amp;G182</f>
        <v/>
      </c>
      <c r="R182" s="9" t="inlineStr">
        <is>
          <t>ODF-08/09</t>
        </is>
      </c>
      <c r="S182" s="9" t="inlineStr">
        <is>
          <t>Trái</t>
        </is>
      </c>
      <c r="T182" s="9" t="inlineStr">
        <is>
          <t>H2-C3</t>
        </is>
      </c>
      <c r="U182" s="9" t="inlineStr">
        <is>
          <t>A-41</t>
        </is>
      </c>
    </row>
    <row r="183">
      <c r="A183" s="149" t="inlineStr">
        <is>
          <t>A-11-13</t>
        </is>
      </c>
      <c r="B183" s="99" t="inlineStr">
        <is>
          <t>A</t>
        </is>
      </c>
      <c r="C183" s="99" t="inlineStr">
        <is>
          <t>11</t>
        </is>
      </c>
      <c r="D183" s="99" t="n">
        <v>13</v>
      </c>
      <c r="E183" s="99" t="inlineStr">
        <is>
          <t>TU-A12</t>
        </is>
      </c>
      <c r="F183" s="99" t="inlineStr">
        <is>
          <t>TU-A12/S1</t>
        </is>
      </c>
      <c r="G183" s="99" t="n">
        <v>13</v>
      </c>
      <c r="H183" s="99" t="inlineStr">
        <is>
          <t>TR-A2</t>
        </is>
      </c>
      <c r="I183" s="99" t="n">
        <v>9</v>
      </c>
      <c r="J183" s="99" t="inlineStr">
        <is>
          <t>Ống 2 Cam / Xanh lá</t>
        </is>
      </c>
      <c r="K183" s="99" t="inlineStr">
        <is>
          <t>S4-05</t>
        </is>
      </c>
      <c r="L183" s="99" t="inlineStr">
        <is>
          <t>A-17</t>
        </is>
      </c>
      <c r="M183" s="99" t="inlineStr">
        <is>
          <t>PON-05</t>
        </is>
      </c>
      <c r="N183" s="99" t="inlineStr">
        <is>
          <t>Chưa lắp</t>
        </is>
      </c>
      <c r="O183" s="149" t="n"/>
      <c r="P183" s="150" t="n"/>
      <c r="Q183" s="13">
        <f>M183&amp;" &gt; P96#"&amp;U183&amp;" &gt; "&amp;K183&amp;" &gt; P96#"&amp;L183&amp;" &gt; "&amp;R183&amp;" "&amp;S183&amp;" "&amp;T183&amp;" &gt; "&amp;H183&amp;"#"&amp;I183&amp;" &gt; "&amp;F183&amp;" p"&amp;G183</f>
        <v/>
      </c>
      <c r="R183" s="9" t="inlineStr">
        <is>
          <t>ODF-08/09</t>
        </is>
      </c>
      <c r="S183" s="9" t="inlineStr">
        <is>
          <t>Trái</t>
        </is>
      </c>
      <c r="T183" s="9" t="inlineStr">
        <is>
          <t>H2-C3</t>
        </is>
      </c>
      <c r="U183" s="9" t="inlineStr">
        <is>
          <t>A-41</t>
        </is>
      </c>
    </row>
    <row r="184">
      <c r="A184" s="151" t="inlineStr">
        <is>
          <t>A-11-14</t>
        </is>
      </c>
      <c r="B184" s="102" t="inlineStr">
        <is>
          <t>A</t>
        </is>
      </c>
      <c r="C184" s="102" t="inlineStr">
        <is>
          <t>11</t>
        </is>
      </c>
      <c r="D184" s="102" t="n">
        <v>14</v>
      </c>
      <c r="E184" s="102" t="inlineStr">
        <is>
          <t>TU-A12</t>
        </is>
      </c>
      <c r="F184" s="102" t="inlineStr">
        <is>
          <t>TU-A12/S1</t>
        </is>
      </c>
      <c r="G184" s="102" t="n">
        <v>14</v>
      </c>
      <c r="H184" s="102" t="inlineStr">
        <is>
          <t>TR-A2</t>
        </is>
      </c>
      <c r="I184" s="102" t="n">
        <v>9</v>
      </c>
      <c r="J184" s="102" t="inlineStr">
        <is>
          <t>Ống 2 Cam / Xanh lá</t>
        </is>
      </c>
      <c r="K184" s="102" t="inlineStr">
        <is>
          <t>S4-05</t>
        </is>
      </c>
      <c r="L184" s="102" t="inlineStr">
        <is>
          <t>A-17</t>
        </is>
      </c>
      <c r="M184" s="102" t="inlineStr">
        <is>
          <t>PON-05</t>
        </is>
      </c>
      <c r="N184" s="102" t="inlineStr">
        <is>
          <t>Chưa lắp</t>
        </is>
      </c>
      <c r="O184" s="151" t="n"/>
      <c r="P184" s="152" t="n"/>
      <c r="Q184" s="13">
        <f>M184&amp;" &gt; P96#"&amp;U184&amp;" &gt; "&amp;K184&amp;" &gt; P96#"&amp;L184&amp;" &gt; "&amp;R184&amp;" "&amp;S184&amp;" "&amp;T184&amp;" &gt; "&amp;H184&amp;"#"&amp;I184&amp;" &gt; "&amp;F184&amp;" p"&amp;G184</f>
        <v/>
      </c>
      <c r="R184" s="9" t="inlineStr">
        <is>
          <t>ODF-08/09</t>
        </is>
      </c>
      <c r="S184" s="9" t="inlineStr">
        <is>
          <t>Trái</t>
        </is>
      </c>
      <c r="T184" s="9" t="inlineStr">
        <is>
          <t>H2-C3</t>
        </is>
      </c>
      <c r="U184" s="9" t="inlineStr">
        <is>
          <t>A-41</t>
        </is>
      </c>
    </row>
    <row r="185">
      <c r="A185" s="151" t="inlineStr">
        <is>
          <t>A-11-15</t>
        </is>
      </c>
      <c r="B185" s="102" t="inlineStr">
        <is>
          <t>A</t>
        </is>
      </c>
      <c r="C185" s="102" t="inlineStr">
        <is>
          <t>11</t>
        </is>
      </c>
      <c r="D185" s="102" t="n">
        <v>15</v>
      </c>
      <c r="E185" s="102" t="inlineStr">
        <is>
          <t>TU-A12</t>
        </is>
      </c>
      <c r="F185" s="102" t="inlineStr">
        <is>
          <t>TU-A12/S1</t>
        </is>
      </c>
      <c r="G185" s="102" t="n">
        <v>15</v>
      </c>
      <c r="H185" s="102" t="inlineStr">
        <is>
          <t>TR-A2</t>
        </is>
      </c>
      <c r="I185" s="102" t="n">
        <v>9</v>
      </c>
      <c r="J185" s="102" t="inlineStr">
        <is>
          <t>Ống 2 Cam / Xanh lá</t>
        </is>
      </c>
      <c r="K185" s="102" t="inlineStr">
        <is>
          <t>S4-05</t>
        </is>
      </c>
      <c r="L185" s="102" t="inlineStr">
        <is>
          <t>A-17</t>
        </is>
      </c>
      <c r="M185" s="102" t="inlineStr">
        <is>
          <t>PON-05</t>
        </is>
      </c>
      <c r="N185" s="102" t="inlineStr">
        <is>
          <t>Chưa lắp</t>
        </is>
      </c>
      <c r="O185" s="151" t="n"/>
      <c r="P185" s="152" t="n"/>
      <c r="Q185" s="13">
        <f>M185&amp;" &gt; P96#"&amp;U185&amp;" &gt; "&amp;K185&amp;" &gt; P96#"&amp;L185&amp;" &gt; "&amp;R185&amp;" "&amp;S185&amp;" "&amp;T185&amp;" &gt; "&amp;H185&amp;"#"&amp;I185&amp;" &gt; "&amp;F185&amp;" p"&amp;G185</f>
        <v/>
      </c>
      <c r="R185" s="9" t="inlineStr">
        <is>
          <t>ODF-08/09</t>
        </is>
      </c>
      <c r="S185" s="9" t="inlineStr">
        <is>
          <t>Trái</t>
        </is>
      </c>
      <c r="T185" s="9" t="inlineStr">
        <is>
          <t>H2-C3</t>
        </is>
      </c>
      <c r="U185" s="9" t="inlineStr">
        <is>
          <t>A-41</t>
        </is>
      </c>
    </row>
    <row r="186">
      <c r="A186" s="151" t="inlineStr">
        <is>
          <t>A-10-01</t>
        </is>
      </c>
      <c r="B186" s="102" t="inlineStr">
        <is>
          <t>A</t>
        </is>
      </c>
      <c r="C186" s="102" t="inlineStr">
        <is>
          <t>10</t>
        </is>
      </c>
      <c r="D186" s="102" t="n">
        <v>1</v>
      </c>
      <c r="E186" s="102" t="inlineStr">
        <is>
          <t>TU-A9</t>
        </is>
      </c>
      <c r="F186" s="102" t="inlineStr">
        <is>
          <t>TU-A9/S3</t>
        </is>
      </c>
      <c r="G186" s="102" t="n">
        <v>1</v>
      </c>
      <c r="H186" s="102" t="inlineStr">
        <is>
          <t>TR-A2</t>
        </is>
      </c>
      <c r="I186" s="102" t="n">
        <v>3</v>
      </c>
      <c r="J186" s="102" t="inlineStr">
        <is>
          <t>Ống 1 Xanh dương / Xanh lá</t>
        </is>
      </c>
      <c r="K186" s="102" t="inlineStr">
        <is>
          <t>S4-04</t>
        </is>
      </c>
      <c r="L186" s="102" t="inlineStr">
        <is>
          <t>A-15</t>
        </is>
      </c>
      <c r="M186" s="102" t="inlineStr">
        <is>
          <t>PON-04</t>
        </is>
      </c>
      <c r="N186" s="102" t="inlineStr">
        <is>
          <t>Chưa lắp</t>
        </is>
      </c>
      <c r="O186" s="151" t="n"/>
      <c r="P186" s="152" t="n"/>
      <c r="Q186" s="13">
        <f>M186&amp;" &gt; P96#"&amp;U186&amp;" &gt; "&amp;K186&amp;" &gt; P96#"&amp;L186&amp;" &gt; "&amp;R186&amp;" "&amp;S186&amp;" "&amp;T186&amp;" &gt; "&amp;H186&amp;"#"&amp;I186&amp;" &gt; "&amp;F186&amp;" p"&amp;G186</f>
        <v/>
      </c>
      <c r="R186" s="9" t="inlineStr">
        <is>
          <t>ODF-08/09</t>
        </is>
      </c>
      <c r="S186" s="9" t="inlineStr">
        <is>
          <t>Trái</t>
        </is>
      </c>
      <c r="T186" s="9" t="inlineStr">
        <is>
          <t>H1-C3</t>
        </is>
      </c>
      <c r="U186" s="9" t="inlineStr">
        <is>
          <t>A-40</t>
        </is>
      </c>
    </row>
    <row r="187">
      <c r="A187" s="151" t="inlineStr">
        <is>
          <t>A-10-02</t>
        </is>
      </c>
      <c r="B187" s="102" t="inlineStr">
        <is>
          <t>A</t>
        </is>
      </c>
      <c r="C187" s="102" t="inlineStr">
        <is>
          <t>10</t>
        </is>
      </c>
      <c r="D187" s="102" t="n">
        <v>2</v>
      </c>
      <c r="E187" s="102" t="inlineStr">
        <is>
          <t>TU-A9</t>
        </is>
      </c>
      <c r="F187" s="102" t="inlineStr">
        <is>
          <t>TU-A9/S3</t>
        </is>
      </c>
      <c r="G187" s="102" t="n">
        <v>2</v>
      </c>
      <c r="H187" s="102" t="inlineStr">
        <is>
          <t>TR-A2</t>
        </is>
      </c>
      <c r="I187" s="102" t="n">
        <v>3</v>
      </c>
      <c r="J187" s="102" t="inlineStr">
        <is>
          <t>Ống 1 Xanh dương / Xanh lá</t>
        </is>
      </c>
      <c r="K187" s="102" t="inlineStr">
        <is>
          <t>S4-04</t>
        </is>
      </c>
      <c r="L187" s="102" t="inlineStr">
        <is>
          <t>A-15</t>
        </is>
      </c>
      <c r="M187" s="102" t="inlineStr">
        <is>
          <t>PON-04</t>
        </is>
      </c>
      <c r="N187" s="102" t="inlineStr">
        <is>
          <t>Chưa lắp</t>
        </is>
      </c>
      <c r="O187" s="151" t="n"/>
      <c r="P187" s="152" t="n"/>
      <c r="Q187" s="13">
        <f>M187&amp;" &gt; P96#"&amp;U187&amp;" &gt; "&amp;K187&amp;" &gt; P96#"&amp;L187&amp;" &gt; "&amp;R187&amp;" "&amp;S187&amp;" "&amp;T187&amp;" &gt; "&amp;H187&amp;"#"&amp;I187&amp;" &gt; "&amp;F187&amp;" p"&amp;G187</f>
        <v/>
      </c>
      <c r="R187" s="9" t="inlineStr">
        <is>
          <t>ODF-08/09</t>
        </is>
      </c>
      <c r="S187" s="9" t="inlineStr">
        <is>
          <t>Trái</t>
        </is>
      </c>
      <c r="T187" s="9" t="inlineStr">
        <is>
          <t>H1-C3</t>
        </is>
      </c>
      <c r="U187" s="9" t="inlineStr">
        <is>
          <t>A-40</t>
        </is>
      </c>
    </row>
    <row r="188">
      <c r="A188" s="151" t="inlineStr">
        <is>
          <t>A-10-03</t>
        </is>
      </c>
      <c r="B188" s="102" t="inlineStr">
        <is>
          <t>A</t>
        </is>
      </c>
      <c r="C188" s="102" t="inlineStr">
        <is>
          <t>10</t>
        </is>
      </c>
      <c r="D188" s="102" t="n">
        <v>3</v>
      </c>
      <c r="E188" s="102" t="inlineStr">
        <is>
          <t>TU-A9</t>
        </is>
      </c>
      <c r="F188" s="102" t="inlineStr">
        <is>
          <t>TU-A9/S3</t>
        </is>
      </c>
      <c r="G188" s="102" t="n">
        <v>3</v>
      </c>
      <c r="H188" s="102" t="inlineStr">
        <is>
          <t>TR-A2</t>
        </is>
      </c>
      <c r="I188" s="102" t="n">
        <v>3</v>
      </c>
      <c r="J188" s="102" t="inlineStr">
        <is>
          <t>Ống 1 Xanh dương / Xanh lá</t>
        </is>
      </c>
      <c r="K188" s="102" t="inlineStr">
        <is>
          <t>S4-04</t>
        </is>
      </c>
      <c r="L188" s="102" t="inlineStr">
        <is>
          <t>A-15</t>
        </is>
      </c>
      <c r="M188" s="102" t="inlineStr">
        <is>
          <t>PON-04</t>
        </is>
      </c>
      <c r="N188" s="102" t="inlineStr">
        <is>
          <t>Chưa lắp</t>
        </is>
      </c>
      <c r="O188" s="151" t="n"/>
      <c r="P188" s="152" t="n"/>
      <c r="Q188" s="13">
        <f>M188&amp;" &gt; P96#"&amp;U188&amp;" &gt; "&amp;K188&amp;" &gt; P96#"&amp;L188&amp;" &gt; "&amp;R188&amp;" "&amp;S188&amp;" "&amp;T188&amp;" &gt; "&amp;H188&amp;"#"&amp;I188&amp;" &gt; "&amp;F188&amp;" p"&amp;G188</f>
        <v/>
      </c>
      <c r="R188" s="9" t="inlineStr">
        <is>
          <t>ODF-08/09</t>
        </is>
      </c>
      <c r="S188" s="9" t="inlineStr">
        <is>
          <t>Trái</t>
        </is>
      </c>
      <c r="T188" s="9" t="inlineStr">
        <is>
          <t>H1-C3</t>
        </is>
      </c>
      <c r="U188" s="9" t="inlineStr">
        <is>
          <t>A-40</t>
        </is>
      </c>
    </row>
    <row r="189">
      <c r="A189" s="151" t="inlineStr">
        <is>
          <t>A-10-04</t>
        </is>
      </c>
      <c r="B189" s="102" t="inlineStr">
        <is>
          <t>A</t>
        </is>
      </c>
      <c r="C189" s="102" t="inlineStr">
        <is>
          <t>10</t>
        </is>
      </c>
      <c r="D189" s="102" t="n">
        <v>4</v>
      </c>
      <c r="E189" s="102" t="inlineStr">
        <is>
          <t>TU-A9</t>
        </is>
      </c>
      <c r="F189" s="102" t="inlineStr">
        <is>
          <t>TU-A9/S3</t>
        </is>
      </c>
      <c r="G189" s="102" t="n">
        <v>4</v>
      </c>
      <c r="H189" s="102" t="inlineStr">
        <is>
          <t>TR-A2</t>
        </is>
      </c>
      <c r="I189" s="102" t="n">
        <v>3</v>
      </c>
      <c r="J189" s="102" t="inlineStr">
        <is>
          <t>Ống 1 Xanh dương / Xanh lá</t>
        </is>
      </c>
      <c r="K189" s="102" t="inlineStr">
        <is>
          <t>S4-04</t>
        </is>
      </c>
      <c r="L189" s="102" t="inlineStr">
        <is>
          <t>A-15</t>
        </is>
      </c>
      <c r="M189" s="102" t="inlineStr">
        <is>
          <t>PON-04</t>
        </is>
      </c>
      <c r="N189" s="102" t="inlineStr">
        <is>
          <t>Chưa lắp</t>
        </is>
      </c>
      <c r="O189" s="151" t="n"/>
      <c r="P189" s="152" t="n"/>
      <c r="Q189" s="13">
        <f>M189&amp;" &gt; P96#"&amp;U189&amp;" &gt; "&amp;K189&amp;" &gt; P96#"&amp;L189&amp;" &gt; "&amp;R189&amp;" "&amp;S189&amp;" "&amp;T189&amp;" &gt; "&amp;H189&amp;"#"&amp;I189&amp;" &gt; "&amp;F189&amp;" p"&amp;G189</f>
        <v/>
      </c>
      <c r="R189" s="9" t="inlineStr">
        <is>
          <t>ODF-08/09</t>
        </is>
      </c>
      <c r="S189" s="9" t="inlineStr">
        <is>
          <t>Trái</t>
        </is>
      </c>
      <c r="T189" s="9" t="inlineStr">
        <is>
          <t>H1-C3</t>
        </is>
      </c>
      <c r="U189" s="9" t="inlineStr">
        <is>
          <t>A-40</t>
        </is>
      </c>
    </row>
    <row r="190">
      <c r="A190" s="151" t="inlineStr">
        <is>
          <t>A-10-05</t>
        </is>
      </c>
      <c r="B190" s="102" t="inlineStr">
        <is>
          <t>A</t>
        </is>
      </c>
      <c r="C190" s="102" t="inlineStr">
        <is>
          <t>10</t>
        </is>
      </c>
      <c r="D190" s="102" t="n">
        <v>5</v>
      </c>
      <c r="E190" s="102" t="inlineStr">
        <is>
          <t>TU-A9</t>
        </is>
      </c>
      <c r="F190" s="102" t="inlineStr">
        <is>
          <t>TU-A9/S3</t>
        </is>
      </c>
      <c r="G190" s="102" t="n">
        <v>5</v>
      </c>
      <c r="H190" s="102" t="inlineStr">
        <is>
          <t>TR-A2</t>
        </is>
      </c>
      <c r="I190" s="102" t="n">
        <v>3</v>
      </c>
      <c r="J190" s="102" t="inlineStr">
        <is>
          <t>Ống 1 Xanh dương / Xanh lá</t>
        </is>
      </c>
      <c r="K190" s="102" t="inlineStr">
        <is>
          <t>S4-04</t>
        </is>
      </c>
      <c r="L190" s="102" t="inlineStr">
        <is>
          <t>A-15</t>
        </is>
      </c>
      <c r="M190" s="102" t="inlineStr">
        <is>
          <t>PON-04</t>
        </is>
      </c>
      <c r="N190" s="102" t="inlineStr">
        <is>
          <t>Chưa lắp</t>
        </is>
      </c>
      <c r="O190" s="151" t="n"/>
      <c r="P190" s="152" t="n"/>
      <c r="Q190" s="13">
        <f>M190&amp;" &gt; P96#"&amp;U190&amp;" &gt; "&amp;K190&amp;" &gt; P96#"&amp;L190&amp;" &gt; "&amp;R190&amp;" "&amp;S190&amp;" "&amp;T190&amp;" &gt; "&amp;H190&amp;"#"&amp;I190&amp;" &gt; "&amp;F190&amp;" p"&amp;G190</f>
        <v/>
      </c>
      <c r="R190" s="9" t="inlineStr">
        <is>
          <t>ODF-08/09</t>
        </is>
      </c>
      <c r="S190" s="9" t="inlineStr">
        <is>
          <t>Trái</t>
        </is>
      </c>
      <c r="T190" s="9" t="inlineStr">
        <is>
          <t>H1-C3</t>
        </is>
      </c>
      <c r="U190" s="9" t="inlineStr">
        <is>
          <t>A-40</t>
        </is>
      </c>
    </row>
    <row r="191">
      <c r="A191" s="151" t="inlineStr">
        <is>
          <t>A-10-06</t>
        </is>
      </c>
      <c r="B191" s="102" t="inlineStr">
        <is>
          <t>A</t>
        </is>
      </c>
      <c r="C191" s="102" t="inlineStr">
        <is>
          <t>10</t>
        </is>
      </c>
      <c r="D191" s="102" t="n">
        <v>6</v>
      </c>
      <c r="E191" s="102" t="inlineStr">
        <is>
          <t>TU-A9</t>
        </is>
      </c>
      <c r="F191" s="102" t="inlineStr">
        <is>
          <t>TU-A9/S3</t>
        </is>
      </c>
      <c r="G191" s="102" t="n">
        <v>6</v>
      </c>
      <c r="H191" s="102" t="inlineStr">
        <is>
          <t>TR-A2</t>
        </is>
      </c>
      <c r="I191" s="102" t="n">
        <v>3</v>
      </c>
      <c r="J191" s="102" t="inlineStr">
        <is>
          <t>Ống 1 Xanh dương / Xanh lá</t>
        </is>
      </c>
      <c r="K191" s="102" t="inlineStr">
        <is>
          <t>S4-04</t>
        </is>
      </c>
      <c r="L191" s="102" t="inlineStr">
        <is>
          <t>A-15</t>
        </is>
      </c>
      <c r="M191" s="102" t="inlineStr">
        <is>
          <t>PON-04</t>
        </is>
      </c>
      <c r="N191" s="102" t="inlineStr">
        <is>
          <t>Chưa lắp</t>
        </is>
      </c>
      <c r="O191" s="151" t="n"/>
      <c r="P191" s="152" t="n"/>
      <c r="Q191" s="13">
        <f>M191&amp;" &gt; P96#"&amp;U191&amp;" &gt; "&amp;K191&amp;" &gt; P96#"&amp;L191&amp;" &gt; "&amp;R191&amp;" "&amp;S191&amp;" "&amp;T191&amp;" &gt; "&amp;H191&amp;"#"&amp;I191&amp;" &gt; "&amp;F191&amp;" p"&amp;G191</f>
        <v/>
      </c>
      <c r="R191" s="9" t="inlineStr">
        <is>
          <t>ODF-08/09</t>
        </is>
      </c>
      <c r="S191" s="9" t="inlineStr">
        <is>
          <t>Trái</t>
        </is>
      </c>
      <c r="T191" s="9" t="inlineStr">
        <is>
          <t>H1-C3</t>
        </is>
      </c>
      <c r="U191" s="9" t="inlineStr">
        <is>
          <t>A-40</t>
        </is>
      </c>
    </row>
    <row r="192">
      <c r="A192" s="151" t="inlineStr">
        <is>
          <t>A-10-07</t>
        </is>
      </c>
      <c r="B192" s="102" t="inlineStr">
        <is>
          <t>A</t>
        </is>
      </c>
      <c r="C192" s="102" t="inlineStr">
        <is>
          <t>10</t>
        </is>
      </c>
      <c r="D192" s="102" t="n">
        <v>7</v>
      </c>
      <c r="E192" s="102" t="inlineStr">
        <is>
          <t>TU-A9</t>
        </is>
      </c>
      <c r="F192" s="102" t="inlineStr">
        <is>
          <t>TU-A9/S3</t>
        </is>
      </c>
      <c r="G192" s="102" t="n">
        <v>7</v>
      </c>
      <c r="H192" s="102" t="inlineStr">
        <is>
          <t>TR-A2</t>
        </is>
      </c>
      <c r="I192" s="102" t="n">
        <v>3</v>
      </c>
      <c r="J192" s="102" t="inlineStr">
        <is>
          <t>Ống 1 Xanh dương / Xanh lá</t>
        </is>
      </c>
      <c r="K192" s="102" t="inlineStr">
        <is>
          <t>S4-04</t>
        </is>
      </c>
      <c r="L192" s="102" t="inlineStr">
        <is>
          <t>A-15</t>
        </is>
      </c>
      <c r="M192" s="102" t="inlineStr">
        <is>
          <t>PON-04</t>
        </is>
      </c>
      <c r="N192" s="102" t="inlineStr">
        <is>
          <t>Chưa lắp</t>
        </is>
      </c>
      <c r="O192" s="151" t="n"/>
      <c r="P192" s="152" t="n"/>
      <c r="Q192" s="13">
        <f>M192&amp;" &gt; P96#"&amp;U192&amp;" &gt; "&amp;K192&amp;" &gt; P96#"&amp;L192&amp;" &gt; "&amp;R192&amp;" "&amp;S192&amp;" "&amp;T192&amp;" &gt; "&amp;H192&amp;"#"&amp;I192&amp;" &gt; "&amp;F192&amp;" p"&amp;G192</f>
        <v/>
      </c>
      <c r="R192" s="9" t="inlineStr">
        <is>
          <t>ODF-08/09</t>
        </is>
      </c>
      <c r="S192" s="9" t="inlineStr">
        <is>
          <t>Trái</t>
        </is>
      </c>
      <c r="T192" s="9" t="inlineStr">
        <is>
          <t>H1-C3</t>
        </is>
      </c>
      <c r="U192" s="9" t="inlineStr">
        <is>
          <t>A-40</t>
        </is>
      </c>
    </row>
    <row r="193">
      <c r="A193" s="151" t="inlineStr">
        <is>
          <t>A-10-08</t>
        </is>
      </c>
      <c r="B193" s="102" t="inlineStr">
        <is>
          <t>A</t>
        </is>
      </c>
      <c r="C193" s="102" t="inlineStr">
        <is>
          <t>10</t>
        </is>
      </c>
      <c r="D193" s="102" t="n">
        <v>8</v>
      </c>
      <c r="E193" s="102" t="inlineStr">
        <is>
          <t>TU-A9</t>
        </is>
      </c>
      <c r="F193" s="102" t="inlineStr">
        <is>
          <t>TU-A9/S3</t>
        </is>
      </c>
      <c r="G193" s="102" t="n">
        <v>8</v>
      </c>
      <c r="H193" s="102" t="inlineStr">
        <is>
          <t>TR-A2</t>
        </is>
      </c>
      <c r="I193" s="102" t="n">
        <v>3</v>
      </c>
      <c r="J193" s="102" t="inlineStr">
        <is>
          <t>Ống 1 Xanh dương / Xanh lá</t>
        </is>
      </c>
      <c r="K193" s="102" t="inlineStr">
        <is>
          <t>S4-04</t>
        </is>
      </c>
      <c r="L193" s="102" t="inlineStr">
        <is>
          <t>A-15</t>
        </is>
      </c>
      <c r="M193" s="102" t="inlineStr">
        <is>
          <t>PON-04</t>
        </is>
      </c>
      <c r="N193" s="102" t="inlineStr">
        <is>
          <t>Chưa lắp</t>
        </is>
      </c>
      <c r="O193" s="151" t="n"/>
      <c r="P193" s="152" t="n"/>
      <c r="Q193" s="13">
        <f>M193&amp;" &gt; P96#"&amp;U193&amp;" &gt; "&amp;K193&amp;" &gt; P96#"&amp;L193&amp;" &gt; "&amp;R193&amp;" "&amp;S193&amp;" "&amp;T193&amp;" &gt; "&amp;H193&amp;"#"&amp;I193&amp;" &gt; "&amp;F193&amp;" p"&amp;G193</f>
        <v/>
      </c>
      <c r="R193" s="9" t="inlineStr">
        <is>
          <t>ODF-08/09</t>
        </is>
      </c>
      <c r="S193" s="9" t="inlineStr">
        <is>
          <t>Trái</t>
        </is>
      </c>
      <c r="T193" s="9" t="inlineStr">
        <is>
          <t>H1-C3</t>
        </is>
      </c>
      <c r="U193" s="9" t="inlineStr">
        <is>
          <t>A-40</t>
        </is>
      </c>
    </row>
    <row r="194">
      <c r="A194" s="151" t="inlineStr">
        <is>
          <t>A-10-09</t>
        </is>
      </c>
      <c r="B194" s="102" t="inlineStr">
        <is>
          <t>A</t>
        </is>
      </c>
      <c r="C194" s="102" t="inlineStr">
        <is>
          <t>10</t>
        </is>
      </c>
      <c r="D194" s="102" t="n">
        <v>9</v>
      </c>
      <c r="E194" s="102" t="inlineStr">
        <is>
          <t>TU-A9</t>
        </is>
      </c>
      <c r="F194" s="102" t="inlineStr">
        <is>
          <t>TU-A9/S3</t>
        </is>
      </c>
      <c r="G194" s="102" t="n">
        <v>9</v>
      </c>
      <c r="H194" s="102" t="inlineStr">
        <is>
          <t>TR-A2</t>
        </is>
      </c>
      <c r="I194" s="102" t="n">
        <v>3</v>
      </c>
      <c r="J194" s="102" t="inlineStr">
        <is>
          <t>Ống 1 Xanh dương / Xanh lá</t>
        </is>
      </c>
      <c r="K194" s="102" t="inlineStr">
        <is>
          <t>S4-04</t>
        </is>
      </c>
      <c r="L194" s="102" t="inlineStr">
        <is>
          <t>A-15</t>
        </is>
      </c>
      <c r="M194" s="102" t="inlineStr">
        <is>
          <t>PON-04</t>
        </is>
      </c>
      <c r="N194" s="102" t="inlineStr">
        <is>
          <t>Chưa lắp</t>
        </is>
      </c>
      <c r="O194" s="151" t="n"/>
      <c r="P194" s="152" t="n"/>
      <c r="Q194" s="13">
        <f>M194&amp;" &gt; P96#"&amp;U194&amp;" &gt; "&amp;K194&amp;" &gt; P96#"&amp;L194&amp;" &gt; "&amp;R194&amp;" "&amp;S194&amp;" "&amp;T194&amp;" &gt; "&amp;H194&amp;"#"&amp;I194&amp;" &gt; "&amp;F194&amp;" p"&amp;G194</f>
        <v/>
      </c>
      <c r="R194" s="9" t="inlineStr">
        <is>
          <t>ODF-08/09</t>
        </is>
      </c>
      <c r="S194" s="9" t="inlineStr">
        <is>
          <t>Trái</t>
        </is>
      </c>
      <c r="T194" s="9" t="inlineStr">
        <is>
          <t>H1-C3</t>
        </is>
      </c>
      <c r="U194" s="9" t="inlineStr">
        <is>
          <t>A-40</t>
        </is>
      </c>
    </row>
    <row r="195">
      <c r="A195" s="151" t="inlineStr">
        <is>
          <t>A-10-10</t>
        </is>
      </c>
      <c r="B195" s="102" t="inlineStr">
        <is>
          <t>A</t>
        </is>
      </c>
      <c r="C195" s="102" t="inlineStr">
        <is>
          <t>10</t>
        </is>
      </c>
      <c r="D195" s="102" t="n">
        <v>10</v>
      </c>
      <c r="E195" s="102" t="inlineStr">
        <is>
          <t>TU-A9</t>
        </is>
      </c>
      <c r="F195" s="102" t="inlineStr">
        <is>
          <t>TU-A9/S3</t>
        </is>
      </c>
      <c r="G195" s="102" t="n">
        <v>10</v>
      </c>
      <c r="H195" s="102" t="inlineStr">
        <is>
          <t>TR-A2</t>
        </is>
      </c>
      <c r="I195" s="102" t="n">
        <v>3</v>
      </c>
      <c r="J195" s="102" t="inlineStr">
        <is>
          <t>Ống 1 Xanh dương / Xanh lá</t>
        </is>
      </c>
      <c r="K195" s="102" t="inlineStr">
        <is>
          <t>S4-04</t>
        </is>
      </c>
      <c r="L195" s="102" t="inlineStr">
        <is>
          <t>A-15</t>
        </is>
      </c>
      <c r="M195" s="102" t="inlineStr">
        <is>
          <t>PON-04</t>
        </is>
      </c>
      <c r="N195" s="102" t="inlineStr">
        <is>
          <t>Chưa lắp</t>
        </is>
      </c>
      <c r="O195" s="151" t="n"/>
      <c r="P195" s="152" t="n"/>
      <c r="Q195" s="13">
        <f>M195&amp;" &gt; P96#"&amp;U195&amp;" &gt; "&amp;K195&amp;" &gt; P96#"&amp;L195&amp;" &gt; "&amp;R195&amp;" "&amp;S195&amp;" "&amp;T195&amp;" &gt; "&amp;H195&amp;"#"&amp;I195&amp;" &gt; "&amp;F195&amp;" p"&amp;G195</f>
        <v/>
      </c>
      <c r="R195" s="9" t="inlineStr">
        <is>
          <t>ODF-08/09</t>
        </is>
      </c>
      <c r="S195" s="9" t="inlineStr">
        <is>
          <t>Trái</t>
        </is>
      </c>
      <c r="T195" s="9" t="inlineStr">
        <is>
          <t>H1-C3</t>
        </is>
      </c>
      <c r="U195" s="9" t="inlineStr">
        <is>
          <t>A-40</t>
        </is>
      </c>
    </row>
    <row r="196">
      <c r="A196" s="151" t="inlineStr">
        <is>
          <t>A-10-11</t>
        </is>
      </c>
      <c r="B196" s="102" t="inlineStr">
        <is>
          <t>A</t>
        </is>
      </c>
      <c r="C196" s="102" t="inlineStr">
        <is>
          <t>10</t>
        </is>
      </c>
      <c r="D196" s="102" t="n">
        <v>11</v>
      </c>
      <c r="E196" s="102" t="inlineStr">
        <is>
          <t>TU-A9</t>
        </is>
      </c>
      <c r="F196" s="102" t="inlineStr">
        <is>
          <t>TU-A9/S3</t>
        </is>
      </c>
      <c r="G196" s="102" t="n">
        <v>11</v>
      </c>
      <c r="H196" s="102" t="inlineStr">
        <is>
          <t>TR-A2</t>
        </is>
      </c>
      <c r="I196" s="102" t="n">
        <v>3</v>
      </c>
      <c r="J196" s="102" t="inlineStr">
        <is>
          <t>Ống 1 Xanh dương / Xanh lá</t>
        </is>
      </c>
      <c r="K196" s="102" t="inlineStr">
        <is>
          <t>S4-04</t>
        </is>
      </c>
      <c r="L196" s="102" t="inlineStr">
        <is>
          <t>A-15</t>
        </is>
      </c>
      <c r="M196" s="102" t="inlineStr">
        <is>
          <t>PON-04</t>
        </is>
      </c>
      <c r="N196" s="102" t="inlineStr">
        <is>
          <t>Chưa lắp</t>
        </is>
      </c>
      <c r="O196" s="151" t="n"/>
      <c r="P196" s="152" t="n"/>
      <c r="Q196" s="13">
        <f>M196&amp;" &gt; P96#"&amp;U196&amp;" &gt; "&amp;K196&amp;" &gt; P96#"&amp;L196&amp;" &gt; "&amp;R196&amp;" "&amp;S196&amp;" "&amp;T196&amp;" &gt; "&amp;H196&amp;"#"&amp;I196&amp;" &gt; "&amp;F196&amp;" p"&amp;G196</f>
        <v/>
      </c>
      <c r="R196" s="9" t="inlineStr">
        <is>
          <t>ODF-08/09</t>
        </is>
      </c>
      <c r="S196" s="9" t="inlineStr">
        <is>
          <t>Trái</t>
        </is>
      </c>
      <c r="T196" s="9" t="inlineStr">
        <is>
          <t>H1-C3</t>
        </is>
      </c>
      <c r="U196" s="9" t="inlineStr">
        <is>
          <t>A-40</t>
        </is>
      </c>
    </row>
    <row r="197">
      <c r="A197" s="151" t="inlineStr">
        <is>
          <t>A-10-12</t>
        </is>
      </c>
      <c r="B197" s="102" t="inlineStr">
        <is>
          <t>A</t>
        </is>
      </c>
      <c r="C197" s="102" t="inlineStr">
        <is>
          <t>10</t>
        </is>
      </c>
      <c r="D197" s="102" t="n">
        <v>12</v>
      </c>
      <c r="E197" s="102" t="inlineStr">
        <is>
          <t>TU-A9</t>
        </is>
      </c>
      <c r="F197" s="102" t="inlineStr">
        <is>
          <t>TU-A9/S3</t>
        </is>
      </c>
      <c r="G197" s="102" t="n">
        <v>12</v>
      </c>
      <c r="H197" s="102" t="inlineStr">
        <is>
          <t>TR-A2</t>
        </is>
      </c>
      <c r="I197" s="102" t="n">
        <v>3</v>
      </c>
      <c r="J197" s="102" t="inlineStr">
        <is>
          <t>Ống 1 Xanh dương / Xanh lá</t>
        </is>
      </c>
      <c r="K197" s="102" t="inlineStr">
        <is>
          <t>S4-04</t>
        </is>
      </c>
      <c r="L197" s="102" t="inlineStr">
        <is>
          <t>A-15</t>
        </is>
      </c>
      <c r="M197" s="102" t="inlineStr">
        <is>
          <t>PON-04</t>
        </is>
      </c>
      <c r="N197" s="102" t="inlineStr">
        <is>
          <t>Chưa lắp</t>
        </is>
      </c>
      <c r="O197" s="151" t="n"/>
      <c r="P197" s="152" t="n"/>
      <c r="Q197" s="13">
        <f>M197&amp;" &gt; P96#"&amp;U197&amp;" &gt; "&amp;K197&amp;" &gt; P96#"&amp;L197&amp;" &gt; "&amp;R197&amp;" "&amp;S197&amp;" "&amp;T197&amp;" &gt; "&amp;H197&amp;"#"&amp;I197&amp;" &gt; "&amp;F197&amp;" p"&amp;G197</f>
        <v/>
      </c>
      <c r="R197" s="9" t="inlineStr">
        <is>
          <t>ODF-08/09</t>
        </is>
      </c>
      <c r="S197" s="9" t="inlineStr">
        <is>
          <t>Trái</t>
        </is>
      </c>
      <c r="T197" s="9" t="inlineStr">
        <is>
          <t>H1-C3</t>
        </is>
      </c>
      <c r="U197" s="9" t="inlineStr">
        <is>
          <t>A-40</t>
        </is>
      </c>
    </row>
    <row r="198">
      <c r="A198" s="149" t="inlineStr">
        <is>
          <t>A-10-13</t>
        </is>
      </c>
      <c r="B198" s="99" t="inlineStr">
        <is>
          <t>A</t>
        </is>
      </c>
      <c r="C198" s="99" t="inlineStr">
        <is>
          <t>10</t>
        </is>
      </c>
      <c r="D198" s="99" t="n">
        <v>13</v>
      </c>
      <c r="E198" s="99" t="inlineStr">
        <is>
          <t>TU-A9</t>
        </is>
      </c>
      <c r="F198" s="99" t="inlineStr">
        <is>
          <t>TU-A9/S3</t>
        </is>
      </c>
      <c r="G198" s="99" t="n">
        <v>13</v>
      </c>
      <c r="H198" s="99" t="inlineStr">
        <is>
          <t>TR-A2</t>
        </is>
      </c>
      <c r="I198" s="99" t="n">
        <v>3</v>
      </c>
      <c r="J198" s="99" t="inlineStr">
        <is>
          <t>Ống 1 Xanh dương / Xanh lá</t>
        </is>
      </c>
      <c r="K198" s="99" t="inlineStr">
        <is>
          <t>S4-04</t>
        </is>
      </c>
      <c r="L198" s="99" t="inlineStr">
        <is>
          <t>A-15</t>
        </is>
      </c>
      <c r="M198" s="99" t="inlineStr">
        <is>
          <t>PON-04</t>
        </is>
      </c>
      <c r="N198" s="99" t="inlineStr">
        <is>
          <t>Chưa lắp</t>
        </is>
      </c>
      <c r="O198" s="149" t="n"/>
      <c r="P198" s="150" t="n"/>
      <c r="Q198" s="13">
        <f>M198&amp;" &gt; P96#"&amp;U198&amp;" &gt; "&amp;K198&amp;" &gt; P96#"&amp;L198&amp;" &gt; "&amp;R198&amp;" "&amp;S198&amp;" "&amp;T198&amp;" &gt; "&amp;H198&amp;"#"&amp;I198&amp;" &gt; "&amp;F198&amp;" p"&amp;G198</f>
        <v/>
      </c>
      <c r="R198" s="9" t="inlineStr">
        <is>
          <t>ODF-08/09</t>
        </is>
      </c>
      <c r="S198" s="9" t="inlineStr">
        <is>
          <t>Trái</t>
        </is>
      </c>
      <c r="T198" s="9" t="inlineStr">
        <is>
          <t>H1-C3</t>
        </is>
      </c>
      <c r="U198" s="9" t="inlineStr">
        <is>
          <t>A-40</t>
        </is>
      </c>
    </row>
    <row r="199">
      <c r="A199" s="149" t="inlineStr">
        <is>
          <t>A-10-14</t>
        </is>
      </c>
      <c r="B199" s="99" t="inlineStr">
        <is>
          <t>A</t>
        </is>
      </c>
      <c r="C199" s="99" t="inlineStr">
        <is>
          <t>10</t>
        </is>
      </c>
      <c r="D199" s="99" t="n">
        <v>14</v>
      </c>
      <c r="E199" s="99" t="inlineStr">
        <is>
          <t>TU-A9</t>
        </is>
      </c>
      <c r="F199" s="99" t="inlineStr">
        <is>
          <t>TU-A9/S3</t>
        </is>
      </c>
      <c r="G199" s="99" t="n">
        <v>14</v>
      </c>
      <c r="H199" s="99" t="inlineStr">
        <is>
          <t>TR-A2</t>
        </is>
      </c>
      <c r="I199" s="99" t="n">
        <v>3</v>
      </c>
      <c r="J199" s="99" t="inlineStr">
        <is>
          <t>Ống 1 Xanh dương / Xanh lá</t>
        </is>
      </c>
      <c r="K199" s="99" t="inlineStr">
        <is>
          <t>S4-04</t>
        </is>
      </c>
      <c r="L199" s="99" t="inlineStr">
        <is>
          <t>A-15</t>
        </is>
      </c>
      <c r="M199" s="99" t="inlineStr">
        <is>
          <t>PON-04</t>
        </is>
      </c>
      <c r="N199" s="99" t="inlineStr">
        <is>
          <t>Chưa lắp</t>
        </is>
      </c>
      <c r="O199" s="149" t="n"/>
      <c r="P199" s="150" t="n"/>
      <c r="Q199" s="13">
        <f>M199&amp;" &gt; P96#"&amp;U199&amp;" &gt; "&amp;K199&amp;" &gt; P96#"&amp;L199&amp;" &gt; "&amp;R199&amp;" "&amp;S199&amp;" "&amp;T199&amp;" &gt; "&amp;H199&amp;"#"&amp;I199&amp;" &gt; "&amp;F199&amp;" p"&amp;G199</f>
        <v/>
      </c>
      <c r="R199" s="9" t="inlineStr">
        <is>
          <t>ODF-08/09</t>
        </is>
      </c>
      <c r="S199" s="9" t="inlineStr">
        <is>
          <t>Trái</t>
        </is>
      </c>
      <c r="T199" s="9" t="inlineStr">
        <is>
          <t>H1-C3</t>
        </is>
      </c>
      <c r="U199" s="9" t="inlineStr">
        <is>
          <t>A-40</t>
        </is>
      </c>
    </row>
    <row r="200">
      <c r="A200" s="149" t="inlineStr">
        <is>
          <t>A-10-15</t>
        </is>
      </c>
      <c r="B200" s="99" t="inlineStr">
        <is>
          <t>A</t>
        </is>
      </c>
      <c r="C200" s="99" t="inlineStr">
        <is>
          <t>10</t>
        </is>
      </c>
      <c r="D200" s="99" t="n">
        <v>15</v>
      </c>
      <c r="E200" s="99" t="inlineStr">
        <is>
          <t>TU-A9</t>
        </is>
      </c>
      <c r="F200" s="99" t="inlineStr">
        <is>
          <t>TU-A9/S3</t>
        </is>
      </c>
      <c r="G200" s="99" t="n">
        <v>15</v>
      </c>
      <c r="H200" s="99" t="inlineStr">
        <is>
          <t>TR-A2</t>
        </is>
      </c>
      <c r="I200" s="99" t="n">
        <v>3</v>
      </c>
      <c r="J200" s="99" t="inlineStr">
        <is>
          <t>Ống 1 Xanh dương / Xanh lá</t>
        </is>
      </c>
      <c r="K200" s="99" t="inlineStr">
        <is>
          <t>S4-04</t>
        </is>
      </c>
      <c r="L200" s="99" t="inlineStr">
        <is>
          <t>A-15</t>
        </is>
      </c>
      <c r="M200" s="99" t="inlineStr">
        <is>
          <t>PON-04</t>
        </is>
      </c>
      <c r="N200" s="99" t="inlineStr">
        <is>
          <t>Chưa lắp</t>
        </is>
      </c>
      <c r="O200" s="149" t="n"/>
      <c r="P200" s="150" t="n"/>
      <c r="Q200" s="13">
        <f>M200&amp;" &gt; P96#"&amp;U200&amp;" &gt; "&amp;K200&amp;" &gt; P96#"&amp;L200&amp;" &gt; "&amp;R200&amp;" "&amp;S200&amp;" "&amp;T200&amp;" &gt; "&amp;H200&amp;"#"&amp;I200&amp;" &gt; "&amp;F200&amp;" p"&amp;G200</f>
        <v/>
      </c>
      <c r="R200" s="9" t="inlineStr">
        <is>
          <t>ODF-08/09</t>
        </is>
      </c>
      <c r="S200" s="9" t="inlineStr">
        <is>
          <t>Trái</t>
        </is>
      </c>
      <c r="T200" s="9" t="inlineStr">
        <is>
          <t>H1-C3</t>
        </is>
      </c>
      <c r="U200" s="9" t="inlineStr">
        <is>
          <t>A-40</t>
        </is>
      </c>
    </row>
    <row r="201">
      <c r="A201" s="149" t="inlineStr">
        <is>
          <t>A-9-01</t>
        </is>
      </c>
      <c r="B201" s="99" t="inlineStr">
        <is>
          <t>A</t>
        </is>
      </c>
      <c r="C201" s="99" t="inlineStr">
        <is>
          <t>9</t>
        </is>
      </c>
      <c r="D201" s="99" t="n">
        <v>1</v>
      </c>
      <c r="E201" s="99" t="inlineStr">
        <is>
          <t>TU-A9</t>
        </is>
      </c>
      <c r="F201" s="99" t="inlineStr">
        <is>
          <t>TU-A9/S2</t>
        </is>
      </c>
      <c r="G201" s="99" t="n">
        <v>1</v>
      </c>
      <c r="H201" s="99" t="inlineStr">
        <is>
          <t>TR-A2</t>
        </is>
      </c>
      <c r="I201" s="99" t="n">
        <v>2</v>
      </c>
      <c r="J201" s="99" t="inlineStr">
        <is>
          <t>Ống 1 Xanh dương / Cam</t>
        </is>
      </c>
      <c r="K201" s="99" t="inlineStr">
        <is>
          <t>S4-04</t>
        </is>
      </c>
      <c r="L201" s="99" t="inlineStr">
        <is>
          <t>A-14</t>
        </is>
      </c>
      <c r="M201" s="99" t="inlineStr">
        <is>
          <t>PON-04</t>
        </is>
      </c>
      <c r="N201" s="99" t="inlineStr">
        <is>
          <t>Chưa lắp</t>
        </is>
      </c>
      <c r="O201" s="149" t="n"/>
      <c r="P201" s="150" t="n"/>
      <c r="Q201" s="13">
        <f>M201&amp;" &gt; P96#"&amp;U201&amp;" &gt; "&amp;K201&amp;" &gt; P96#"&amp;L201&amp;" &gt; "&amp;R201&amp;" "&amp;S201&amp;" "&amp;T201&amp;" &gt; "&amp;H201&amp;"#"&amp;I201&amp;" &gt; "&amp;F201&amp;" p"&amp;G201</f>
        <v/>
      </c>
      <c r="R201" s="9" t="inlineStr">
        <is>
          <t>ODF-08/09</t>
        </is>
      </c>
      <c r="S201" s="9" t="inlineStr">
        <is>
          <t>Trái</t>
        </is>
      </c>
      <c r="T201" s="9" t="inlineStr">
        <is>
          <t>H1-C2</t>
        </is>
      </c>
      <c r="U201" s="9" t="inlineStr">
        <is>
          <t>A-40</t>
        </is>
      </c>
    </row>
    <row r="202">
      <c r="A202" s="149" t="inlineStr">
        <is>
          <t>A-9-02</t>
        </is>
      </c>
      <c r="B202" s="99" t="inlineStr">
        <is>
          <t>A</t>
        </is>
      </c>
      <c r="C202" s="99" t="inlineStr">
        <is>
          <t>9</t>
        </is>
      </c>
      <c r="D202" s="99" t="n">
        <v>2</v>
      </c>
      <c r="E202" s="99" t="inlineStr">
        <is>
          <t>TU-A9</t>
        </is>
      </c>
      <c r="F202" s="99" t="inlineStr">
        <is>
          <t>TU-A9/S2</t>
        </is>
      </c>
      <c r="G202" s="99" t="n">
        <v>2</v>
      </c>
      <c r="H202" s="99" t="inlineStr">
        <is>
          <t>TR-A2</t>
        </is>
      </c>
      <c r="I202" s="99" t="n">
        <v>2</v>
      </c>
      <c r="J202" s="99" t="inlineStr">
        <is>
          <t>Ống 1 Xanh dương / Cam</t>
        </is>
      </c>
      <c r="K202" s="99" t="inlineStr">
        <is>
          <t>S4-04</t>
        </is>
      </c>
      <c r="L202" s="99" t="inlineStr">
        <is>
          <t>A-14</t>
        </is>
      </c>
      <c r="M202" s="99" t="inlineStr">
        <is>
          <t>PON-04</t>
        </is>
      </c>
      <c r="N202" s="99" t="inlineStr">
        <is>
          <t>Chưa lắp</t>
        </is>
      </c>
      <c r="O202" s="149" t="n"/>
      <c r="P202" s="150" t="n"/>
      <c r="Q202" s="13">
        <f>M202&amp;" &gt; P96#"&amp;U202&amp;" &gt; "&amp;K202&amp;" &gt; P96#"&amp;L202&amp;" &gt; "&amp;R202&amp;" "&amp;S202&amp;" "&amp;T202&amp;" &gt; "&amp;H202&amp;"#"&amp;I202&amp;" &gt; "&amp;F202&amp;" p"&amp;G202</f>
        <v/>
      </c>
      <c r="R202" s="9" t="inlineStr">
        <is>
          <t>ODF-08/09</t>
        </is>
      </c>
      <c r="S202" s="9" t="inlineStr">
        <is>
          <t>Trái</t>
        </is>
      </c>
      <c r="T202" s="9" t="inlineStr">
        <is>
          <t>H1-C2</t>
        </is>
      </c>
      <c r="U202" s="9" t="inlineStr">
        <is>
          <t>A-40</t>
        </is>
      </c>
    </row>
    <row r="203">
      <c r="A203" s="149" t="inlineStr">
        <is>
          <t>A-9-03</t>
        </is>
      </c>
      <c r="B203" s="99" t="inlineStr">
        <is>
          <t>A</t>
        </is>
      </c>
      <c r="C203" s="99" t="inlineStr">
        <is>
          <t>9</t>
        </is>
      </c>
      <c r="D203" s="99" t="n">
        <v>3</v>
      </c>
      <c r="E203" s="99" t="inlineStr">
        <is>
          <t>TU-A9</t>
        </is>
      </c>
      <c r="F203" s="99" t="inlineStr">
        <is>
          <t>TU-A9/S2</t>
        </is>
      </c>
      <c r="G203" s="99" t="n">
        <v>3</v>
      </c>
      <c r="H203" s="99" t="inlineStr">
        <is>
          <t>TR-A2</t>
        </is>
      </c>
      <c r="I203" s="99" t="n">
        <v>2</v>
      </c>
      <c r="J203" s="99" t="inlineStr">
        <is>
          <t>Ống 1 Xanh dương / Cam</t>
        </is>
      </c>
      <c r="K203" s="99" t="inlineStr">
        <is>
          <t>S4-04</t>
        </is>
      </c>
      <c r="L203" s="99" t="inlineStr">
        <is>
          <t>A-14</t>
        </is>
      </c>
      <c r="M203" s="99" t="inlineStr">
        <is>
          <t>PON-04</t>
        </is>
      </c>
      <c r="N203" s="99" t="inlineStr">
        <is>
          <t>Chưa lắp</t>
        </is>
      </c>
      <c r="O203" s="149" t="n"/>
      <c r="P203" s="150" t="n"/>
      <c r="Q203" s="13">
        <f>M203&amp;" &gt; P96#"&amp;U203&amp;" &gt; "&amp;K203&amp;" &gt; P96#"&amp;L203&amp;" &gt; "&amp;R203&amp;" "&amp;S203&amp;" "&amp;T203&amp;" &gt; "&amp;H203&amp;"#"&amp;I203&amp;" &gt; "&amp;F203&amp;" p"&amp;G203</f>
        <v/>
      </c>
      <c r="R203" s="9" t="inlineStr">
        <is>
          <t>ODF-08/09</t>
        </is>
      </c>
      <c r="S203" s="9" t="inlineStr">
        <is>
          <t>Trái</t>
        </is>
      </c>
      <c r="T203" s="9" t="inlineStr">
        <is>
          <t>H1-C2</t>
        </is>
      </c>
      <c r="U203" s="9" t="inlineStr">
        <is>
          <t>A-40</t>
        </is>
      </c>
    </row>
    <row r="204">
      <c r="A204" s="149" t="inlineStr">
        <is>
          <t>A-9-04</t>
        </is>
      </c>
      <c r="B204" s="99" t="inlineStr">
        <is>
          <t>A</t>
        </is>
      </c>
      <c r="C204" s="99" t="inlineStr">
        <is>
          <t>9</t>
        </is>
      </c>
      <c r="D204" s="99" t="n">
        <v>4</v>
      </c>
      <c r="E204" s="99" t="inlineStr">
        <is>
          <t>TU-A9</t>
        </is>
      </c>
      <c r="F204" s="99" t="inlineStr">
        <is>
          <t>TU-A9/S2</t>
        </is>
      </c>
      <c r="G204" s="99" t="n">
        <v>4</v>
      </c>
      <c r="H204" s="99" t="inlineStr">
        <is>
          <t>TR-A2</t>
        </is>
      </c>
      <c r="I204" s="99" t="n">
        <v>2</v>
      </c>
      <c r="J204" s="99" t="inlineStr">
        <is>
          <t>Ống 1 Xanh dương / Cam</t>
        </is>
      </c>
      <c r="K204" s="99" t="inlineStr">
        <is>
          <t>S4-04</t>
        </is>
      </c>
      <c r="L204" s="99" t="inlineStr">
        <is>
          <t>A-14</t>
        </is>
      </c>
      <c r="M204" s="99" t="inlineStr">
        <is>
          <t>PON-04</t>
        </is>
      </c>
      <c r="N204" s="99" t="inlineStr">
        <is>
          <t>Chưa lắp</t>
        </is>
      </c>
      <c r="O204" s="149" t="n"/>
      <c r="P204" s="150" t="n"/>
      <c r="Q204" s="13">
        <f>M204&amp;" &gt; P96#"&amp;U204&amp;" &gt; "&amp;K204&amp;" &gt; P96#"&amp;L204&amp;" &gt; "&amp;R204&amp;" "&amp;S204&amp;" "&amp;T204&amp;" &gt; "&amp;H204&amp;"#"&amp;I204&amp;" &gt; "&amp;F204&amp;" p"&amp;G204</f>
        <v/>
      </c>
      <c r="R204" s="9" t="inlineStr">
        <is>
          <t>ODF-08/09</t>
        </is>
      </c>
      <c r="S204" s="9" t="inlineStr">
        <is>
          <t>Trái</t>
        </is>
      </c>
      <c r="T204" s="9" t="inlineStr">
        <is>
          <t>H1-C2</t>
        </is>
      </c>
      <c r="U204" s="9" t="inlineStr">
        <is>
          <t>A-40</t>
        </is>
      </c>
    </row>
    <row r="205">
      <c r="A205" s="149" t="inlineStr">
        <is>
          <t>A-9-05</t>
        </is>
      </c>
      <c r="B205" s="99" t="inlineStr">
        <is>
          <t>A</t>
        </is>
      </c>
      <c r="C205" s="99" t="inlineStr">
        <is>
          <t>9</t>
        </is>
      </c>
      <c r="D205" s="99" t="n">
        <v>5</v>
      </c>
      <c r="E205" s="99" t="inlineStr">
        <is>
          <t>TU-A9</t>
        </is>
      </c>
      <c r="F205" s="99" t="inlineStr">
        <is>
          <t>TU-A9/S2</t>
        </is>
      </c>
      <c r="G205" s="99" t="n">
        <v>5</v>
      </c>
      <c r="H205" s="99" t="inlineStr">
        <is>
          <t>TR-A2</t>
        </is>
      </c>
      <c r="I205" s="99" t="n">
        <v>2</v>
      </c>
      <c r="J205" s="99" t="inlineStr">
        <is>
          <t>Ống 1 Xanh dương / Cam</t>
        </is>
      </c>
      <c r="K205" s="99" t="inlineStr">
        <is>
          <t>S4-04</t>
        </is>
      </c>
      <c r="L205" s="99" t="inlineStr">
        <is>
          <t>A-14</t>
        </is>
      </c>
      <c r="M205" s="99" t="inlineStr">
        <is>
          <t>PON-04</t>
        </is>
      </c>
      <c r="N205" s="99" t="inlineStr">
        <is>
          <t>Chưa lắp</t>
        </is>
      </c>
      <c r="O205" s="149" t="n"/>
      <c r="P205" s="150" t="n"/>
      <c r="Q205" s="13">
        <f>M205&amp;" &gt; P96#"&amp;U205&amp;" &gt; "&amp;K205&amp;" &gt; P96#"&amp;L205&amp;" &gt; "&amp;R205&amp;" "&amp;S205&amp;" "&amp;T205&amp;" &gt; "&amp;H205&amp;"#"&amp;I205&amp;" &gt; "&amp;F205&amp;" p"&amp;G205</f>
        <v/>
      </c>
      <c r="R205" s="9" t="inlineStr">
        <is>
          <t>ODF-08/09</t>
        </is>
      </c>
      <c r="S205" s="9" t="inlineStr">
        <is>
          <t>Trái</t>
        </is>
      </c>
      <c r="T205" s="9" t="inlineStr">
        <is>
          <t>H1-C2</t>
        </is>
      </c>
      <c r="U205" s="9" t="inlineStr">
        <is>
          <t>A-40</t>
        </is>
      </c>
    </row>
    <row r="206">
      <c r="A206" s="149" t="inlineStr">
        <is>
          <t>A-9-06</t>
        </is>
      </c>
      <c r="B206" s="99" t="inlineStr">
        <is>
          <t>A</t>
        </is>
      </c>
      <c r="C206" s="99" t="inlineStr">
        <is>
          <t>9</t>
        </is>
      </c>
      <c r="D206" s="99" t="n">
        <v>6</v>
      </c>
      <c r="E206" s="99" t="inlineStr">
        <is>
          <t>TU-A9</t>
        </is>
      </c>
      <c r="F206" s="99" t="inlineStr">
        <is>
          <t>TU-A9/S2</t>
        </is>
      </c>
      <c r="G206" s="99" t="n">
        <v>6</v>
      </c>
      <c r="H206" s="99" t="inlineStr">
        <is>
          <t>TR-A2</t>
        </is>
      </c>
      <c r="I206" s="99" t="n">
        <v>2</v>
      </c>
      <c r="J206" s="99" t="inlineStr">
        <is>
          <t>Ống 1 Xanh dương / Cam</t>
        </is>
      </c>
      <c r="K206" s="99" t="inlineStr">
        <is>
          <t>S4-04</t>
        </is>
      </c>
      <c r="L206" s="99" t="inlineStr">
        <is>
          <t>A-14</t>
        </is>
      </c>
      <c r="M206" s="99" t="inlineStr">
        <is>
          <t>PON-04</t>
        </is>
      </c>
      <c r="N206" s="99" t="inlineStr">
        <is>
          <t>Chưa lắp</t>
        </is>
      </c>
      <c r="O206" s="149" t="n"/>
      <c r="P206" s="150" t="n"/>
      <c r="Q206" s="13">
        <f>M206&amp;" &gt; P96#"&amp;U206&amp;" &gt; "&amp;K206&amp;" &gt; P96#"&amp;L206&amp;" &gt; "&amp;R206&amp;" "&amp;S206&amp;" "&amp;T206&amp;" &gt; "&amp;H206&amp;"#"&amp;I206&amp;" &gt; "&amp;F206&amp;" p"&amp;G206</f>
        <v/>
      </c>
      <c r="R206" s="9" t="inlineStr">
        <is>
          <t>ODF-08/09</t>
        </is>
      </c>
      <c r="S206" s="9" t="inlineStr">
        <is>
          <t>Trái</t>
        </is>
      </c>
      <c r="T206" s="9" t="inlineStr">
        <is>
          <t>H1-C2</t>
        </is>
      </c>
      <c r="U206" s="9" t="inlineStr">
        <is>
          <t>A-40</t>
        </is>
      </c>
    </row>
    <row r="207">
      <c r="A207" s="149" t="inlineStr">
        <is>
          <t>A-9-07</t>
        </is>
      </c>
      <c r="B207" s="99" t="inlineStr">
        <is>
          <t>A</t>
        </is>
      </c>
      <c r="C207" s="99" t="inlineStr">
        <is>
          <t>9</t>
        </is>
      </c>
      <c r="D207" s="99" t="n">
        <v>7</v>
      </c>
      <c r="E207" s="99" t="inlineStr">
        <is>
          <t>TU-A9</t>
        </is>
      </c>
      <c r="F207" s="99" t="inlineStr">
        <is>
          <t>TU-A9/S2</t>
        </is>
      </c>
      <c r="G207" s="99" t="n">
        <v>7</v>
      </c>
      <c r="H207" s="99" t="inlineStr">
        <is>
          <t>TR-A2</t>
        </is>
      </c>
      <c r="I207" s="99" t="n">
        <v>2</v>
      </c>
      <c r="J207" s="99" t="inlineStr">
        <is>
          <t>Ống 1 Xanh dương / Cam</t>
        </is>
      </c>
      <c r="K207" s="99" t="inlineStr">
        <is>
          <t>S4-04</t>
        </is>
      </c>
      <c r="L207" s="99" t="inlineStr">
        <is>
          <t>A-14</t>
        </is>
      </c>
      <c r="M207" s="99" t="inlineStr">
        <is>
          <t>PON-04</t>
        </is>
      </c>
      <c r="N207" s="99" t="inlineStr">
        <is>
          <t>Chưa lắp</t>
        </is>
      </c>
      <c r="O207" s="149" t="n"/>
      <c r="P207" s="150" t="n"/>
      <c r="Q207" s="13">
        <f>M207&amp;" &gt; P96#"&amp;U207&amp;" &gt; "&amp;K207&amp;" &gt; P96#"&amp;L207&amp;" &gt; "&amp;R207&amp;" "&amp;S207&amp;" "&amp;T207&amp;" &gt; "&amp;H207&amp;"#"&amp;I207&amp;" &gt; "&amp;F207&amp;" p"&amp;G207</f>
        <v/>
      </c>
      <c r="R207" s="9" t="inlineStr">
        <is>
          <t>ODF-08/09</t>
        </is>
      </c>
      <c r="S207" s="9" t="inlineStr">
        <is>
          <t>Trái</t>
        </is>
      </c>
      <c r="T207" s="9" t="inlineStr">
        <is>
          <t>H1-C2</t>
        </is>
      </c>
      <c r="U207" s="9" t="inlineStr">
        <is>
          <t>A-40</t>
        </is>
      </c>
    </row>
    <row r="208">
      <c r="A208" s="149" t="inlineStr">
        <is>
          <t>A-9-08</t>
        </is>
      </c>
      <c r="B208" s="99" t="inlineStr">
        <is>
          <t>A</t>
        </is>
      </c>
      <c r="C208" s="99" t="inlineStr">
        <is>
          <t>9</t>
        </is>
      </c>
      <c r="D208" s="99" t="n">
        <v>8</v>
      </c>
      <c r="E208" s="99" t="inlineStr">
        <is>
          <t>TU-A9</t>
        </is>
      </c>
      <c r="F208" s="99" t="inlineStr">
        <is>
          <t>TU-A9/S2</t>
        </is>
      </c>
      <c r="G208" s="99" t="n">
        <v>8</v>
      </c>
      <c r="H208" s="99" t="inlineStr">
        <is>
          <t>TR-A2</t>
        </is>
      </c>
      <c r="I208" s="99" t="n">
        <v>2</v>
      </c>
      <c r="J208" s="99" t="inlineStr">
        <is>
          <t>Ống 1 Xanh dương / Cam</t>
        </is>
      </c>
      <c r="K208" s="99" t="inlineStr">
        <is>
          <t>S4-04</t>
        </is>
      </c>
      <c r="L208" s="99" t="inlineStr">
        <is>
          <t>A-14</t>
        </is>
      </c>
      <c r="M208" s="99" t="inlineStr">
        <is>
          <t>PON-04</t>
        </is>
      </c>
      <c r="N208" s="99" t="inlineStr">
        <is>
          <t>Chưa lắp</t>
        </is>
      </c>
      <c r="O208" s="149" t="n"/>
      <c r="P208" s="150" t="n"/>
      <c r="Q208" s="13">
        <f>M208&amp;" &gt; P96#"&amp;U208&amp;" &gt; "&amp;K208&amp;" &gt; P96#"&amp;L208&amp;" &gt; "&amp;R208&amp;" "&amp;S208&amp;" "&amp;T208&amp;" &gt; "&amp;H208&amp;"#"&amp;I208&amp;" &gt; "&amp;F208&amp;" p"&amp;G208</f>
        <v/>
      </c>
      <c r="R208" s="9" t="inlineStr">
        <is>
          <t>ODF-08/09</t>
        </is>
      </c>
      <c r="S208" s="9" t="inlineStr">
        <is>
          <t>Trái</t>
        </is>
      </c>
      <c r="T208" s="9" t="inlineStr">
        <is>
          <t>H1-C2</t>
        </is>
      </c>
      <c r="U208" s="9" t="inlineStr">
        <is>
          <t>A-40</t>
        </is>
      </c>
    </row>
    <row r="209">
      <c r="A209" s="149" t="inlineStr">
        <is>
          <t>A-9-09</t>
        </is>
      </c>
      <c r="B209" s="99" t="inlineStr">
        <is>
          <t>A</t>
        </is>
      </c>
      <c r="C209" s="99" t="inlineStr">
        <is>
          <t>9</t>
        </is>
      </c>
      <c r="D209" s="99" t="n">
        <v>9</v>
      </c>
      <c r="E209" s="99" t="inlineStr">
        <is>
          <t>TU-A9</t>
        </is>
      </c>
      <c r="F209" s="99" t="inlineStr">
        <is>
          <t>TU-A9/S2</t>
        </is>
      </c>
      <c r="G209" s="99" t="n">
        <v>9</v>
      </c>
      <c r="H209" s="99" t="inlineStr">
        <is>
          <t>TR-A2</t>
        </is>
      </c>
      <c r="I209" s="99" t="n">
        <v>2</v>
      </c>
      <c r="J209" s="99" t="inlineStr">
        <is>
          <t>Ống 1 Xanh dương / Cam</t>
        </is>
      </c>
      <c r="K209" s="99" t="inlineStr">
        <is>
          <t>S4-04</t>
        </is>
      </c>
      <c r="L209" s="99" t="inlineStr">
        <is>
          <t>A-14</t>
        </is>
      </c>
      <c r="M209" s="99" t="inlineStr">
        <is>
          <t>PON-04</t>
        </is>
      </c>
      <c r="N209" s="99" t="inlineStr">
        <is>
          <t>Chưa lắp</t>
        </is>
      </c>
      <c r="O209" s="149" t="n"/>
      <c r="P209" s="150" t="n"/>
      <c r="Q209" s="13">
        <f>M209&amp;" &gt; P96#"&amp;U209&amp;" &gt; "&amp;K209&amp;" &gt; P96#"&amp;L209&amp;" &gt; "&amp;R209&amp;" "&amp;S209&amp;" "&amp;T209&amp;" &gt; "&amp;H209&amp;"#"&amp;I209&amp;" &gt; "&amp;F209&amp;" p"&amp;G209</f>
        <v/>
      </c>
      <c r="R209" s="9" t="inlineStr">
        <is>
          <t>ODF-08/09</t>
        </is>
      </c>
      <c r="S209" s="9" t="inlineStr">
        <is>
          <t>Trái</t>
        </is>
      </c>
      <c r="T209" s="9" t="inlineStr">
        <is>
          <t>H1-C2</t>
        </is>
      </c>
      <c r="U209" s="9" t="inlineStr">
        <is>
          <t>A-40</t>
        </is>
      </c>
    </row>
    <row r="210">
      <c r="A210" s="149" t="inlineStr">
        <is>
          <t>A-9-10</t>
        </is>
      </c>
      <c r="B210" s="99" t="inlineStr">
        <is>
          <t>A</t>
        </is>
      </c>
      <c r="C210" s="99" t="inlineStr">
        <is>
          <t>9</t>
        </is>
      </c>
      <c r="D210" s="99" t="n">
        <v>10</v>
      </c>
      <c r="E210" s="99" t="inlineStr">
        <is>
          <t>TU-A9</t>
        </is>
      </c>
      <c r="F210" s="99" t="inlineStr">
        <is>
          <t>TU-A9/S2</t>
        </is>
      </c>
      <c r="G210" s="99" t="n">
        <v>10</v>
      </c>
      <c r="H210" s="99" t="inlineStr">
        <is>
          <t>TR-A2</t>
        </is>
      </c>
      <c r="I210" s="99" t="n">
        <v>2</v>
      </c>
      <c r="J210" s="99" t="inlineStr">
        <is>
          <t>Ống 1 Xanh dương / Cam</t>
        </is>
      </c>
      <c r="K210" s="99" t="inlineStr">
        <is>
          <t>S4-04</t>
        </is>
      </c>
      <c r="L210" s="99" t="inlineStr">
        <is>
          <t>A-14</t>
        </is>
      </c>
      <c r="M210" s="99" t="inlineStr">
        <is>
          <t>PON-04</t>
        </is>
      </c>
      <c r="N210" s="99" t="inlineStr">
        <is>
          <t>Chưa lắp</t>
        </is>
      </c>
      <c r="O210" s="149" t="n"/>
      <c r="P210" s="150" t="n"/>
      <c r="Q210" s="13">
        <f>M210&amp;" &gt; P96#"&amp;U210&amp;" &gt; "&amp;K210&amp;" &gt; P96#"&amp;L210&amp;" &gt; "&amp;R210&amp;" "&amp;S210&amp;" "&amp;T210&amp;" &gt; "&amp;H210&amp;"#"&amp;I210&amp;" &gt; "&amp;F210&amp;" p"&amp;G210</f>
        <v/>
      </c>
      <c r="R210" s="9" t="inlineStr">
        <is>
          <t>ODF-08/09</t>
        </is>
      </c>
      <c r="S210" s="9" t="inlineStr">
        <is>
          <t>Trái</t>
        </is>
      </c>
      <c r="T210" s="9" t="inlineStr">
        <is>
          <t>H1-C2</t>
        </is>
      </c>
      <c r="U210" s="9" t="inlineStr">
        <is>
          <t>A-40</t>
        </is>
      </c>
    </row>
    <row r="211">
      <c r="A211" s="149" t="inlineStr">
        <is>
          <t>A-9-11</t>
        </is>
      </c>
      <c r="B211" s="99" t="inlineStr">
        <is>
          <t>A</t>
        </is>
      </c>
      <c r="C211" s="99" t="inlineStr">
        <is>
          <t>9</t>
        </is>
      </c>
      <c r="D211" s="99" t="n">
        <v>11</v>
      </c>
      <c r="E211" s="99" t="inlineStr">
        <is>
          <t>TU-A9</t>
        </is>
      </c>
      <c r="F211" s="99" t="inlineStr">
        <is>
          <t>TU-A9/S2</t>
        </is>
      </c>
      <c r="G211" s="99" t="n">
        <v>11</v>
      </c>
      <c r="H211" s="99" t="inlineStr">
        <is>
          <t>TR-A2</t>
        </is>
      </c>
      <c r="I211" s="99" t="n">
        <v>2</v>
      </c>
      <c r="J211" s="99" t="inlineStr">
        <is>
          <t>Ống 1 Xanh dương / Cam</t>
        </is>
      </c>
      <c r="K211" s="99" t="inlineStr">
        <is>
          <t>S4-04</t>
        </is>
      </c>
      <c r="L211" s="99" t="inlineStr">
        <is>
          <t>A-14</t>
        </is>
      </c>
      <c r="M211" s="99" t="inlineStr">
        <is>
          <t>PON-04</t>
        </is>
      </c>
      <c r="N211" s="99" t="inlineStr">
        <is>
          <t>Chưa lắp</t>
        </is>
      </c>
      <c r="O211" s="149" t="n"/>
      <c r="P211" s="150" t="n"/>
      <c r="Q211" s="13">
        <f>M211&amp;" &gt; P96#"&amp;U211&amp;" &gt; "&amp;K211&amp;" &gt; P96#"&amp;L211&amp;" &gt; "&amp;R211&amp;" "&amp;S211&amp;" "&amp;T211&amp;" &gt; "&amp;H211&amp;"#"&amp;I211&amp;" &gt; "&amp;F211&amp;" p"&amp;G211</f>
        <v/>
      </c>
      <c r="R211" s="9" t="inlineStr">
        <is>
          <t>ODF-08/09</t>
        </is>
      </c>
      <c r="S211" s="9" t="inlineStr">
        <is>
          <t>Trái</t>
        </is>
      </c>
      <c r="T211" s="9" t="inlineStr">
        <is>
          <t>H1-C2</t>
        </is>
      </c>
      <c r="U211" s="9" t="inlineStr">
        <is>
          <t>A-40</t>
        </is>
      </c>
    </row>
    <row r="212">
      <c r="A212" s="151" t="inlineStr">
        <is>
          <t>A-9-12</t>
        </is>
      </c>
      <c r="B212" s="102" t="inlineStr">
        <is>
          <t>A</t>
        </is>
      </c>
      <c r="C212" s="102" t="inlineStr">
        <is>
          <t>9</t>
        </is>
      </c>
      <c r="D212" s="102" t="n">
        <v>12</v>
      </c>
      <c r="E212" s="102" t="inlineStr">
        <is>
          <t>TU-A9</t>
        </is>
      </c>
      <c r="F212" s="102" t="inlineStr">
        <is>
          <t>TU-A9/S2</t>
        </is>
      </c>
      <c r="G212" s="102" t="n">
        <v>12</v>
      </c>
      <c r="H212" s="102" t="inlineStr">
        <is>
          <t>TR-A2</t>
        </is>
      </c>
      <c r="I212" s="102" t="n">
        <v>2</v>
      </c>
      <c r="J212" s="102" t="inlineStr">
        <is>
          <t>Ống 1 Xanh dương / Cam</t>
        </is>
      </c>
      <c r="K212" s="102" t="inlineStr">
        <is>
          <t>S4-04</t>
        </is>
      </c>
      <c r="L212" s="102" t="inlineStr">
        <is>
          <t>A-14</t>
        </is>
      </c>
      <c r="M212" s="102" t="inlineStr">
        <is>
          <t>PON-04</t>
        </is>
      </c>
      <c r="N212" s="102" t="inlineStr">
        <is>
          <t>Chưa lắp</t>
        </is>
      </c>
      <c r="O212" s="151" t="n"/>
      <c r="P212" s="152" t="n"/>
      <c r="Q212" s="13">
        <f>M212&amp;" &gt; P96#"&amp;U212&amp;" &gt; "&amp;K212&amp;" &gt; P96#"&amp;L212&amp;" &gt; "&amp;R212&amp;" "&amp;S212&amp;" "&amp;T212&amp;" &gt; "&amp;H212&amp;"#"&amp;I212&amp;" &gt; "&amp;F212&amp;" p"&amp;G212</f>
        <v/>
      </c>
      <c r="R212" s="9" t="inlineStr">
        <is>
          <t>ODF-08/09</t>
        </is>
      </c>
      <c r="S212" s="9" t="inlineStr">
        <is>
          <t>Trái</t>
        </is>
      </c>
      <c r="T212" s="9" t="inlineStr">
        <is>
          <t>H1-C2</t>
        </is>
      </c>
      <c r="U212" s="9" t="inlineStr">
        <is>
          <t>A-40</t>
        </is>
      </c>
    </row>
    <row r="213">
      <c r="A213" s="151" t="inlineStr">
        <is>
          <t>A-9-13</t>
        </is>
      </c>
      <c r="B213" s="102" t="inlineStr">
        <is>
          <t>A</t>
        </is>
      </c>
      <c r="C213" s="102" t="inlineStr">
        <is>
          <t>9</t>
        </is>
      </c>
      <c r="D213" s="102" t="n">
        <v>13</v>
      </c>
      <c r="E213" s="102" t="inlineStr">
        <is>
          <t>TU-A9</t>
        </is>
      </c>
      <c r="F213" s="102" t="inlineStr">
        <is>
          <t>TU-A9/S2</t>
        </is>
      </c>
      <c r="G213" s="102" t="n">
        <v>13</v>
      </c>
      <c r="H213" s="102" t="inlineStr">
        <is>
          <t>TR-A2</t>
        </is>
      </c>
      <c r="I213" s="102" t="n">
        <v>2</v>
      </c>
      <c r="J213" s="102" t="inlineStr">
        <is>
          <t>Ống 1 Xanh dương / Cam</t>
        </is>
      </c>
      <c r="K213" s="102" t="inlineStr">
        <is>
          <t>S4-04</t>
        </is>
      </c>
      <c r="L213" s="102" t="inlineStr">
        <is>
          <t>A-14</t>
        </is>
      </c>
      <c r="M213" s="102" t="inlineStr">
        <is>
          <t>PON-04</t>
        </is>
      </c>
      <c r="N213" s="102" t="inlineStr">
        <is>
          <t>Chưa lắp</t>
        </is>
      </c>
      <c r="O213" s="151" t="n"/>
      <c r="P213" s="152" t="n"/>
      <c r="Q213" s="13">
        <f>M213&amp;" &gt; P96#"&amp;U213&amp;" &gt; "&amp;K213&amp;" &gt; P96#"&amp;L213&amp;" &gt; "&amp;R213&amp;" "&amp;S213&amp;" "&amp;T213&amp;" &gt; "&amp;H213&amp;"#"&amp;I213&amp;" &gt; "&amp;F213&amp;" p"&amp;G213</f>
        <v/>
      </c>
      <c r="R213" s="9" t="inlineStr">
        <is>
          <t>ODF-08/09</t>
        </is>
      </c>
      <c r="S213" s="9" t="inlineStr">
        <is>
          <t>Trái</t>
        </is>
      </c>
      <c r="T213" s="9" t="inlineStr">
        <is>
          <t>H1-C2</t>
        </is>
      </c>
      <c r="U213" s="9" t="inlineStr">
        <is>
          <t>A-40</t>
        </is>
      </c>
    </row>
    <row r="214">
      <c r="A214" s="151" t="inlineStr">
        <is>
          <t>A-9-14</t>
        </is>
      </c>
      <c r="B214" s="102" t="inlineStr">
        <is>
          <t>A</t>
        </is>
      </c>
      <c r="C214" s="102" t="inlineStr">
        <is>
          <t>9</t>
        </is>
      </c>
      <c r="D214" s="102" t="n">
        <v>14</v>
      </c>
      <c r="E214" s="102" t="inlineStr">
        <is>
          <t>TU-A9</t>
        </is>
      </c>
      <c r="F214" s="102" t="inlineStr">
        <is>
          <t>TU-A9/S2</t>
        </is>
      </c>
      <c r="G214" s="102" t="n">
        <v>14</v>
      </c>
      <c r="H214" s="102" t="inlineStr">
        <is>
          <t>TR-A2</t>
        </is>
      </c>
      <c r="I214" s="102" t="n">
        <v>2</v>
      </c>
      <c r="J214" s="102" t="inlineStr">
        <is>
          <t>Ống 1 Xanh dương / Cam</t>
        </is>
      </c>
      <c r="K214" s="102" t="inlineStr">
        <is>
          <t>S4-04</t>
        </is>
      </c>
      <c r="L214" s="102" t="inlineStr">
        <is>
          <t>A-14</t>
        </is>
      </c>
      <c r="M214" s="102" t="inlineStr">
        <is>
          <t>PON-04</t>
        </is>
      </c>
      <c r="N214" s="102" t="inlineStr">
        <is>
          <t>Chưa lắp</t>
        </is>
      </c>
      <c r="O214" s="151" t="n"/>
      <c r="P214" s="152" t="n"/>
      <c r="Q214" s="13">
        <f>M214&amp;" &gt; P96#"&amp;U214&amp;" &gt; "&amp;K214&amp;" &gt; P96#"&amp;L214&amp;" &gt; "&amp;R214&amp;" "&amp;S214&amp;" "&amp;T214&amp;" &gt; "&amp;H214&amp;"#"&amp;I214&amp;" &gt; "&amp;F214&amp;" p"&amp;G214</f>
        <v/>
      </c>
      <c r="R214" s="9" t="inlineStr">
        <is>
          <t>ODF-08/09</t>
        </is>
      </c>
      <c r="S214" s="9" t="inlineStr">
        <is>
          <t>Trái</t>
        </is>
      </c>
      <c r="T214" s="9" t="inlineStr">
        <is>
          <t>H1-C2</t>
        </is>
      </c>
      <c r="U214" s="9" t="inlineStr">
        <is>
          <t>A-40</t>
        </is>
      </c>
    </row>
    <row r="215">
      <c r="A215" s="151" t="inlineStr">
        <is>
          <t>A-9-15</t>
        </is>
      </c>
      <c r="B215" s="102" t="inlineStr">
        <is>
          <t>A</t>
        </is>
      </c>
      <c r="C215" s="102" t="inlineStr">
        <is>
          <t>9</t>
        </is>
      </c>
      <c r="D215" s="102" t="n">
        <v>15</v>
      </c>
      <c r="E215" s="102" t="inlineStr">
        <is>
          <t>TU-A9</t>
        </is>
      </c>
      <c r="F215" s="102" t="inlineStr">
        <is>
          <t>TU-A9/S2</t>
        </is>
      </c>
      <c r="G215" s="102" t="n">
        <v>15</v>
      </c>
      <c r="H215" s="102" t="inlineStr">
        <is>
          <t>TR-A2</t>
        </is>
      </c>
      <c r="I215" s="102" t="n">
        <v>2</v>
      </c>
      <c r="J215" s="102" t="inlineStr">
        <is>
          <t>Ống 1 Xanh dương / Cam</t>
        </is>
      </c>
      <c r="K215" s="102" t="inlineStr">
        <is>
          <t>S4-04</t>
        </is>
      </c>
      <c r="L215" s="102" t="inlineStr">
        <is>
          <t>A-14</t>
        </is>
      </c>
      <c r="M215" s="102" t="inlineStr">
        <is>
          <t>PON-04</t>
        </is>
      </c>
      <c r="N215" s="102" t="inlineStr">
        <is>
          <t>Chưa lắp</t>
        </is>
      </c>
      <c r="O215" s="151" t="n"/>
      <c r="P215" s="152" t="n"/>
      <c r="Q215" s="13">
        <f>M215&amp;" &gt; P96#"&amp;U215&amp;" &gt; "&amp;K215&amp;" &gt; P96#"&amp;L215&amp;" &gt; "&amp;R215&amp;" "&amp;S215&amp;" "&amp;T215&amp;" &gt; "&amp;H215&amp;"#"&amp;I215&amp;" &gt; "&amp;F215&amp;" p"&amp;G215</f>
        <v/>
      </c>
      <c r="R215" s="9" t="inlineStr">
        <is>
          <t>ODF-08/09</t>
        </is>
      </c>
      <c r="S215" s="9" t="inlineStr">
        <is>
          <t>Trái</t>
        </is>
      </c>
      <c r="T215" s="9" t="inlineStr">
        <is>
          <t>H1-C2</t>
        </is>
      </c>
      <c r="U215" s="9" t="inlineStr">
        <is>
          <t>A-40</t>
        </is>
      </c>
    </row>
    <row r="216">
      <c r="A216" s="151" t="inlineStr">
        <is>
          <t>A-8-01</t>
        </is>
      </c>
      <c r="B216" s="102" t="inlineStr">
        <is>
          <t>A</t>
        </is>
      </c>
      <c r="C216" s="102" t="inlineStr">
        <is>
          <t>8</t>
        </is>
      </c>
      <c r="D216" s="102" t="n">
        <v>1</v>
      </c>
      <c r="E216" s="102" t="inlineStr">
        <is>
          <t>TU-A9</t>
        </is>
      </c>
      <c r="F216" s="102" t="inlineStr">
        <is>
          <t>TU-A9/S1</t>
        </is>
      </c>
      <c r="G216" s="102" t="n">
        <v>1</v>
      </c>
      <c r="H216" s="102" t="inlineStr">
        <is>
          <t>TR-A2</t>
        </is>
      </c>
      <c r="I216" s="102" t="n">
        <v>1</v>
      </c>
      <c r="J216" s="102" t="inlineStr">
        <is>
          <t>Ống 1 Xanh dương / Xanh dương</t>
        </is>
      </c>
      <c r="K216" s="102" t="inlineStr">
        <is>
          <t>S4-04</t>
        </is>
      </c>
      <c r="L216" s="102" t="inlineStr">
        <is>
          <t>A-13</t>
        </is>
      </c>
      <c r="M216" s="102" t="inlineStr">
        <is>
          <t>PON-04</t>
        </is>
      </c>
      <c r="N216" s="102" t="inlineStr">
        <is>
          <t>Chưa lắp</t>
        </is>
      </c>
      <c r="O216" s="151" t="n"/>
      <c r="P216" s="152" t="n"/>
      <c r="Q216" s="13">
        <f>M216&amp;" &gt; P96#"&amp;U216&amp;" &gt; "&amp;K216&amp;" &gt; P96#"&amp;L216&amp;" &gt; "&amp;R216&amp;" "&amp;S216&amp;" "&amp;T216&amp;" &gt; "&amp;H216&amp;"#"&amp;I216&amp;" &gt; "&amp;F216&amp;" p"&amp;G216</f>
        <v/>
      </c>
      <c r="R216" s="9" t="inlineStr">
        <is>
          <t>ODF-08/09</t>
        </is>
      </c>
      <c r="S216" s="9" t="inlineStr">
        <is>
          <t>Trái</t>
        </is>
      </c>
      <c r="T216" s="9" t="inlineStr">
        <is>
          <t>H1-C1</t>
        </is>
      </c>
      <c r="U216" s="9" t="inlineStr">
        <is>
          <t>A-40</t>
        </is>
      </c>
    </row>
    <row r="217">
      <c r="A217" s="151" t="inlineStr">
        <is>
          <t>A-8-02</t>
        </is>
      </c>
      <c r="B217" s="102" t="inlineStr">
        <is>
          <t>A</t>
        </is>
      </c>
      <c r="C217" s="102" t="inlineStr">
        <is>
          <t>8</t>
        </is>
      </c>
      <c r="D217" s="102" t="n">
        <v>2</v>
      </c>
      <c r="E217" s="102" t="inlineStr">
        <is>
          <t>TU-A9</t>
        </is>
      </c>
      <c r="F217" s="102" t="inlineStr">
        <is>
          <t>TU-A9/S1</t>
        </is>
      </c>
      <c r="G217" s="102" t="n">
        <v>2</v>
      </c>
      <c r="H217" s="102" t="inlineStr">
        <is>
          <t>TR-A2</t>
        </is>
      </c>
      <c r="I217" s="102" t="n">
        <v>1</v>
      </c>
      <c r="J217" s="102" t="inlineStr">
        <is>
          <t>Ống 1 Xanh dương / Xanh dương</t>
        </is>
      </c>
      <c r="K217" s="102" t="inlineStr">
        <is>
          <t>S4-04</t>
        </is>
      </c>
      <c r="L217" s="102" t="inlineStr">
        <is>
          <t>A-13</t>
        </is>
      </c>
      <c r="M217" s="102" t="inlineStr">
        <is>
          <t>PON-04</t>
        </is>
      </c>
      <c r="N217" s="102" t="inlineStr">
        <is>
          <t>Chưa lắp</t>
        </is>
      </c>
      <c r="O217" s="151" t="n"/>
      <c r="P217" s="152" t="n"/>
      <c r="Q217" s="13">
        <f>M217&amp;" &gt; P96#"&amp;U217&amp;" &gt; "&amp;K217&amp;" &gt; P96#"&amp;L217&amp;" &gt; "&amp;R217&amp;" "&amp;S217&amp;" "&amp;T217&amp;" &gt; "&amp;H217&amp;"#"&amp;I217&amp;" &gt; "&amp;F217&amp;" p"&amp;G217</f>
        <v/>
      </c>
      <c r="R217" s="9" t="inlineStr">
        <is>
          <t>ODF-08/09</t>
        </is>
      </c>
      <c r="S217" s="9" t="inlineStr">
        <is>
          <t>Trái</t>
        </is>
      </c>
      <c r="T217" s="9" t="inlineStr">
        <is>
          <t>H1-C1</t>
        </is>
      </c>
      <c r="U217" s="9" t="inlineStr">
        <is>
          <t>A-40</t>
        </is>
      </c>
    </row>
    <row r="218">
      <c r="A218" s="151" t="inlineStr">
        <is>
          <t>A-8-03</t>
        </is>
      </c>
      <c r="B218" s="102" t="inlineStr">
        <is>
          <t>A</t>
        </is>
      </c>
      <c r="C218" s="102" t="inlineStr">
        <is>
          <t>8</t>
        </is>
      </c>
      <c r="D218" s="102" t="n">
        <v>3</v>
      </c>
      <c r="E218" s="102" t="inlineStr">
        <is>
          <t>TU-A9</t>
        </is>
      </c>
      <c r="F218" s="102" t="inlineStr">
        <is>
          <t>TU-A9/S1</t>
        </is>
      </c>
      <c r="G218" s="102" t="n">
        <v>3</v>
      </c>
      <c r="H218" s="102" t="inlineStr">
        <is>
          <t>TR-A2</t>
        </is>
      </c>
      <c r="I218" s="102" t="n">
        <v>1</v>
      </c>
      <c r="J218" s="102" t="inlineStr">
        <is>
          <t>Ống 1 Xanh dương / Xanh dương</t>
        </is>
      </c>
      <c r="K218" s="102" t="inlineStr">
        <is>
          <t>S4-04</t>
        </is>
      </c>
      <c r="L218" s="102" t="inlineStr">
        <is>
          <t>A-13</t>
        </is>
      </c>
      <c r="M218" s="102" t="inlineStr">
        <is>
          <t>PON-04</t>
        </is>
      </c>
      <c r="N218" s="102" t="inlineStr">
        <is>
          <t>Chưa lắp</t>
        </is>
      </c>
      <c r="O218" s="151" t="n"/>
      <c r="P218" s="152" t="n"/>
      <c r="Q218" s="13">
        <f>M218&amp;" &gt; P96#"&amp;U218&amp;" &gt; "&amp;K218&amp;" &gt; P96#"&amp;L218&amp;" &gt; "&amp;R218&amp;" "&amp;S218&amp;" "&amp;T218&amp;" &gt; "&amp;H218&amp;"#"&amp;I218&amp;" &gt; "&amp;F218&amp;" p"&amp;G218</f>
        <v/>
      </c>
      <c r="R218" s="9" t="inlineStr">
        <is>
          <t>ODF-08/09</t>
        </is>
      </c>
      <c r="S218" s="9" t="inlineStr">
        <is>
          <t>Trái</t>
        </is>
      </c>
      <c r="T218" s="9" t="inlineStr">
        <is>
          <t>H1-C1</t>
        </is>
      </c>
      <c r="U218" s="9" t="inlineStr">
        <is>
          <t>A-40</t>
        </is>
      </c>
    </row>
    <row r="219">
      <c r="A219" s="151" t="inlineStr">
        <is>
          <t>A-8-04</t>
        </is>
      </c>
      <c r="B219" s="102" t="inlineStr">
        <is>
          <t>A</t>
        </is>
      </c>
      <c r="C219" s="102" t="inlineStr">
        <is>
          <t>8</t>
        </is>
      </c>
      <c r="D219" s="102" t="n">
        <v>4</v>
      </c>
      <c r="E219" s="102" t="inlineStr">
        <is>
          <t>TU-A9</t>
        </is>
      </c>
      <c r="F219" s="102" t="inlineStr">
        <is>
          <t>TU-A9/S1</t>
        </is>
      </c>
      <c r="G219" s="102" t="n">
        <v>4</v>
      </c>
      <c r="H219" s="102" t="inlineStr">
        <is>
          <t>TR-A2</t>
        </is>
      </c>
      <c r="I219" s="102" t="n">
        <v>1</v>
      </c>
      <c r="J219" s="102" t="inlineStr">
        <is>
          <t>Ống 1 Xanh dương / Xanh dương</t>
        </is>
      </c>
      <c r="K219" s="102" t="inlineStr">
        <is>
          <t>S4-04</t>
        </is>
      </c>
      <c r="L219" s="102" t="inlineStr">
        <is>
          <t>A-13</t>
        </is>
      </c>
      <c r="M219" s="102" t="inlineStr">
        <is>
          <t>PON-04</t>
        </is>
      </c>
      <c r="N219" s="102" t="inlineStr">
        <is>
          <t>Chưa lắp</t>
        </is>
      </c>
      <c r="O219" s="151" t="n"/>
      <c r="P219" s="152" t="n"/>
      <c r="Q219" s="13">
        <f>M219&amp;" &gt; P96#"&amp;U219&amp;" &gt; "&amp;K219&amp;" &gt; P96#"&amp;L219&amp;" &gt; "&amp;R219&amp;" "&amp;S219&amp;" "&amp;T219&amp;" &gt; "&amp;H219&amp;"#"&amp;I219&amp;" &gt; "&amp;F219&amp;" p"&amp;G219</f>
        <v/>
      </c>
      <c r="R219" s="9" t="inlineStr">
        <is>
          <t>ODF-08/09</t>
        </is>
      </c>
      <c r="S219" s="9" t="inlineStr">
        <is>
          <t>Trái</t>
        </is>
      </c>
      <c r="T219" s="9" t="inlineStr">
        <is>
          <t>H1-C1</t>
        </is>
      </c>
      <c r="U219" s="9" t="inlineStr">
        <is>
          <t>A-40</t>
        </is>
      </c>
    </row>
    <row r="220">
      <c r="A220" s="151" t="inlineStr">
        <is>
          <t>A-8-05</t>
        </is>
      </c>
      <c r="B220" s="102" t="inlineStr">
        <is>
          <t>A</t>
        </is>
      </c>
      <c r="C220" s="102" t="inlineStr">
        <is>
          <t>8</t>
        </is>
      </c>
      <c r="D220" s="102" t="n">
        <v>5</v>
      </c>
      <c r="E220" s="102" t="inlineStr">
        <is>
          <t>TU-A9</t>
        </is>
      </c>
      <c r="F220" s="102" t="inlineStr">
        <is>
          <t>TU-A9/S1</t>
        </is>
      </c>
      <c r="G220" s="102" t="n">
        <v>5</v>
      </c>
      <c r="H220" s="102" t="inlineStr">
        <is>
          <t>TR-A2</t>
        </is>
      </c>
      <c r="I220" s="102" t="n">
        <v>1</v>
      </c>
      <c r="J220" s="102" t="inlineStr">
        <is>
          <t>Ống 1 Xanh dương / Xanh dương</t>
        </is>
      </c>
      <c r="K220" s="102" t="inlineStr">
        <is>
          <t>S4-04</t>
        </is>
      </c>
      <c r="L220" s="102" t="inlineStr">
        <is>
          <t>A-13</t>
        </is>
      </c>
      <c r="M220" s="102" t="inlineStr">
        <is>
          <t>PON-04</t>
        </is>
      </c>
      <c r="N220" s="102" t="inlineStr">
        <is>
          <t>Chưa lắp</t>
        </is>
      </c>
      <c r="O220" s="151" t="n"/>
      <c r="P220" s="152" t="n"/>
      <c r="Q220" s="13">
        <f>M220&amp;" &gt; P96#"&amp;U220&amp;" &gt; "&amp;K220&amp;" &gt; P96#"&amp;L220&amp;" &gt; "&amp;R220&amp;" "&amp;S220&amp;" "&amp;T220&amp;" &gt; "&amp;H220&amp;"#"&amp;I220&amp;" &gt; "&amp;F220&amp;" p"&amp;G220</f>
        <v/>
      </c>
      <c r="R220" s="9" t="inlineStr">
        <is>
          <t>ODF-08/09</t>
        </is>
      </c>
      <c r="S220" s="9" t="inlineStr">
        <is>
          <t>Trái</t>
        </is>
      </c>
      <c r="T220" s="9" t="inlineStr">
        <is>
          <t>H1-C1</t>
        </is>
      </c>
      <c r="U220" s="9" t="inlineStr">
        <is>
          <t>A-40</t>
        </is>
      </c>
    </row>
    <row r="221">
      <c r="A221" s="151" t="inlineStr">
        <is>
          <t>A-8-06</t>
        </is>
      </c>
      <c r="B221" s="102" t="inlineStr">
        <is>
          <t>A</t>
        </is>
      </c>
      <c r="C221" s="102" t="inlineStr">
        <is>
          <t>8</t>
        </is>
      </c>
      <c r="D221" s="102" t="n">
        <v>6</v>
      </c>
      <c r="E221" s="102" t="inlineStr">
        <is>
          <t>TU-A9</t>
        </is>
      </c>
      <c r="F221" s="102" t="inlineStr">
        <is>
          <t>TU-A9/S1</t>
        </is>
      </c>
      <c r="G221" s="102" t="n">
        <v>6</v>
      </c>
      <c r="H221" s="102" t="inlineStr">
        <is>
          <t>TR-A2</t>
        </is>
      </c>
      <c r="I221" s="102" t="n">
        <v>1</v>
      </c>
      <c r="J221" s="102" t="inlineStr">
        <is>
          <t>Ống 1 Xanh dương / Xanh dương</t>
        </is>
      </c>
      <c r="K221" s="102" t="inlineStr">
        <is>
          <t>S4-04</t>
        </is>
      </c>
      <c r="L221" s="102" t="inlineStr">
        <is>
          <t>A-13</t>
        </is>
      </c>
      <c r="M221" s="102" t="inlineStr">
        <is>
          <t>PON-04</t>
        </is>
      </c>
      <c r="N221" s="102" t="inlineStr">
        <is>
          <t>Chưa lắp</t>
        </is>
      </c>
      <c r="O221" s="151" t="n"/>
      <c r="P221" s="152" t="n"/>
      <c r="Q221" s="13">
        <f>M221&amp;" &gt; P96#"&amp;U221&amp;" &gt; "&amp;K221&amp;" &gt; P96#"&amp;L221&amp;" &gt; "&amp;R221&amp;" "&amp;S221&amp;" "&amp;T221&amp;" &gt; "&amp;H221&amp;"#"&amp;I221&amp;" &gt; "&amp;F221&amp;" p"&amp;G221</f>
        <v/>
      </c>
      <c r="R221" s="9" t="inlineStr">
        <is>
          <t>ODF-08/09</t>
        </is>
      </c>
      <c r="S221" s="9" t="inlineStr">
        <is>
          <t>Trái</t>
        </is>
      </c>
      <c r="T221" s="9" t="inlineStr">
        <is>
          <t>H1-C1</t>
        </is>
      </c>
      <c r="U221" s="9" t="inlineStr">
        <is>
          <t>A-40</t>
        </is>
      </c>
    </row>
    <row r="222">
      <c r="A222" s="151" t="inlineStr">
        <is>
          <t>A-8-07</t>
        </is>
      </c>
      <c r="B222" s="102" t="inlineStr">
        <is>
          <t>A</t>
        </is>
      </c>
      <c r="C222" s="102" t="inlineStr">
        <is>
          <t>8</t>
        </is>
      </c>
      <c r="D222" s="102" t="n">
        <v>7</v>
      </c>
      <c r="E222" s="102" t="inlineStr">
        <is>
          <t>TU-A9</t>
        </is>
      </c>
      <c r="F222" s="102" t="inlineStr">
        <is>
          <t>TU-A9/S1</t>
        </is>
      </c>
      <c r="G222" s="102" t="n">
        <v>7</v>
      </c>
      <c r="H222" s="102" t="inlineStr">
        <is>
          <t>TR-A2</t>
        </is>
      </c>
      <c r="I222" s="102" t="n">
        <v>1</v>
      </c>
      <c r="J222" s="102" t="inlineStr">
        <is>
          <t>Ống 1 Xanh dương / Xanh dương</t>
        </is>
      </c>
      <c r="K222" s="102" t="inlineStr">
        <is>
          <t>S4-04</t>
        </is>
      </c>
      <c r="L222" s="102" t="inlineStr">
        <is>
          <t>A-13</t>
        </is>
      </c>
      <c r="M222" s="102" t="inlineStr">
        <is>
          <t>PON-04</t>
        </is>
      </c>
      <c r="N222" s="102" t="inlineStr">
        <is>
          <t>Chưa lắp</t>
        </is>
      </c>
      <c r="O222" s="151" t="n"/>
      <c r="P222" s="152" t="n"/>
      <c r="Q222" s="13">
        <f>M222&amp;" &gt; P96#"&amp;U222&amp;" &gt; "&amp;K222&amp;" &gt; P96#"&amp;L222&amp;" &gt; "&amp;R222&amp;" "&amp;S222&amp;" "&amp;T222&amp;" &gt; "&amp;H222&amp;"#"&amp;I222&amp;" &gt; "&amp;F222&amp;" p"&amp;G222</f>
        <v/>
      </c>
      <c r="R222" s="9" t="inlineStr">
        <is>
          <t>ODF-08/09</t>
        </is>
      </c>
      <c r="S222" s="9" t="inlineStr">
        <is>
          <t>Trái</t>
        </is>
      </c>
      <c r="T222" s="9" t="inlineStr">
        <is>
          <t>H1-C1</t>
        </is>
      </c>
      <c r="U222" s="9" t="inlineStr">
        <is>
          <t>A-40</t>
        </is>
      </c>
    </row>
    <row r="223">
      <c r="A223" s="151" t="inlineStr">
        <is>
          <t>A-8-08</t>
        </is>
      </c>
      <c r="B223" s="102" t="inlineStr">
        <is>
          <t>A</t>
        </is>
      </c>
      <c r="C223" s="102" t="inlineStr">
        <is>
          <t>8</t>
        </is>
      </c>
      <c r="D223" s="102" t="n">
        <v>8</v>
      </c>
      <c r="E223" s="102" t="inlineStr">
        <is>
          <t>TU-A9</t>
        </is>
      </c>
      <c r="F223" s="102" t="inlineStr">
        <is>
          <t>TU-A9/S1</t>
        </is>
      </c>
      <c r="G223" s="102" t="n">
        <v>8</v>
      </c>
      <c r="H223" s="102" t="inlineStr">
        <is>
          <t>TR-A2</t>
        </is>
      </c>
      <c r="I223" s="102" t="n">
        <v>1</v>
      </c>
      <c r="J223" s="102" t="inlineStr">
        <is>
          <t>Ống 1 Xanh dương / Xanh dương</t>
        </is>
      </c>
      <c r="K223" s="102" t="inlineStr">
        <is>
          <t>S4-04</t>
        </is>
      </c>
      <c r="L223" s="102" t="inlineStr">
        <is>
          <t>A-13</t>
        </is>
      </c>
      <c r="M223" s="102" t="inlineStr">
        <is>
          <t>PON-04</t>
        </is>
      </c>
      <c r="N223" s="102" t="inlineStr">
        <is>
          <t>Chưa lắp</t>
        </is>
      </c>
      <c r="O223" s="151" t="n"/>
      <c r="P223" s="152" t="n"/>
      <c r="Q223" s="13">
        <f>M223&amp;" &gt; P96#"&amp;U223&amp;" &gt; "&amp;K223&amp;" &gt; P96#"&amp;L223&amp;" &gt; "&amp;R223&amp;" "&amp;S223&amp;" "&amp;T223&amp;" &gt; "&amp;H223&amp;"#"&amp;I223&amp;" &gt; "&amp;F223&amp;" p"&amp;G223</f>
        <v/>
      </c>
      <c r="R223" s="9" t="inlineStr">
        <is>
          <t>ODF-08/09</t>
        </is>
      </c>
      <c r="S223" s="9" t="inlineStr">
        <is>
          <t>Trái</t>
        </is>
      </c>
      <c r="T223" s="9" t="inlineStr">
        <is>
          <t>H1-C1</t>
        </is>
      </c>
      <c r="U223" s="9" t="inlineStr">
        <is>
          <t>A-40</t>
        </is>
      </c>
    </row>
    <row r="224">
      <c r="A224" s="151" t="inlineStr">
        <is>
          <t>A-8-09</t>
        </is>
      </c>
      <c r="B224" s="102" t="inlineStr">
        <is>
          <t>A</t>
        </is>
      </c>
      <c r="C224" s="102" t="inlineStr">
        <is>
          <t>8</t>
        </is>
      </c>
      <c r="D224" s="102" t="n">
        <v>9</v>
      </c>
      <c r="E224" s="102" t="inlineStr">
        <is>
          <t>TU-A9</t>
        </is>
      </c>
      <c r="F224" s="102" t="inlineStr">
        <is>
          <t>TU-A9/S1</t>
        </is>
      </c>
      <c r="G224" s="102" t="n">
        <v>9</v>
      </c>
      <c r="H224" s="102" t="inlineStr">
        <is>
          <t>TR-A2</t>
        </is>
      </c>
      <c r="I224" s="102" t="n">
        <v>1</v>
      </c>
      <c r="J224" s="102" t="inlineStr">
        <is>
          <t>Ống 1 Xanh dương / Xanh dương</t>
        </is>
      </c>
      <c r="K224" s="102" t="inlineStr">
        <is>
          <t>S4-04</t>
        </is>
      </c>
      <c r="L224" s="102" t="inlineStr">
        <is>
          <t>A-13</t>
        </is>
      </c>
      <c r="M224" s="102" t="inlineStr">
        <is>
          <t>PON-04</t>
        </is>
      </c>
      <c r="N224" s="102" t="inlineStr">
        <is>
          <t>Chưa lắp</t>
        </is>
      </c>
      <c r="O224" s="151" t="n"/>
      <c r="P224" s="152" t="n"/>
      <c r="Q224" s="13">
        <f>M224&amp;" &gt; P96#"&amp;U224&amp;" &gt; "&amp;K224&amp;" &gt; P96#"&amp;L224&amp;" &gt; "&amp;R224&amp;" "&amp;S224&amp;" "&amp;T224&amp;" &gt; "&amp;H224&amp;"#"&amp;I224&amp;" &gt; "&amp;F224&amp;" p"&amp;G224</f>
        <v/>
      </c>
      <c r="R224" s="9" t="inlineStr">
        <is>
          <t>ODF-08/09</t>
        </is>
      </c>
      <c r="S224" s="9" t="inlineStr">
        <is>
          <t>Trái</t>
        </is>
      </c>
      <c r="T224" s="9" t="inlineStr">
        <is>
          <t>H1-C1</t>
        </is>
      </c>
      <c r="U224" s="9" t="inlineStr">
        <is>
          <t>A-40</t>
        </is>
      </c>
    </row>
    <row r="225">
      <c r="A225" s="151" t="inlineStr">
        <is>
          <t>A-8-10</t>
        </is>
      </c>
      <c r="B225" s="102" t="inlineStr">
        <is>
          <t>A</t>
        </is>
      </c>
      <c r="C225" s="102" t="inlineStr">
        <is>
          <t>8</t>
        </is>
      </c>
      <c r="D225" s="102" t="n">
        <v>10</v>
      </c>
      <c r="E225" s="102" t="inlineStr">
        <is>
          <t>TU-A9</t>
        </is>
      </c>
      <c r="F225" s="102" t="inlineStr">
        <is>
          <t>TU-A9/S1</t>
        </is>
      </c>
      <c r="G225" s="102" t="n">
        <v>10</v>
      </c>
      <c r="H225" s="102" t="inlineStr">
        <is>
          <t>TR-A2</t>
        </is>
      </c>
      <c r="I225" s="102" t="n">
        <v>1</v>
      </c>
      <c r="J225" s="102" t="inlineStr">
        <is>
          <t>Ống 1 Xanh dương / Xanh dương</t>
        </is>
      </c>
      <c r="K225" s="102" t="inlineStr">
        <is>
          <t>S4-04</t>
        </is>
      </c>
      <c r="L225" s="102" t="inlineStr">
        <is>
          <t>A-13</t>
        </is>
      </c>
      <c r="M225" s="102" t="inlineStr">
        <is>
          <t>PON-04</t>
        </is>
      </c>
      <c r="N225" s="102" t="inlineStr">
        <is>
          <t>Chưa lắp</t>
        </is>
      </c>
      <c r="O225" s="151" t="n"/>
      <c r="P225" s="152" t="n"/>
      <c r="Q225" s="13">
        <f>M225&amp;" &gt; P96#"&amp;U225&amp;" &gt; "&amp;K225&amp;" &gt; P96#"&amp;L225&amp;" &gt; "&amp;R225&amp;" "&amp;S225&amp;" "&amp;T225&amp;" &gt; "&amp;H225&amp;"#"&amp;I225&amp;" &gt; "&amp;F225&amp;" p"&amp;G225</f>
        <v/>
      </c>
      <c r="R225" s="9" t="inlineStr">
        <is>
          <t>ODF-08/09</t>
        </is>
      </c>
      <c r="S225" s="9" t="inlineStr">
        <is>
          <t>Trái</t>
        </is>
      </c>
      <c r="T225" s="9" t="inlineStr">
        <is>
          <t>H1-C1</t>
        </is>
      </c>
      <c r="U225" s="9" t="inlineStr">
        <is>
          <t>A-40</t>
        </is>
      </c>
    </row>
    <row r="226">
      <c r="A226" s="149" t="inlineStr">
        <is>
          <t>A-8-11</t>
        </is>
      </c>
      <c r="B226" s="99" t="inlineStr">
        <is>
          <t>A</t>
        </is>
      </c>
      <c r="C226" s="99" t="inlineStr">
        <is>
          <t>8</t>
        </is>
      </c>
      <c r="D226" s="99" t="n">
        <v>11</v>
      </c>
      <c r="E226" s="99" t="inlineStr">
        <is>
          <t>TU-A9</t>
        </is>
      </c>
      <c r="F226" s="99" t="inlineStr">
        <is>
          <t>TU-A9/S1</t>
        </is>
      </c>
      <c r="G226" s="99" t="n">
        <v>11</v>
      </c>
      <c r="H226" s="99" t="inlineStr">
        <is>
          <t>TR-A2</t>
        </is>
      </c>
      <c r="I226" s="99" t="n">
        <v>1</v>
      </c>
      <c r="J226" s="99" t="inlineStr">
        <is>
          <t>Ống 1 Xanh dương / Xanh dương</t>
        </is>
      </c>
      <c r="K226" s="99" t="inlineStr">
        <is>
          <t>S4-04</t>
        </is>
      </c>
      <c r="L226" s="99" t="inlineStr">
        <is>
          <t>A-13</t>
        </is>
      </c>
      <c r="M226" s="99" t="inlineStr">
        <is>
          <t>PON-04</t>
        </is>
      </c>
      <c r="N226" s="99" t="inlineStr">
        <is>
          <t>Chưa lắp</t>
        </is>
      </c>
      <c r="O226" s="149" t="n"/>
      <c r="P226" s="150" t="n"/>
      <c r="Q226" s="13">
        <f>M226&amp;" &gt; P96#"&amp;U226&amp;" &gt; "&amp;K226&amp;" &gt; P96#"&amp;L226&amp;" &gt; "&amp;R226&amp;" "&amp;S226&amp;" "&amp;T226&amp;" &gt; "&amp;H226&amp;"#"&amp;I226&amp;" &gt; "&amp;F226&amp;" p"&amp;G226</f>
        <v/>
      </c>
      <c r="R226" s="9" t="inlineStr">
        <is>
          <t>ODF-08/09</t>
        </is>
      </c>
      <c r="S226" s="9" t="inlineStr">
        <is>
          <t>Trái</t>
        </is>
      </c>
      <c r="T226" s="9" t="inlineStr">
        <is>
          <t>H1-C1</t>
        </is>
      </c>
      <c r="U226" s="9" t="inlineStr">
        <is>
          <t>A-40</t>
        </is>
      </c>
    </row>
    <row r="227">
      <c r="A227" s="149" t="inlineStr">
        <is>
          <t>A-8-12</t>
        </is>
      </c>
      <c r="B227" s="99" t="inlineStr">
        <is>
          <t>A</t>
        </is>
      </c>
      <c r="C227" s="99" t="inlineStr">
        <is>
          <t>8</t>
        </is>
      </c>
      <c r="D227" s="99" t="n">
        <v>12</v>
      </c>
      <c r="E227" s="99" t="inlineStr">
        <is>
          <t>TU-A9</t>
        </is>
      </c>
      <c r="F227" s="99" t="inlineStr">
        <is>
          <t>TU-A9/S1</t>
        </is>
      </c>
      <c r="G227" s="99" t="n">
        <v>12</v>
      </c>
      <c r="H227" s="99" t="inlineStr">
        <is>
          <t>TR-A2</t>
        </is>
      </c>
      <c r="I227" s="99" t="n">
        <v>1</v>
      </c>
      <c r="J227" s="99" t="inlineStr">
        <is>
          <t>Ống 1 Xanh dương / Xanh dương</t>
        </is>
      </c>
      <c r="K227" s="99" t="inlineStr">
        <is>
          <t>S4-04</t>
        </is>
      </c>
      <c r="L227" s="99" t="inlineStr">
        <is>
          <t>A-13</t>
        </is>
      </c>
      <c r="M227" s="99" t="inlineStr">
        <is>
          <t>PON-04</t>
        </is>
      </c>
      <c r="N227" s="99" t="inlineStr">
        <is>
          <t>Chưa lắp</t>
        </is>
      </c>
      <c r="O227" s="149" t="n"/>
      <c r="P227" s="150" t="n"/>
      <c r="Q227" s="13">
        <f>M227&amp;" &gt; P96#"&amp;U227&amp;" &gt; "&amp;K227&amp;" &gt; P96#"&amp;L227&amp;" &gt; "&amp;R227&amp;" "&amp;S227&amp;" "&amp;T227&amp;" &gt; "&amp;H227&amp;"#"&amp;I227&amp;" &gt; "&amp;F227&amp;" p"&amp;G227</f>
        <v/>
      </c>
      <c r="R227" s="9" t="inlineStr">
        <is>
          <t>ODF-08/09</t>
        </is>
      </c>
      <c r="S227" s="9" t="inlineStr">
        <is>
          <t>Trái</t>
        </is>
      </c>
      <c r="T227" s="9" t="inlineStr">
        <is>
          <t>H1-C1</t>
        </is>
      </c>
      <c r="U227" s="9" t="inlineStr">
        <is>
          <t>A-40</t>
        </is>
      </c>
    </row>
    <row r="228">
      <c r="A228" s="149" t="inlineStr">
        <is>
          <t>A-8-13</t>
        </is>
      </c>
      <c r="B228" s="99" t="inlineStr">
        <is>
          <t>A</t>
        </is>
      </c>
      <c r="C228" s="99" t="inlineStr">
        <is>
          <t>8</t>
        </is>
      </c>
      <c r="D228" s="99" t="n">
        <v>13</v>
      </c>
      <c r="E228" s="99" t="inlineStr">
        <is>
          <t>TU-A9</t>
        </is>
      </c>
      <c r="F228" s="99" t="inlineStr">
        <is>
          <t>TU-A9/S1</t>
        </is>
      </c>
      <c r="G228" s="99" t="n">
        <v>13</v>
      </c>
      <c r="H228" s="99" t="inlineStr">
        <is>
          <t>TR-A2</t>
        </is>
      </c>
      <c r="I228" s="99" t="n">
        <v>1</v>
      </c>
      <c r="J228" s="99" t="inlineStr">
        <is>
          <t>Ống 1 Xanh dương / Xanh dương</t>
        </is>
      </c>
      <c r="K228" s="99" t="inlineStr">
        <is>
          <t>S4-04</t>
        </is>
      </c>
      <c r="L228" s="99" t="inlineStr">
        <is>
          <t>A-13</t>
        </is>
      </c>
      <c r="M228" s="99" t="inlineStr">
        <is>
          <t>PON-04</t>
        </is>
      </c>
      <c r="N228" s="99" t="inlineStr">
        <is>
          <t>Chưa lắp</t>
        </is>
      </c>
      <c r="O228" s="149" t="n"/>
      <c r="P228" s="150" t="n"/>
      <c r="Q228" s="13">
        <f>M228&amp;" &gt; P96#"&amp;U228&amp;" &gt; "&amp;K228&amp;" &gt; P96#"&amp;L228&amp;" &gt; "&amp;R228&amp;" "&amp;S228&amp;" "&amp;T228&amp;" &gt; "&amp;H228&amp;"#"&amp;I228&amp;" &gt; "&amp;F228&amp;" p"&amp;G228</f>
        <v/>
      </c>
      <c r="R228" s="9" t="inlineStr">
        <is>
          <t>ODF-08/09</t>
        </is>
      </c>
      <c r="S228" s="9" t="inlineStr">
        <is>
          <t>Trái</t>
        </is>
      </c>
      <c r="T228" s="9" t="inlineStr">
        <is>
          <t>H1-C1</t>
        </is>
      </c>
      <c r="U228" s="9" t="inlineStr">
        <is>
          <t>A-40</t>
        </is>
      </c>
    </row>
    <row r="229">
      <c r="A229" s="149" t="inlineStr">
        <is>
          <t>A-8-14</t>
        </is>
      </c>
      <c r="B229" s="99" t="inlineStr">
        <is>
          <t>A</t>
        </is>
      </c>
      <c r="C229" s="99" t="inlineStr">
        <is>
          <t>8</t>
        </is>
      </c>
      <c r="D229" s="99" t="n">
        <v>14</v>
      </c>
      <c r="E229" s="99" t="inlineStr">
        <is>
          <t>TU-A9</t>
        </is>
      </c>
      <c r="F229" s="99" t="inlineStr">
        <is>
          <t>TU-A9/S1</t>
        </is>
      </c>
      <c r="G229" s="99" t="n">
        <v>14</v>
      </c>
      <c r="H229" s="99" t="inlineStr">
        <is>
          <t>TR-A2</t>
        </is>
      </c>
      <c r="I229" s="99" t="n">
        <v>1</v>
      </c>
      <c r="J229" s="99" t="inlineStr">
        <is>
          <t>Ống 1 Xanh dương / Xanh dương</t>
        </is>
      </c>
      <c r="K229" s="99" t="inlineStr">
        <is>
          <t>S4-04</t>
        </is>
      </c>
      <c r="L229" s="99" t="inlineStr">
        <is>
          <t>A-13</t>
        </is>
      </c>
      <c r="M229" s="99" t="inlineStr">
        <is>
          <t>PON-04</t>
        </is>
      </c>
      <c r="N229" s="99" t="inlineStr">
        <is>
          <t>Chưa lắp</t>
        </is>
      </c>
      <c r="O229" s="149" t="n"/>
      <c r="P229" s="150" t="n"/>
      <c r="Q229" s="13">
        <f>M229&amp;" &gt; P96#"&amp;U229&amp;" &gt; "&amp;K229&amp;" &gt; P96#"&amp;L229&amp;" &gt; "&amp;R229&amp;" "&amp;S229&amp;" "&amp;T229&amp;" &gt; "&amp;H229&amp;"#"&amp;I229&amp;" &gt; "&amp;F229&amp;" p"&amp;G229</f>
        <v/>
      </c>
      <c r="R229" s="9" t="inlineStr">
        <is>
          <t>ODF-08/09</t>
        </is>
      </c>
      <c r="S229" s="9" t="inlineStr">
        <is>
          <t>Trái</t>
        </is>
      </c>
      <c r="T229" s="9" t="inlineStr">
        <is>
          <t>H1-C1</t>
        </is>
      </c>
      <c r="U229" s="9" t="inlineStr">
        <is>
          <t>A-40</t>
        </is>
      </c>
    </row>
    <row r="230">
      <c r="A230" s="149" t="inlineStr">
        <is>
          <t>A-8-15</t>
        </is>
      </c>
      <c r="B230" s="99" t="inlineStr">
        <is>
          <t>A</t>
        </is>
      </c>
      <c r="C230" s="99" t="inlineStr">
        <is>
          <t>8</t>
        </is>
      </c>
      <c r="D230" s="99" t="n">
        <v>15</v>
      </c>
      <c r="E230" s="99" t="inlineStr">
        <is>
          <t>TU-A9</t>
        </is>
      </c>
      <c r="F230" s="99" t="inlineStr">
        <is>
          <t>TU-A9/S1</t>
        </is>
      </c>
      <c r="G230" s="99" t="n">
        <v>15</v>
      </c>
      <c r="H230" s="99" t="inlineStr">
        <is>
          <t>TR-A2</t>
        </is>
      </c>
      <c r="I230" s="99" t="n">
        <v>1</v>
      </c>
      <c r="J230" s="99" t="inlineStr">
        <is>
          <t>Ống 1 Xanh dương / Xanh dương</t>
        </is>
      </c>
      <c r="K230" s="99" t="inlineStr">
        <is>
          <t>S4-04</t>
        </is>
      </c>
      <c r="L230" s="99" t="inlineStr">
        <is>
          <t>A-13</t>
        </is>
      </c>
      <c r="M230" s="99" t="inlineStr">
        <is>
          <t>PON-04</t>
        </is>
      </c>
      <c r="N230" s="99" t="inlineStr">
        <is>
          <t>Chưa lắp</t>
        </is>
      </c>
      <c r="O230" s="149" t="n"/>
      <c r="P230" s="150" t="n"/>
      <c r="Q230" s="13">
        <f>M230&amp;" &gt; P96#"&amp;U230&amp;" &gt; "&amp;K230&amp;" &gt; P96#"&amp;L230&amp;" &gt; "&amp;R230&amp;" "&amp;S230&amp;" "&amp;T230&amp;" &gt; "&amp;H230&amp;"#"&amp;I230&amp;" &gt; "&amp;F230&amp;" p"&amp;G230</f>
        <v/>
      </c>
      <c r="R230" s="9" t="inlineStr">
        <is>
          <t>ODF-08/09</t>
        </is>
      </c>
      <c r="S230" s="9" t="inlineStr">
        <is>
          <t>Trái</t>
        </is>
      </c>
      <c r="T230" s="9" t="inlineStr">
        <is>
          <t>H1-C1</t>
        </is>
      </c>
      <c r="U230" s="9" t="inlineStr">
        <is>
          <t>A-40</t>
        </is>
      </c>
    </row>
    <row r="231">
      <c r="A231" s="149" t="inlineStr">
        <is>
          <t>A-7-01</t>
        </is>
      </c>
      <c r="B231" s="99" t="inlineStr">
        <is>
          <t>A</t>
        </is>
      </c>
      <c r="C231" s="99" t="inlineStr">
        <is>
          <t>7</t>
        </is>
      </c>
      <c r="D231" s="99" t="n">
        <v>1</v>
      </c>
      <c r="E231" s="99" t="inlineStr">
        <is>
          <t>TU-A7</t>
        </is>
      </c>
      <c r="F231" s="99" t="inlineStr">
        <is>
          <t>TU-A7/S3</t>
        </is>
      </c>
      <c r="G231" s="99" t="n">
        <v>1</v>
      </c>
      <c r="H231" s="99" t="inlineStr">
        <is>
          <t>TR-A1</t>
        </is>
      </c>
      <c r="I231" s="99" t="n">
        <v>19</v>
      </c>
      <c r="J231" s="99" t="inlineStr">
        <is>
          <t>Ống 4 Nâu / Xanh dương</t>
        </is>
      </c>
      <c r="K231" s="99" t="inlineStr">
        <is>
          <t>S4-03</t>
        </is>
      </c>
      <c r="L231" s="99" t="inlineStr">
        <is>
          <t>A-11</t>
        </is>
      </c>
      <c r="M231" s="99" t="inlineStr">
        <is>
          <t>PON-03</t>
        </is>
      </c>
      <c r="N231" s="99" t="inlineStr">
        <is>
          <t>Chưa lắp</t>
        </is>
      </c>
      <c r="O231" s="149" t="n"/>
      <c r="P231" s="150" t="n"/>
      <c r="Q231" s="13">
        <f>M231&amp;" &gt; P96#"&amp;U231&amp;" &gt; "&amp;K231&amp;" &gt; P96#"&amp;L231&amp;" &gt; "&amp;R231&amp;" "&amp;S231&amp;" "&amp;T231&amp;" &gt; "&amp;H231&amp;"#"&amp;I231&amp;" &gt; "&amp;F231&amp;" p"&amp;G231</f>
        <v/>
      </c>
      <c r="R231" s="9" t="inlineStr">
        <is>
          <t>ODF-02</t>
        </is>
      </c>
      <c r="S231" s="9" t="inlineStr">
        <is>
          <t>Trái</t>
        </is>
      </c>
      <c r="T231" s="9" t="inlineStr">
        <is>
          <t>H4-C1</t>
        </is>
      </c>
      <c r="U231" s="9" t="inlineStr">
        <is>
          <t>A-39</t>
        </is>
      </c>
    </row>
    <row r="232">
      <c r="A232" s="149" t="inlineStr">
        <is>
          <t>A-7-02</t>
        </is>
      </c>
      <c r="B232" s="99" t="inlineStr">
        <is>
          <t>A</t>
        </is>
      </c>
      <c r="C232" s="99" t="inlineStr">
        <is>
          <t>7</t>
        </is>
      </c>
      <c r="D232" s="99" t="n">
        <v>2</v>
      </c>
      <c r="E232" s="99" t="inlineStr">
        <is>
          <t>TU-A7</t>
        </is>
      </c>
      <c r="F232" s="99" t="inlineStr">
        <is>
          <t>TU-A7/S3</t>
        </is>
      </c>
      <c r="G232" s="99" t="n">
        <v>2</v>
      </c>
      <c r="H232" s="99" t="inlineStr">
        <is>
          <t>TR-A1</t>
        </is>
      </c>
      <c r="I232" s="99" t="n">
        <v>19</v>
      </c>
      <c r="J232" s="99" t="inlineStr">
        <is>
          <t>Ống 4 Nâu / Xanh dương</t>
        </is>
      </c>
      <c r="K232" s="99" t="inlineStr">
        <is>
          <t>S4-03</t>
        </is>
      </c>
      <c r="L232" s="99" t="inlineStr">
        <is>
          <t>A-11</t>
        </is>
      </c>
      <c r="M232" s="99" t="inlineStr">
        <is>
          <t>PON-03</t>
        </is>
      </c>
      <c r="N232" s="99" t="inlineStr">
        <is>
          <t>Chưa lắp</t>
        </is>
      </c>
      <c r="O232" s="149" t="n"/>
      <c r="P232" s="150" t="n"/>
      <c r="Q232" s="13">
        <f>M232&amp;" &gt; P96#"&amp;U232&amp;" &gt; "&amp;K232&amp;" &gt; P96#"&amp;L232&amp;" &gt; "&amp;R232&amp;" "&amp;S232&amp;" "&amp;T232&amp;" &gt; "&amp;H232&amp;"#"&amp;I232&amp;" &gt; "&amp;F232&amp;" p"&amp;G232</f>
        <v/>
      </c>
      <c r="R232" s="9" t="inlineStr">
        <is>
          <t>ODF-02</t>
        </is>
      </c>
      <c r="S232" s="9" t="inlineStr">
        <is>
          <t>Trái</t>
        </is>
      </c>
      <c r="T232" s="9" t="inlineStr">
        <is>
          <t>H4-C1</t>
        </is>
      </c>
      <c r="U232" s="9" t="inlineStr">
        <is>
          <t>A-39</t>
        </is>
      </c>
    </row>
    <row r="233">
      <c r="A233" s="149" t="inlineStr">
        <is>
          <t>A-7-03</t>
        </is>
      </c>
      <c r="B233" s="99" t="inlineStr">
        <is>
          <t>A</t>
        </is>
      </c>
      <c r="C233" s="99" t="inlineStr">
        <is>
          <t>7</t>
        </is>
      </c>
      <c r="D233" s="99" t="n">
        <v>3</v>
      </c>
      <c r="E233" s="99" t="inlineStr">
        <is>
          <t>TU-A7</t>
        </is>
      </c>
      <c r="F233" s="99" t="inlineStr">
        <is>
          <t>TU-A7/S3</t>
        </is>
      </c>
      <c r="G233" s="99" t="n">
        <v>3</v>
      </c>
      <c r="H233" s="99" t="inlineStr">
        <is>
          <t>TR-A1</t>
        </is>
      </c>
      <c r="I233" s="99" t="n">
        <v>19</v>
      </c>
      <c r="J233" s="99" t="inlineStr">
        <is>
          <t>Ống 4 Nâu / Xanh dương</t>
        </is>
      </c>
      <c r="K233" s="99" t="inlineStr">
        <is>
          <t>S4-03</t>
        </is>
      </c>
      <c r="L233" s="99" t="inlineStr">
        <is>
          <t>A-11</t>
        </is>
      </c>
      <c r="M233" s="99" t="inlineStr">
        <is>
          <t>PON-03</t>
        </is>
      </c>
      <c r="N233" s="99" t="inlineStr">
        <is>
          <t>Chưa lắp</t>
        </is>
      </c>
      <c r="O233" s="149" t="n"/>
      <c r="P233" s="150" t="n"/>
      <c r="Q233" s="13">
        <f>M233&amp;" &gt; P96#"&amp;U233&amp;" &gt; "&amp;K233&amp;" &gt; P96#"&amp;L233&amp;" &gt; "&amp;R233&amp;" "&amp;S233&amp;" "&amp;T233&amp;" &gt; "&amp;H233&amp;"#"&amp;I233&amp;" &gt; "&amp;F233&amp;" p"&amp;G233</f>
        <v/>
      </c>
      <c r="R233" s="9" t="inlineStr">
        <is>
          <t>ODF-02</t>
        </is>
      </c>
      <c r="S233" s="9" t="inlineStr">
        <is>
          <t>Trái</t>
        </is>
      </c>
      <c r="T233" s="9" t="inlineStr">
        <is>
          <t>H4-C1</t>
        </is>
      </c>
      <c r="U233" s="9" t="inlineStr">
        <is>
          <t>A-39</t>
        </is>
      </c>
    </row>
    <row r="234">
      <c r="A234" s="149" t="inlineStr">
        <is>
          <t>A-7-04</t>
        </is>
      </c>
      <c r="B234" s="99" t="inlineStr">
        <is>
          <t>A</t>
        </is>
      </c>
      <c r="C234" s="99" t="inlineStr">
        <is>
          <t>7</t>
        </is>
      </c>
      <c r="D234" s="99" t="n">
        <v>4</v>
      </c>
      <c r="E234" s="99" t="inlineStr">
        <is>
          <t>TU-A7</t>
        </is>
      </c>
      <c r="F234" s="99" t="inlineStr">
        <is>
          <t>TU-A7/S3</t>
        </is>
      </c>
      <c r="G234" s="99" t="n">
        <v>4</v>
      </c>
      <c r="H234" s="99" t="inlineStr">
        <is>
          <t>TR-A1</t>
        </is>
      </c>
      <c r="I234" s="99" t="n">
        <v>19</v>
      </c>
      <c r="J234" s="99" t="inlineStr">
        <is>
          <t>Ống 4 Nâu / Xanh dương</t>
        </is>
      </c>
      <c r="K234" s="99" t="inlineStr">
        <is>
          <t>S4-03</t>
        </is>
      </c>
      <c r="L234" s="99" t="inlineStr">
        <is>
          <t>A-11</t>
        </is>
      </c>
      <c r="M234" s="99" t="inlineStr">
        <is>
          <t>PON-03</t>
        </is>
      </c>
      <c r="N234" s="99" t="inlineStr">
        <is>
          <t>Chưa lắp</t>
        </is>
      </c>
      <c r="O234" s="149" t="n"/>
      <c r="P234" s="150" t="n"/>
      <c r="Q234" s="13">
        <f>M234&amp;" &gt; P96#"&amp;U234&amp;" &gt; "&amp;K234&amp;" &gt; P96#"&amp;L234&amp;" &gt; "&amp;R234&amp;" "&amp;S234&amp;" "&amp;T234&amp;" &gt; "&amp;H234&amp;"#"&amp;I234&amp;" &gt; "&amp;F234&amp;" p"&amp;G234</f>
        <v/>
      </c>
      <c r="R234" s="9" t="inlineStr">
        <is>
          <t>ODF-02</t>
        </is>
      </c>
      <c r="S234" s="9" t="inlineStr">
        <is>
          <t>Trái</t>
        </is>
      </c>
      <c r="T234" s="9" t="inlineStr">
        <is>
          <t>H4-C1</t>
        </is>
      </c>
      <c r="U234" s="9" t="inlineStr">
        <is>
          <t>A-39</t>
        </is>
      </c>
    </row>
    <row r="235">
      <c r="A235" s="149" t="inlineStr">
        <is>
          <t>A-7-05</t>
        </is>
      </c>
      <c r="B235" s="99" t="inlineStr">
        <is>
          <t>A</t>
        </is>
      </c>
      <c r="C235" s="99" t="inlineStr">
        <is>
          <t>7</t>
        </is>
      </c>
      <c r="D235" s="99" t="n">
        <v>5</v>
      </c>
      <c r="E235" s="99" t="inlineStr">
        <is>
          <t>TU-A7</t>
        </is>
      </c>
      <c r="F235" s="99" t="inlineStr">
        <is>
          <t>TU-A7/S3</t>
        </is>
      </c>
      <c r="G235" s="99" t="n">
        <v>5</v>
      </c>
      <c r="H235" s="99" t="inlineStr">
        <is>
          <t>TR-A1</t>
        </is>
      </c>
      <c r="I235" s="99" t="n">
        <v>19</v>
      </c>
      <c r="J235" s="99" t="inlineStr">
        <is>
          <t>Ống 4 Nâu / Xanh dương</t>
        </is>
      </c>
      <c r="K235" s="99" t="inlineStr">
        <is>
          <t>S4-03</t>
        </is>
      </c>
      <c r="L235" s="99" t="inlineStr">
        <is>
          <t>A-11</t>
        </is>
      </c>
      <c r="M235" s="99" t="inlineStr">
        <is>
          <t>PON-03</t>
        </is>
      </c>
      <c r="N235" s="99" t="inlineStr">
        <is>
          <t>Chưa lắp</t>
        </is>
      </c>
      <c r="O235" s="149" t="n"/>
      <c r="P235" s="150" t="n"/>
      <c r="Q235" s="13">
        <f>M235&amp;" &gt; P96#"&amp;U235&amp;" &gt; "&amp;K235&amp;" &gt; P96#"&amp;L235&amp;" &gt; "&amp;R235&amp;" "&amp;S235&amp;" "&amp;T235&amp;" &gt; "&amp;H235&amp;"#"&amp;I235&amp;" &gt; "&amp;F235&amp;" p"&amp;G235</f>
        <v/>
      </c>
      <c r="R235" s="9" t="inlineStr">
        <is>
          <t>ODF-02</t>
        </is>
      </c>
      <c r="S235" s="9" t="inlineStr">
        <is>
          <t>Trái</t>
        </is>
      </c>
      <c r="T235" s="9" t="inlineStr">
        <is>
          <t>H4-C1</t>
        </is>
      </c>
      <c r="U235" s="9" t="inlineStr">
        <is>
          <t>A-39</t>
        </is>
      </c>
    </row>
    <row r="236">
      <c r="A236" s="149" t="inlineStr">
        <is>
          <t>A-7-06</t>
        </is>
      </c>
      <c r="B236" s="99" t="inlineStr">
        <is>
          <t>A</t>
        </is>
      </c>
      <c r="C236" s="99" t="inlineStr">
        <is>
          <t>7</t>
        </is>
      </c>
      <c r="D236" s="99" t="n">
        <v>6</v>
      </c>
      <c r="E236" s="99" t="inlineStr">
        <is>
          <t>TU-A7</t>
        </is>
      </c>
      <c r="F236" s="99" t="inlineStr">
        <is>
          <t>TU-A7/S3</t>
        </is>
      </c>
      <c r="G236" s="99" t="n">
        <v>6</v>
      </c>
      <c r="H236" s="99" t="inlineStr">
        <is>
          <t>TR-A1</t>
        </is>
      </c>
      <c r="I236" s="99" t="n">
        <v>19</v>
      </c>
      <c r="J236" s="99" t="inlineStr">
        <is>
          <t>Ống 4 Nâu / Xanh dương</t>
        </is>
      </c>
      <c r="K236" s="99" t="inlineStr">
        <is>
          <t>S4-03</t>
        </is>
      </c>
      <c r="L236" s="99" t="inlineStr">
        <is>
          <t>A-11</t>
        </is>
      </c>
      <c r="M236" s="99" t="inlineStr">
        <is>
          <t>PON-03</t>
        </is>
      </c>
      <c r="N236" s="99" t="inlineStr">
        <is>
          <t>Chưa lắp</t>
        </is>
      </c>
      <c r="O236" s="149" t="n"/>
      <c r="P236" s="150" t="n"/>
      <c r="Q236" s="13">
        <f>M236&amp;" &gt; P96#"&amp;U236&amp;" &gt; "&amp;K236&amp;" &gt; P96#"&amp;L236&amp;" &gt; "&amp;R236&amp;" "&amp;S236&amp;" "&amp;T236&amp;" &gt; "&amp;H236&amp;"#"&amp;I236&amp;" &gt; "&amp;F236&amp;" p"&amp;G236</f>
        <v/>
      </c>
      <c r="R236" s="9" t="inlineStr">
        <is>
          <t>ODF-02</t>
        </is>
      </c>
      <c r="S236" s="9" t="inlineStr">
        <is>
          <t>Trái</t>
        </is>
      </c>
      <c r="T236" s="9" t="inlineStr">
        <is>
          <t>H4-C1</t>
        </is>
      </c>
      <c r="U236" s="9" t="inlineStr">
        <is>
          <t>A-39</t>
        </is>
      </c>
    </row>
    <row r="237">
      <c r="A237" s="149" t="inlineStr">
        <is>
          <t>A-7-07</t>
        </is>
      </c>
      <c r="B237" s="99" t="inlineStr">
        <is>
          <t>A</t>
        </is>
      </c>
      <c r="C237" s="99" t="inlineStr">
        <is>
          <t>7</t>
        </is>
      </c>
      <c r="D237" s="99" t="n">
        <v>7</v>
      </c>
      <c r="E237" s="99" t="inlineStr">
        <is>
          <t>TU-A7</t>
        </is>
      </c>
      <c r="F237" s="99" t="inlineStr">
        <is>
          <t>TU-A7/S3</t>
        </is>
      </c>
      <c r="G237" s="99" t="n">
        <v>7</v>
      </c>
      <c r="H237" s="99" t="inlineStr">
        <is>
          <t>TR-A1</t>
        </is>
      </c>
      <c r="I237" s="99" t="n">
        <v>19</v>
      </c>
      <c r="J237" s="99" t="inlineStr">
        <is>
          <t>Ống 4 Nâu / Xanh dương</t>
        </is>
      </c>
      <c r="K237" s="99" t="inlineStr">
        <is>
          <t>S4-03</t>
        </is>
      </c>
      <c r="L237" s="99" t="inlineStr">
        <is>
          <t>A-11</t>
        </is>
      </c>
      <c r="M237" s="99" t="inlineStr">
        <is>
          <t>PON-03</t>
        </is>
      </c>
      <c r="N237" s="99" t="inlineStr">
        <is>
          <t>Chưa lắp</t>
        </is>
      </c>
      <c r="O237" s="149" t="n"/>
      <c r="P237" s="150" t="n"/>
      <c r="Q237" s="13">
        <f>M237&amp;" &gt; P96#"&amp;U237&amp;" &gt; "&amp;K237&amp;" &gt; P96#"&amp;L237&amp;" &gt; "&amp;R237&amp;" "&amp;S237&amp;" "&amp;T237&amp;" &gt; "&amp;H237&amp;"#"&amp;I237&amp;" &gt; "&amp;F237&amp;" p"&amp;G237</f>
        <v/>
      </c>
      <c r="R237" s="9" t="inlineStr">
        <is>
          <t>ODF-02</t>
        </is>
      </c>
      <c r="S237" s="9" t="inlineStr">
        <is>
          <t>Trái</t>
        </is>
      </c>
      <c r="T237" s="9" t="inlineStr">
        <is>
          <t>H4-C1</t>
        </is>
      </c>
      <c r="U237" s="9" t="inlineStr">
        <is>
          <t>A-39</t>
        </is>
      </c>
    </row>
    <row r="238">
      <c r="A238" s="149" t="inlineStr">
        <is>
          <t>A-7-08</t>
        </is>
      </c>
      <c r="B238" s="99" t="inlineStr">
        <is>
          <t>A</t>
        </is>
      </c>
      <c r="C238" s="99" t="inlineStr">
        <is>
          <t>7</t>
        </is>
      </c>
      <c r="D238" s="99" t="n">
        <v>8</v>
      </c>
      <c r="E238" s="99" t="inlineStr">
        <is>
          <t>TU-A7</t>
        </is>
      </c>
      <c r="F238" s="99" t="inlineStr">
        <is>
          <t>TU-A7/S3</t>
        </is>
      </c>
      <c r="G238" s="99" t="n">
        <v>8</v>
      </c>
      <c r="H238" s="99" t="inlineStr">
        <is>
          <t>TR-A1</t>
        </is>
      </c>
      <c r="I238" s="99" t="n">
        <v>19</v>
      </c>
      <c r="J238" s="99" t="inlineStr">
        <is>
          <t>Ống 4 Nâu / Xanh dương</t>
        </is>
      </c>
      <c r="K238" s="99" t="inlineStr">
        <is>
          <t>S4-03</t>
        </is>
      </c>
      <c r="L238" s="99" t="inlineStr">
        <is>
          <t>A-11</t>
        </is>
      </c>
      <c r="M238" s="99" t="inlineStr">
        <is>
          <t>PON-03</t>
        </is>
      </c>
      <c r="N238" s="99" t="inlineStr">
        <is>
          <t>Chưa lắp</t>
        </is>
      </c>
      <c r="O238" s="149" t="n"/>
      <c r="P238" s="150" t="n"/>
      <c r="Q238" s="13">
        <f>M238&amp;" &gt; P96#"&amp;U238&amp;" &gt; "&amp;K238&amp;" &gt; P96#"&amp;L238&amp;" &gt; "&amp;R238&amp;" "&amp;S238&amp;" "&amp;T238&amp;" &gt; "&amp;H238&amp;"#"&amp;I238&amp;" &gt; "&amp;F238&amp;" p"&amp;G238</f>
        <v/>
      </c>
      <c r="R238" s="9" t="inlineStr">
        <is>
          <t>ODF-02</t>
        </is>
      </c>
      <c r="S238" s="9" t="inlineStr">
        <is>
          <t>Trái</t>
        </is>
      </c>
      <c r="T238" s="9" t="inlineStr">
        <is>
          <t>H4-C1</t>
        </is>
      </c>
      <c r="U238" s="9" t="inlineStr">
        <is>
          <t>A-39</t>
        </is>
      </c>
    </row>
    <row r="239">
      <c r="A239" s="149" t="inlineStr">
        <is>
          <t>A-7-09</t>
        </is>
      </c>
      <c r="B239" s="99" t="inlineStr">
        <is>
          <t>A</t>
        </is>
      </c>
      <c r="C239" s="99" t="inlineStr">
        <is>
          <t>7</t>
        </is>
      </c>
      <c r="D239" s="99" t="n">
        <v>9</v>
      </c>
      <c r="E239" s="99" t="inlineStr">
        <is>
          <t>TU-A7</t>
        </is>
      </c>
      <c r="F239" s="99" t="inlineStr">
        <is>
          <t>TU-A7/S3</t>
        </is>
      </c>
      <c r="G239" s="99" t="n">
        <v>9</v>
      </c>
      <c r="H239" s="99" t="inlineStr">
        <is>
          <t>TR-A1</t>
        </is>
      </c>
      <c r="I239" s="99" t="n">
        <v>19</v>
      </c>
      <c r="J239" s="99" t="inlineStr">
        <is>
          <t>Ống 4 Nâu / Xanh dương</t>
        </is>
      </c>
      <c r="K239" s="99" t="inlineStr">
        <is>
          <t>S4-03</t>
        </is>
      </c>
      <c r="L239" s="99" t="inlineStr">
        <is>
          <t>A-11</t>
        </is>
      </c>
      <c r="M239" s="99" t="inlineStr">
        <is>
          <t>PON-03</t>
        </is>
      </c>
      <c r="N239" s="99" t="inlineStr">
        <is>
          <t>Chưa lắp</t>
        </is>
      </c>
      <c r="O239" s="149" t="n"/>
      <c r="P239" s="150" t="n"/>
      <c r="Q239" s="13">
        <f>M239&amp;" &gt; P96#"&amp;U239&amp;" &gt; "&amp;K239&amp;" &gt; P96#"&amp;L239&amp;" &gt; "&amp;R239&amp;" "&amp;S239&amp;" "&amp;T239&amp;" &gt; "&amp;H239&amp;"#"&amp;I239&amp;" &gt; "&amp;F239&amp;" p"&amp;G239</f>
        <v/>
      </c>
      <c r="R239" s="9" t="inlineStr">
        <is>
          <t>ODF-02</t>
        </is>
      </c>
      <c r="S239" s="9" t="inlineStr">
        <is>
          <t>Trái</t>
        </is>
      </c>
      <c r="T239" s="9" t="inlineStr">
        <is>
          <t>H4-C1</t>
        </is>
      </c>
      <c r="U239" s="9" t="inlineStr">
        <is>
          <t>A-39</t>
        </is>
      </c>
    </row>
    <row r="240">
      <c r="A240" s="151" t="inlineStr">
        <is>
          <t>A-7-10</t>
        </is>
      </c>
      <c r="B240" s="102" t="inlineStr">
        <is>
          <t>A</t>
        </is>
      </c>
      <c r="C240" s="102" t="inlineStr">
        <is>
          <t>7</t>
        </is>
      </c>
      <c r="D240" s="102" t="n">
        <v>10</v>
      </c>
      <c r="E240" s="102" t="inlineStr">
        <is>
          <t>TU-A7</t>
        </is>
      </c>
      <c r="F240" s="102" t="inlineStr">
        <is>
          <t>TU-A7/S3</t>
        </is>
      </c>
      <c r="G240" s="102" t="n">
        <v>10</v>
      </c>
      <c r="H240" s="102" t="inlineStr">
        <is>
          <t>TR-A1</t>
        </is>
      </c>
      <c r="I240" s="102" t="n">
        <v>19</v>
      </c>
      <c r="J240" s="102" t="inlineStr">
        <is>
          <t>Ống 4 Nâu / Xanh dương</t>
        </is>
      </c>
      <c r="K240" s="102" t="inlineStr">
        <is>
          <t>S4-03</t>
        </is>
      </c>
      <c r="L240" s="102" t="inlineStr">
        <is>
          <t>A-11</t>
        </is>
      </c>
      <c r="M240" s="102" t="inlineStr">
        <is>
          <t>PON-03</t>
        </is>
      </c>
      <c r="N240" s="102" t="inlineStr">
        <is>
          <t>Chưa lắp</t>
        </is>
      </c>
      <c r="O240" s="151" t="n"/>
      <c r="P240" s="152" t="n"/>
      <c r="Q240" s="13">
        <f>M240&amp;" &gt; P96#"&amp;U240&amp;" &gt; "&amp;K240&amp;" &gt; P96#"&amp;L240&amp;" &gt; "&amp;R240&amp;" "&amp;S240&amp;" "&amp;T240&amp;" &gt; "&amp;H240&amp;"#"&amp;I240&amp;" &gt; "&amp;F240&amp;" p"&amp;G240</f>
        <v/>
      </c>
      <c r="R240" s="9" t="inlineStr">
        <is>
          <t>ODF-02</t>
        </is>
      </c>
      <c r="S240" s="9" t="inlineStr">
        <is>
          <t>Trái</t>
        </is>
      </c>
      <c r="T240" s="9" t="inlineStr">
        <is>
          <t>H4-C1</t>
        </is>
      </c>
      <c r="U240" s="9" t="inlineStr">
        <is>
          <t>A-39</t>
        </is>
      </c>
    </row>
    <row r="241">
      <c r="A241" s="151" t="inlineStr">
        <is>
          <t>A-7-11</t>
        </is>
      </c>
      <c r="B241" s="102" t="inlineStr">
        <is>
          <t>A</t>
        </is>
      </c>
      <c r="C241" s="102" t="inlineStr">
        <is>
          <t>7</t>
        </is>
      </c>
      <c r="D241" s="102" t="n">
        <v>11</v>
      </c>
      <c r="E241" s="102" t="inlineStr">
        <is>
          <t>TU-A7</t>
        </is>
      </c>
      <c r="F241" s="102" t="inlineStr">
        <is>
          <t>TU-A7/S3</t>
        </is>
      </c>
      <c r="G241" s="102" t="n">
        <v>11</v>
      </c>
      <c r="H241" s="102" t="inlineStr">
        <is>
          <t>TR-A1</t>
        </is>
      </c>
      <c r="I241" s="102" t="n">
        <v>19</v>
      </c>
      <c r="J241" s="102" t="inlineStr">
        <is>
          <t>Ống 4 Nâu / Xanh dương</t>
        </is>
      </c>
      <c r="K241" s="102" t="inlineStr">
        <is>
          <t>S4-03</t>
        </is>
      </c>
      <c r="L241" s="102" t="inlineStr">
        <is>
          <t>A-11</t>
        </is>
      </c>
      <c r="M241" s="102" t="inlineStr">
        <is>
          <t>PON-03</t>
        </is>
      </c>
      <c r="N241" s="102" t="inlineStr">
        <is>
          <t>Chưa lắp</t>
        </is>
      </c>
      <c r="O241" s="151" t="n"/>
      <c r="P241" s="152" t="n"/>
      <c r="Q241" s="13">
        <f>M241&amp;" &gt; P96#"&amp;U241&amp;" &gt; "&amp;K241&amp;" &gt; P96#"&amp;L241&amp;" &gt; "&amp;R241&amp;" "&amp;S241&amp;" "&amp;T241&amp;" &gt; "&amp;H241&amp;"#"&amp;I241&amp;" &gt; "&amp;F241&amp;" p"&amp;G241</f>
        <v/>
      </c>
      <c r="R241" s="9" t="inlineStr">
        <is>
          <t>ODF-02</t>
        </is>
      </c>
      <c r="S241" s="9" t="inlineStr">
        <is>
          <t>Trái</t>
        </is>
      </c>
      <c r="T241" s="9" t="inlineStr">
        <is>
          <t>H4-C1</t>
        </is>
      </c>
      <c r="U241" s="9" t="inlineStr">
        <is>
          <t>A-39</t>
        </is>
      </c>
    </row>
    <row r="242">
      <c r="A242" s="151" t="inlineStr">
        <is>
          <t>A-7-12</t>
        </is>
      </c>
      <c r="B242" s="102" t="inlineStr">
        <is>
          <t>A</t>
        </is>
      </c>
      <c r="C242" s="102" t="inlineStr">
        <is>
          <t>7</t>
        </is>
      </c>
      <c r="D242" s="102" t="n">
        <v>12</v>
      </c>
      <c r="E242" s="102" t="inlineStr">
        <is>
          <t>TU-A7</t>
        </is>
      </c>
      <c r="F242" s="102" t="inlineStr">
        <is>
          <t>TU-A7/S3</t>
        </is>
      </c>
      <c r="G242" s="102" t="n">
        <v>12</v>
      </c>
      <c r="H242" s="102" t="inlineStr">
        <is>
          <t>TR-A1</t>
        </is>
      </c>
      <c r="I242" s="102" t="n">
        <v>19</v>
      </c>
      <c r="J242" s="102" t="inlineStr">
        <is>
          <t>Ống 4 Nâu / Xanh dương</t>
        </is>
      </c>
      <c r="K242" s="102" t="inlineStr">
        <is>
          <t>S4-03</t>
        </is>
      </c>
      <c r="L242" s="102" t="inlineStr">
        <is>
          <t>A-11</t>
        </is>
      </c>
      <c r="M242" s="102" t="inlineStr">
        <is>
          <t>PON-03</t>
        </is>
      </c>
      <c r="N242" s="102" t="inlineStr">
        <is>
          <t>Chưa lắp</t>
        </is>
      </c>
      <c r="O242" s="151" t="n"/>
      <c r="P242" s="152" t="n"/>
      <c r="Q242" s="13">
        <f>M242&amp;" &gt; P96#"&amp;U242&amp;" &gt; "&amp;K242&amp;" &gt; P96#"&amp;L242&amp;" &gt; "&amp;R242&amp;" "&amp;S242&amp;" "&amp;T242&amp;" &gt; "&amp;H242&amp;"#"&amp;I242&amp;" &gt; "&amp;F242&amp;" p"&amp;G242</f>
        <v/>
      </c>
      <c r="R242" s="9" t="inlineStr">
        <is>
          <t>ODF-02</t>
        </is>
      </c>
      <c r="S242" s="9" t="inlineStr">
        <is>
          <t>Trái</t>
        </is>
      </c>
      <c r="T242" s="9" t="inlineStr">
        <is>
          <t>H4-C1</t>
        </is>
      </c>
      <c r="U242" s="9" t="inlineStr">
        <is>
          <t>A-39</t>
        </is>
      </c>
    </row>
    <row r="243">
      <c r="A243" s="151" t="inlineStr">
        <is>
          <t>A-7-13</t>
        </is>
      </c>
      <c r="B243" s="102" t="inlineStr">
        <is>
          <t>A</t>
        </is>
      </c>
      <c r="C243" s="102" t="inlineStr">
        <is>
          <t>7</t>
        </is>
      </c>
      <c r="D243" s="102" t="n">
        <v>13</v>
      </c>
      <c r="E243" s="102" t="inlineStr">
        <is>
          <t>TU-A7</t>
        </is>
      </c>
      <c r="F243" s="102" t="inlineStr">
        <is>
          <t>TU-A7/S3</t>
        </is>
      </c>
      <c r="G243" s="102" t="n">
        <v>13</v>
      </c>
      <c r="H243" s="102" t="inlineStr">
        <is>
          <t>TR-A1</t>
        </is>
      </c>
      <c r="I243" s="102" t="n">
        <v>19</v>
      </c>
      <c r="J243" s="102" t="inlineStr">
        <is>
          <t>Ống 4 Nâu / Xanh dương</t>
        </is>
      </c>
      <c r="K243" s="102" t="inlineStr">
        <is>
          <t>S4-03</t>
        </is>
      </c>
      <c r="L243" s="102" t="inlineStr">
        <is>
          <t>A-11</t>
        </is>
      </c>
      <c r="M243" s="102" t="inlineStr">
        <is>
          <t>PON-03</t>
        </is>
      </c>
      <c r="N243" s="102" t="inlineStr">
        <is>
          <t>Chưa lắp</t>
        </is>
      </c>
      <c r="O243" s="151" t="n"/>
      <c r="P243" s="152" t="n"/>
      <c r="Q243" s="13">
        <f>M243&amp;" &gt; P96#"&amp;U243&amp;" &gt; "&amp;K243&amp;" &gt; P96#"&amp;L243&amp;" &gt; "&amp;R243&amp;" "&amp;S243&amp;" "&amp;T243&amp;" &gt; "&amp;H243&amp;"#"&amp;I243&amp;" &gt; "&amp;F243&amp;" p"&amp;G243</f>
        <v/>
      </c>
      <c r="R243" s="9" t="inlineStr">
        <is>
          <t>ODF-02</t>
        </is>
      </c>
      <c r="S243" s="9" t="inlineStr">
        <is>
          <t>Trái</t>
        </is>
      </c>
      <c r="T243" s="9" t="inlineStr">
        <is>
          <t>H4-C1</t>
        </is>
      </c>
      <c r="U243" s="9" t="inlineStr">
        <is>
          <t>A-39</t>
        </is>
      </c>
    </row>
    <row r="244">
      <c r="A244" s="151" t="inlineStr">
        <is>
          <t>A-7-14</t>
        </is>
      </c>
      <c r="B244" s="102" t="inlineStr">
        <is>
          <t>A</t>
        </is>
      </c>
      <c r="C244" s="102" t="inlineStr">
        <is>
          <t>7</t>
        </is>
      </c>
      <c r="D244" s="102" t="n">
        <v>14</v>
      </c>
      <c r="E244" s="102" t="inlineStr">
        <is>
          <t>TU-A7</t>
        </is>
      </c>
      <c r="F244" s="102" t="inlineStr">
        <is>
          <t>TU-A7/S3</t>
        </is>
      </c>
      <c r="G244" s="102" t="n">
        <v>14</v>
      </c>
      <c r="H244" s="102" t="inlineStr">
        <is>
          <t>TR-A1</t>
        </is>
      </c>
      <c r="I244" s="102" t="n">
        <v>19</v>
      </c>
      <c r="J244" s="102" t="inlineStr">
        <is>
          <t>Ống 4 Nâu / Xanh dương</t>
        </is>
      </c>
      <c r="K244" s="102" t="inlineStr">
        <is>
          <t>S4-03</t>
        </is>
      </c>
      <c r="L244" s="102" t="inlineStr">
        <is>
          <t>A-11</t>
        </is>
      </c>
      <c r="M244" s="102" t="inlineStr">
        <is>
          <t>PON-03</t>
        </is>
      </c>
      <c r="N244" s="102" t="inlineStr">
        <is>
          <t>Chưa lắp</t>
        </is>
      </c>
      <c r="O244" s="151" t="n"/>
      <c r="P244" s="152" t="n"/>
      <c r="Q244" s="13">
        <f>M244&amp;" &gt; P96#"&amp;U244&amp;" &gt; "&amp;K244&amp;" &gt; P96#"&amp;L244&amp;" &gt; "&amp;R244&amp;" "&amp;S244&amp;" "&amp;T244&amp;" &gt; "&amp;H244&amp;"#"&amp;I244&amp;" &gt; "&amp;F244&amp;" p"&amp;G244</f>
        <v/>
      </c>
      <c r="R244" s="9" t="inlineStr">
        <is>
          <t>ODF-02</t>
        </is>
      </c>
      <c r="S244" s="9" t="inlineStr">
        <is>
          <t>Trái</t>
        </is>
      </c>
      <c r="T244" s="9" t="inlineStr">
        <is>
          <t>H4-C1</t>
        </is>
      </c>
      <c r="U244" s="9" t="inlineStr">
        <is>
          <t>A-39</t>
        </is>
      </c>
    </row>
    <row r="245">
      <c r="A245" s="151" t="inlineStr">
        <is>
          <t>A-7-15</t>
        </is>
      </c>
      <c r="B245" s="102" t="inlineStr">
        <is>
          <t>A</t>
        </is>
      </c>
      <c r="C245" s="102" t="inlineStr">
        <is>
          <t>7</t>
        </is>
      </c>
      <c r="D245" s="102" t="n">
        <v>15</v>
      </c>
      <c r="E245" s="102" t="inlineStr">
        <is>
          <t>TU-A7</t>
        </is>
      </c>
      <c r="F245" s="102" t="inlineStr">
        <is>
          <t>TU-A7/S3</t>
        </is>
      </c>
      <c r="G245" s="102" t="n">
        <v>15</v>
      </c>
      <c r="H245" s="102" t="inlineStr">
        <is>
          <t>TR-A1</t>
        </is>
      </c>
      <c r="I245" s="102" t="n">
        <v>19</v>
      </c>
      <c r="J245" s="102" t="inlineStr">
        <is>
          <t>Ống 4 Nâu / Xanh dương</t>
        </is>
      </c>
      <c r="K245" s="102" t="inlineStr">
        <is>
          <t>S4-03</t>
        </is>
      </c>
      <c r="L245" s="102" t="inlineStr">
        <is>
          <t>A-11</t>
        </is>
      </c>
      <c r="M245" s="102" t="inlineStr">
        <is>
          <t>PON-03</t>
        </is>
      </c>
      <c r="N245" s="102" t="inlineStr">
        <is>
          <t>Chưa lắp</t>
        </is>
      </c>
      <c r="O245" s="151" t="n"/>
      <c r="P245" s="152" t="n"/>
      <c r="Q245" s="13">
        <f>M245&amp;" &gt; P96#"&amp;U245&amp;" &gt; "&amp;K245&amp;" &gt; P96#"&amp;L245&amp;" &gt; "&amp;R245&amp;" "&amp;S245&amp;" "&amp;T245&amp;" &gt; "&amp;H245&amp;"#"&amp;I245&amp;" &gt; "&amp;F245&amp;" p"&amp;G245</f>
        <v/>
      </c>
      <c r="R245" s="9" t="inlineStr">
        <is>
          <t>ODF-02</t>
        </is>
      </c>
      <c r="S245" s="9" t="inlineStr">
        <is>
          <t>Trái</t>
        </is>
      </c>
      <c r="T245" s="9" t="inlineStr">
        <is>
          <t>H4-C1</t>
        </is>
      </c>
      <c r="U245" s="9" t="inlineStr">
        <is>
          <t>A-39</t>
        </is>
      </c>
    </row>
    <row r="246">
      <c r="A246" s="151" t="inlineStr">
        <is>
          <t>A-6-01</t>
        </is>
      </c>
      <c r="B246" s="102" t="inlineStr">
        <is>
          <t>A</t>
        </is>
      </c>
      <c r="C246" s="102" t="inlineStr">
        <is>
          <t>6</t>
        </is>
      </c>
      <c r="D246" s="102" t="n">
        <v>1</v>
      </c>
      <c r="E246" s="102" t="inlineStr">
        <is>
          <t>TU-A7</t>
        </is>
      </c>
      <c r="F246" s="102" t="inlineStr">
        <is>
          <t>TU-A7/S2</t>
        </is>
      </c>
      <c r="G246" s="102" t="n">
        <v>1</v>
      </c>
      <c r="H246" s="102" t="inlineStr">
        <is>
          <t>TR-A1</t>
        </is>
      </c>
      <c r="I246" s="102" t="n">
        <v>18</v>
      </c>
      <c r="J246" s="102" t="inlineStr">
        <is>
          <t>Ống 3 Xanh lá / Trắng</t>
        </is>
      </c>
      <c r="K246" s="102" t="inlineStr">
        <is>
          <t>S4-03</t>
        </is>
      </c>
      <c r="L246" s="102" t="inlineStr">
        <is>
          <t>A-10</t>
        </is>
      </c>
      <c r="M246" s="102" t="inlineStr">
        <is>
          <t>PON-03</t>
        </is>
      </c>
      <c r="N246" s="102" t="inlineStr">
        <is>
          <t>Chưa lắp</t>
        </is>
      </c>
      <c r="O246" s="151" t="n"/>
      <c r="P246" s="152" t="n"/>
      <c r="Q246" s="13">
        <f>M246&amp;" &gt; P96#"&amp;U246&amp;" &gt; "&amp;K246&amp;" &gt; P96#"&amp;L246&amp;" &gt; "&amp;R246&amp;" "&amp;S246&amp;" "&amp;T246&amp;" &gt; "&amp;H246&amp;"#"&amp;I246&amp;" &gt; "&amp;F246&amp;" p"&amp;G246</f>
        <v/>
      </c>
      <c r="R246" s="9" t="inlineStr">
        <is>
          <t>ODF-02</t>
        </is>
      </c>
      <c r="S246" s="9" t="inlineStr">
        <is>
          <t>Trái</t>
        </is>
      </c>
      <c r="T246" s="9" t="inlineStr">
        <is>
          <t>H3-C6</t>
        </is>
      </c>
      <c r="U246" s="9" t="inlineStr">
        <is>
          <t>A-39</t>
        </is>
      </c>
    </row>
    <row r="247">
      <c r="A247" s="151" t="inlineStr">
        <is>
          <t>A-6-02</t>
        </is>
      </c>
      <c r="B247" s="102" t="inlineStr">
        <is>
          <t>A</t>
        </is>
      </c>
      <c r="C247" s="102" t="inlineStr">
        <is>
          <t>6</t>
        </is>
      </c>
      <c r="D247" s="102" t="n">
        <v>2</v>
      </c>
      <c r="E247" s="102" t="inlineStr">
        <is>
          <t>TU-A7</t>
        </is>
      </c>
      <c r="F247" s="102" t="inlineStr">
        <is>
          <t>TU-A7/S2</t>
        </is>
      </c>
      <c r="G247" s="102" t="n">
        <v>2</v>
      </c>
      <c r="H247" s="102" t="inlineStr">
        <is>
          <t>TR-A1</t>
        </is>
      </c>
      <c r="I247" s="102" t="n">
        <v>18</v>
      </c>
      <c r="J247" s="102" t="inlineStr">
        <is>
          <t>Ống 3 Xanh lá / Trắng</t>
        </is>
      </c>
      <c r="K247" s="102" t="inlineStr">
        <is>
          <t>S4-03</t>
        </is>
      </c>
      <c r="L247" s="102" t="inlineStr">
        <is>
          <t>A-10</t>
        </is>
      </c>
      <c r="M247" s="102" t="inlineStr">
        <is>
          <t>PON-03</t>
        </is>
      </c>
      <c r="N247" s="102" t="inlineStr">
        <is>
          <t>Chưa lắp</t>
        </is>
      </c>
      <c r="O247" s="151" t="n"/>
      <c r="P247" s="152" t="n"/>
      <c r="Q247" s="13">
        <f>M247&amp;" &gt; P96#"&amp;U247&amp;" &gt; "&amp;K247&amp;" &gt; P96#"&amp;L247&amp;" &gt; "&amp;R247&amp;" "&amp;S247&amp;" "&amp;T247&amp;" &gt; "&amp;H247&amp;"#"&amp;I247&amp;" &gt; "&amp;F247&amp;" p"&amp;G247</f>
        <v/>
      </c>
      <c r="R247" s="9" t="inlineStr">
        <is>
          <t>ODF-02</t>
        </is>
      </c>
      <c r="S247" s="9" t="inlineStr">
        <is>
          <t>Trái</t>
        </is>
      </c>
      <c r="T247" s="9" t="inlineStr">
        <is>
          <t>H3-C6</t>
        </is>
      </c>
      <c r="U247" s="9" t="inlineStr">
        <is>
          <t>A-39</t>
        </is>
      </c>
    </row>
    <row r="248">
      <c r="A248" s="151" t="inlineStr">
        <is>
          <t>A-6-03</t>
        </is>
      </c>
      <c r="B248" s="102" t="inlineStr">
        <is>
          <t>A</t>
        </is>
      </c>
      <c r="C248" s="102" t="inlineStr">
        <is>
          <t>6</t>
        </is>
      </c>
      <c r="D248" s="102" t="n">
        <v>3</v>
      </c>
      <c r="E248" s="102" t="inlineStr">
        <is>
          <t>TU-A7</t>
        </is>
      </c>
      <c r="F248" s="102" t="inlineStr">
        <is>
          <t>TU-A7/S2</t>
        </is>
      </c>
      <c r="G248" s="102" t="n">
        <v>3</v>
      </c>
      <c r="H248" s="102" t="inlineStr">
        <is>
          <t>TR-A1</t>
        </is>
      </c>
      <c r="I248" s="102" t="n">
        <v>18</v>
      </c>
      <c r="J248" s="102" t="inlineStr">
        <is>
          <t>Ống 3 Xanh lá / Trắng</t>
        </is>
      </c>
      <c r="K248" s="102" t="inlineStr">
        <is>
          <t>S4-03</t>
        </is>
      </c>
      <c r="L248" s="102" t="inlineStr">
        <is>
          <t>A-10</t>
        </is>
      </c>
      <c r="M248" s="102" t="inlineStr">
        <is>
          <t>PON-03</t>
        </is>
      </c>
      <c r="N248" s="102" t="inlineStr">
        <is>
          <t>Chưa lắp</t>
        </is>
      </c>
      <c r="O248" s="151" t="n"/>
      <c r="P248" s="152" t="n"/>
      <c r="Q248" s="13">
        <f>M248&amp;" &gt; P96#"&amp;U248&amp;" &gt; "&amp;K248&amp;" &gt; P96#"&amp;L248&amp;" &gt; "&amp;R248&amp;" "&amp;S248&amp;" "&amp;T248&amp;" &gt; "&amp;H248&amp;"#"&amp;I248&amp;" &gt; "&amp;F248&amp;" p"&amp;G248</f>
        <v/>
      </c>
      <c r="R248" s="9" t="inlineStr">
        <is>
          <t>ODF-02</t>
        </is>
      </c>
      <c r="S248" s="9" t="inlineStr">
        <is>
          <t>Trái</t>
        </is>
      </c>
      <c r="T248" s="9" t="inlineStr">
        <is>
          <t>H3-C6</t>
        </is>
      </c>
      <c r="U248" s="9" t="inlineStr">
        <is>
          <t>A-39</t>
        </is>
      </c>
    </row>
    <row r="249">
      <c r="A249" s="151" t="inlineStr">
        <is>
          <t>A-6-04</t>
        </is>
      </c>
      <c r="B249" s="102" t="inlineStr">
        <is>
          <t>A</t>
        </is>
      </c>
      <c r="C249" s="102" t="inlineStr">
        <is>
          <t>6</t>
        </is>
      </c>
      <c r="D249" s="102" t="n">
        <v>4</v>
      </c>
      <c r="E249" s="102" t="inlineStr">
        <is>
          <t>TU-A7</t>
        </is>
      </c>
      <c r="F249" s="102" t="inlineStr">
        <is>
          <t>TU-A7/S2</t>
        </is>
      </c>
      <c r="G249" s="102" t="n">
        <v>4</v>
      </c>
      <c r="H249" s="102" t="inlineStr">
        <is>
          <t>TR-A1</t>
        </is>
      </c>
      <c r="I249" s="102" t="n">
        <v>18</v>
      </c>
      <c r="J249" s="102" t="inlineStr">
        <is>
          <t>Ống 3 Xanh lá / Trắng</t>
        </is>
      </c>
      <c r="K249" s="102" t="inlineStr">
        <is>
          <t>S4-03</t>
        </is>
      </c>
      <c r="L249" s="102" t="inlineStr">
        <is>
          <t>A-10</t>
        </is>
      </c>
      <c r="M249" s="102" t="inlineStr">
        <is>
          <t>PON-03</t>
        </is>
      </c>
      <c r="N249" s="102" t="inlineStr">
        <is>
          <t>Chưa lắp</t>
        </is>
      </c>
      <c r="O249" s="151" t="n"/>
      <c r="P249" s="152" t="n"/>
      <c r="Q249" s="13">
        <f>M249&amp;" &gt; P96#"&amp;U249&amp;" &gt; "&amp;K249&amp;" &gt; P96#"&amp;L249&amp;" &gt; "&amp;R249&amp;" "&amp;S249&amp;" "&amp;T249&amp;" &gt; "&amp;H249&amp;"#"&amp;I249&amp;" &gt; "&amp;F249&amp;" p"&amp;G249</f>
        <v/>
      </c>
      <c r="R249" s="9" t="inlineStr">
        <is>
          <t>ODF-02</t>
        </is>
      </c>
      <c r="S249" s="9" t="inlineStr">
        <is>
          <t>Trái</t>
        </is>
      </c>
      <c r="T249" s="9" t="inlineStr">
        <is>
          <t>H3-C6</t>
        </is>
      </c>
      <c r="U249" s="9" t="inlineStr">
        <is>
          <t>A-39</t>
        </is>
      </c>
    </row>
    <row r="250">
      <c r="A250" s="151" t="inlineStr">
        <is>
          <t>A-6-05</t>
        </is>
      </c>
      <c r="B250" s="102" t="inlineStr">
        <is>
          <t>A</t>
        </is>
      </c>
      <c r="C250" s="102" t="inlineStr">
        <is>
          <t>6</t>
        </is>
      </c>
      <c r="D250" s="102" t="n">
        <v>5</v>
      </c>
      <c r="E250" s="102" t="inlineStr">
        <is>
          <t>TU-A7</t>
        </is>
      </c>
      <c r="F250" s="102" t="inlineStr">
        <is>
          <t>TU-A7/S2</t>
        </is>
      </c>
      <c r="G250" s="102" t="n">
        <v>5</v>
      </c>
      <c r="H250" s="102" t="inlineStr">
        <is>
          <t>TR-A1</t>
        </is>
      </c>
      <c r="I250" s="102" t="n">
        <v>18</v>
      </c>
      <c r="J250" s="102" t="inlineStr">
        <is>
          <t>Ống 3 Xanh lá / Trắng</t>
        </is>
      </c>
      <c r="K250" s="102" t="inlineStr">
        <is>
          <t>S4-03</t>
        </is>
      </c>
      <c r="L250" s="102" t="inlineStr">
        <is>
          <t>A-10</t>
        </is>
      </c>
      <c r="M250" s="102" t="inlineStr">
        <is>
          <t>PON-03</t>
        </is>
      </c>
      <c r="N250" s="102" t="inlineStr">
        <is>
          <t>Chưa lắp</t>
        </is>
      </c>
      <c r="O250" s="151" t="n"/>
      <c r="P250" s="152" t="n"/>
      <c r="Q250" s="13">
        <f>M250&amp;" &gt; P96#"&amp;U250&amp;" &gt; "&amp;K250&amp;" &gt; P96#"&amp;L250&amp;" &gt; "&amp;R250&amp;" "&amp;S250&amp;" "&amp;T250&amp;" &gt; "&amp;H250&amp;"#"&amp;I250&amp;" &gt; "&amp;F250&amp;" p"&amp;G250</f>
        <v/>
      </c>
      <c r="R250" s="9" t="inlineStr">
        <is>
          <t>ODF-02</t>
        </is>
      </c>
      <c r="S250" s="9" t="inlineStr">
        <is>
          <t>Trái</t>
        </is>
      </c>
      <c r="T250" s="9" t="inlineStr">
        <is>
          <t>H3-C6</t>
        </is>
      </c>
      <c r="U250" s="9" t="inlineStr">
        <is>
          <t>A-39</t>
        </is>
      </c>
    </row>
    <row r="251">
      <c r="A251" s="151" t="inlineStr">
        <is>
          <t>A-6-06</t>
        </is>
      </c>
      <c r="B251" s="102" t="inlineStr">
        <is>
          <t>A</t>
        </is>
      </c>
      <c r="C251" s="102" t="inlineStr">
        <is>
          <t>6</t>
        </is>
      </c>
      <c r="D251" s="102" t="n">
        <v>6</v>
      </c>
      <c r="E251" s="102" t="inlineStr">
        <is>
          <t>TU-A7</t>
        </is>
      </c>
      <c r="F251" s="102" t="inlineStr">
        <is>
          <t>TU-A7/S2</t>
        </is>
      </c>
      <c r="G251" s="102" t="n">
        <v>6</v>
      </c>
      <c r="H251" s="102" t="inlineStr">
        <is>
          <t>TR-A1</t>
        </is>
      </c>
      <c r="I251" s="102" t="n">
        <v>18</v>
      </c>
      <c r="J251" s="102" t="inlineStr">
        <is>
          <t>Ống 3 Xanh lá / Trắng</t>
        </is>
      </c>
      <c r="K251" s="102" t="inlineStr">
        <is>
          <t>S4-03</t>
        </is>
      </c>
      <c r="L251" s="102" t="inlineStr">
        <is>
          <t>A-10</t>
        </is>
      </c>
      <c r="M251" s="102" t="inlineStr">
        <is>
          <t>PON-03</t>
        </is>
      </c>
      <c r="N251" s="102" t="inlineStr">
        <is>
          <t>Chưa lắp</t>
        </is>
      </c>
      <c r="O251" s="151" t="n"/>
      <c r="P251" s="152" t="n"/>
      <c r="Q251" s="13">
        <f>M251&amp;" &gt; P96#"&amp;U251&amp;" &gt; "&amp;K251&amp;" &gt; P96#"&amp;L251&amp;" &gt; "&amp;R251&amp;" "&amp;S251&amp;" "&amp;T251&amp;" &gt; "&amp;H251&amp;"#"&amp;I251&amp;" &gt; "&amp;F251&amp;" p"&amp;G251</f>
        <v/>
      </c>
      <c r="R251" s="9" t="inlineStr">
        <is>
          <t>ODF-02</t>
        </is>
      </c>
      <c r="S251" s="9" t="inlineStr">
        <is>
          <t>Trái</t>
        </is>
      </c>
      <c r="T251" s="9" t="inlineStr">
        <is>
          <t>H3-C6</t>
        </is>
      </c>
      <c r="U251" s="9" t="inlineStr">
        <is>
          <t>A-39</t>
        </is>
      </c>
    </row>
    <row r="252">
      <c r="A252" s="151" t="inlineStr">
        <is>
          <t>A-6-07</t>
        </is>
      </c>
      <c r="B252" s="102" t="inlineStr">
        <is>
          <t>A</t>
        </is>
      </c>
      <c r="C252" s="102" t="inlineStr">
        <is>
          <t>6</t>
        </is>
      </c>
      <c r="D252" s="102" t="n">
        <v>7</v>
      </c>
      <c r="E252" s="102" t="inlineStr">
        <is>
          <t>TU-A7</t>
        </is>
      </c>
      <c r="F252" s="102" t="inlineStr">
        <is>
          <t>TU-A7/S2</t>
        </is>
      </c>
      <c r="G252" s="102" t="n">
        <v>7</v>
      </c>
      <c r="H252" s="102" t="inlineStr">
        <is>
          <t>TR-A1</t>
        </is>
      </c>
      <c r="I252" s="102" t="n">
        <v>18</v>
      </c>
      <c r="J252" s="102" t="inlineStr">
        <is>
          <t>Ống 3 Xanh lá / Trắng</t>
        </is>
      </c>
      <c r="K252" s="102" t="inlineStr">
        <is>
          <t>S4-03</t>
        </is>
      </c>
      <c r="L252" s="102" t="inlineStr">
        <is>
          <t>A-10</t>
        </is>
      </c>
      <c r="M252" s="102" t="inlineStr">
        <is>
          <t>PON-03</t>
        </is>
      </c>
      <c r="N252" s="102" t="inlineStr">
        <is>
          <t>Chưa lắp</t>
        </is>
      </c>
      <c r="O252" s="151" t="n"/>
      <c r="P252" s="152" t="n"/>
      <c r="Q252" s="13">
        <f>M252&amp;" &gt; P96#"&amp;U252&amp;" &gt; "&amp;K252&amp;" &gt; P96#"&amp;L252&amp;" &gt; "&amp;R252&amp;" "&amp;S252&amp;" "&amp;T252&amp;" &gt; "&amp;H252&amp;"#"&amp;I252&amp;" &gt; "&amp;F252&amp;" p"&amp;G252</f>
        <v/>
      </c>
      <c r="R252" s="9" t="inlineStr">
        <is>
          <t>ODF-02</t>
        </is>
      </c>
      <c r="S252" s="9" t="inlineStr">
        <is>
          <t>Trái</t>
        </is>
      </c>
      <c r="T252" s="9" t="inlineStr">
        <is>
          <t>H3-C6</t>
        </is>
      </c>
      <c r="U252" s="9" t="inlineStr">
        <is>
          <t>A-39</t>
        </is>
      </c>
    </row>
    <row r="253">
      <c r="A253" s="151" t="inlineStr">
        <is>
          <t>A-6-08</t>
        </is>
      </c>
      <c r="B253" s="102" t="inlineStr">
        <is>
          <t>A</t>
        </is>
      </c>
      <c r="C253" s="102" t="inlineStr">
        <is>
          <t>6</t>
        </is>
      </c>
      <c r="D253" s="102" t="n">
        <v>8</v>
      </c>
      <c r="E253" s="102" t="inlineStr">
        <is>
          <t>TU-A7</t>
        </is>
      </c>
      <c r="F253" s="102" t="inlineStr">
        <is>
          <t>TU-A7/S2</t>
        </is>
      </c>
      <c r="G253" s="102" t="n">
        <v>8</v>
      </c>
      <c r="H253" s="102" t="inlineStr">
        <is>
          <t>TR-A1</t>
        </is>
      </c>
      <c r="I253" s="102" t="n">
        <v>18</v>
      </c>
      <c r="J253" s="102" t="inlineStr">
        <is>
          <t>Ống 3 Xanh lá / Trắng</t>
        </is>
      </c>
      <c r="K253" s="102" t="inlineStr">
        <is>
          <t>S4-03</t>
        </is>
      </c>
      <c r="L253" s="102" t="inlineStr">
        <is>
          <t>A-10</t>
        </is>
      </c>
      <c r="M253" s="102" t="inlineStr">
        <is>
          <t>PON-03</t>
        </is>
      </c>
      <c r="N253" s="102" t="inlineStr">
        <is>
          <t>Chưa lắp</t>
        </is>
      </c>
      <c r="O253" s="151" t="n"/>
      <c r="P253" s="152" t="n"/>
      <c r="Q253" s="13">
        <f>M253&amp;" &gt; P96#"&amp;U253&amp;" &gt; "&amp;K253&amp;" &gt; P96#"&amp;L253&amp;" &gt; "&amp;R253&amp;" "&amp;S253&amp;" "&amp;T253&amp;" &gt; "&amp;H253&amp;"#"&amp;I253&amp;" &gt; "&amp;F253&amp;" p"&amp;G253</f>
        <v/>
      </c>
      <c r="R253" s="9" t="inlineStr">
        <is>
          <t>ODF-02</t>
        </is>
      </c>
      <c r="S253" s="9" t="inlineStr">
        <is>
          <t>Trái</t>
        </is>
      </c>
      <c r="T253" s="9" t="inlineStr">
        <is>
          <t>H3-C6</t>
        </is>
      </c>
      <c r="U253" s="9" t="inlineStr">
        <is>
          <t>A-39</t>
        </is>
      </c>
    </row>
    <row r="254">
      <c r="A254" s="149" t="inlineStr">
        <is>
          <t>A-6-09</t>
        </is>
      </c>
      <c r="B254" s="99" t="inlineStr">
        <is>
          <t>A</t>
        </is>
      </c>
      <c r="C254" s="99" t="inlineStr">
        <is>
          <t>6</t>
        </is>
      </c>
      <c r="D254" s="99" t="n">
        <v>9</v>
      </c>
      <c r="E254" s="99" t="inlineStr">
        <is>
          <t>TU-A7</t>
        </is>
      </c>
      <c r="F254" s="99" t="inlineStr">
        <is>
          <t>TU-A7/S2</t>
        </is>
      </c>
      <c r="G254" s="99" t="n">
        <v>9</v>
      </c>
      <c r="H254" s="99" t="inlineStr">
        <is>
          <t>TR-A1</t>
        </is>
      </c>
      <c r="I254" s="99" t="n">
        <v>18</v>
      </c>
      <c r="J254" s="99" t="inlineStr">
        <is>
          <t>Ống 3 Xanh lá / Trắng</t>
        </is>
      </c>
      <c r="K254" s="99" t="inlineStr">
        <is>
          <t>S4-03</t>
        </is>
      </c>
      <c r="L254" s="99" t="inlineStr">
        <is>
          <t>A-10</t>
        </is>
      </c>
      <c r="M254" s="99" t="inlineStr">
        <is>
          <t>PON-03</t>
        </is>
      </c>
      <c r="N254" s="99" t="inlineStr">
        <is>
          <t>Chưa lắp</t>
        </is>
      </c>
      <c r="O254" s="149" t="n"/>
      <c r="P254" s="150" t="n"/>
      <c r="Q254" s="13">
        <f>M254&amp;" &gt; P96#"&amp;U254&amp;" &gt; "&amp;K254&amp;" &gt; P96#"&amp;L254&amp;" &gt; "&amp;R254&amp;" "&amp;S254&amp;" "&amp;T254&amp;" &gt; "&amp;H254&amp;"#"&amp;I254&amp;" &gt; "&amp;F254&amp;" p"&amp;G254</f>
        <v/>
      </c>
      <c r="R254" s="9" t="inlineStr">
        <is>
          <t>ODF-02</t>
        </is>
      </c>
      <c r="S254" s="9" t="inlineStr">
        <is>
          <t>Trái</t>
        </is>
      </c>
      <c r="T254" s="9" t="inlineStr">
        <is>
          <t>H3-C6</t>
        </is>
      </c>
      <c r="U254" s="9" t="inlineStr">
        <is>
          <t>A-39</t>
        </is>
      </c>
    </row>
    <row r="255">
      <c r="A255" s="149" t="inlineStr">
        <is>
          <t>A-6-10</t>
        </is>
      </c>
      <c r="B255" s="99" t="inlineStr">
        <is>
          <t>A</t>
        </is>
      </c>
      <c r="C255" s="99" t="inlineStr">
        <is>
          <t>6</t>
        </is>
      </c>
      <c r="D255" s="99" t="n">
        <v>10</v>
      </c>
      <c r="E255" s="99" t="inlineStr">
        <is>
          <t>TU-A7</t>
        </is>
      </c>
      <c r="F255" s="99" t="inlineStr">
        <is>
          <t>TU-A7/S2</t>
        </is>
      </c>
      <c r="G255" s="99" t="n">
        <v>10</v>
      </c>
      <c r="H255" s="99" t="inlineStr">
        <is>
          <t>TR-A1</t>
        </is>
      </c>
      <c r="I255" s="99" t="n">
        <v>18</v>
      </c>
      <c r="J255" s="99" t="inlineStr">
        <is>
          <t>Ống 3 Xanh lá / Trắng</t>
        </is>
      </c>
      <c r="K255" s="99" t="inlineStr">
        <is>
          <t>S4-03</t>
        </is>
      </c>
      <c r="L255" s="99" t="inlineStr">
        <is>
          <t>A-10</t>
        </is>
      </c>
      <c r="M255" s="99" t="inlineStr">
        <is>
          <t>PON-03</t>
        </is>
      </c>
      <c r="N255" s="99" t="inlineStr">
        <is>
          <t>Chưa lắp</t>
        </is>
      </c>
      <c r="O255" s="149" t="n"/>
      <c r="P255" s="150" t="n"/>
      <c r="Q255" s="13">
        <f>M255&amp;" &gt; P96#"&amp;U255&amp;" &gt; "&amp;K255&amp;" &gt; P96#"&amp;L255&amp;" &gt; "&amp;R255&amp;" "&amp;S255&amp;" "&amp;T255&amp;" &gt; "&amp;H255&amp;"#"&amp;I255&amp;" &gt; "&amp;F255&amp;" p"&amp;G255</f>
        <v/>
      </c>
      <c r="R255" s="9" t="inlineStr">
        <is>
          <t>ODF-02</t>
        </is>
      </c>
      <c r="S255" s="9" t="inlineStr">
        <is>
          <t>Trái</t>
        </is>
      </c>
      <c r="T255" s="9" t="inlineStr">
        <is>
          <t>H3-C6</t>
        </is>
      </c>
      <c r="U255" s="9" t="inlineStr">
        <is>
          <t>A-39</t>
        </is>
      </c>
    </row>
    <row r="256">
      <c r="A256" s="149" t="inlineStr">
        <is>
          <t>A-6-11</t>
        </is>
      </c>
      <c r="B256" s="99" t="inlineStr">
        <is>
          <t>A</t>
        </is>
      </c>
      <c r="C256" s="99" t="inlineStr">
        <is>
          <t>6</t>
        </is>
      </c>
      <c r="D256" s="99" t="n">
        <v>11</v>
      </c>
      <c r="E256" s="99" t="inlineStr">
        <is>
          <t>TU-A7</t>
        </is>
      </c>
      <c r="F256" s="99" t="inlineStr">
        <is>
          <t>TU-A7/S2</t>
        </is>
      </c>
      <c r="G256" s="99" t="n">
        <v>11</v>
      </c>
      <c r="H256" s="99" t="inlineStr">
        <is>
          <t>TR-A1</t>
        </is>
      </c>
      <c r="I256" s="99" t="n">
        <v>18</v>
      </c>
      <c r="J256" s="99" t="inlineStr">
        <is>
          <t>Ống 3 Xanh lá / Trắng</t>
        </is>
      </c>
      <c r="K256" s="99" t="inlineStr">
        <is>
          <t>S4-03</t>
        </is>
      </c>
      <c r="L256" s="99" t="inlineStr">
        <is>
          <t>A-10</t>
        </is>
      </c>
      <c r="M256" s="99" t="inlineStr">
        <is>
          <t>PON-03</t>
        </is>
      </c>
      <c r="N256" s="99" t="inlineStr">
        <is>
          <t>Chưa lắp</t>
        </is>
      </c>
      <c r="O256" s="149" t="n"/>
      <c r="P256" s="150" t="n"/>
      <c r="Q256" s="13">
        <f>M256&amp;" &gt; P96#"&amp;U256&amp;" &gt; "&amp;K256&amp;" &gt; P96#"&amp;L256&amp;" &gt; "&amp;R256&amp;" "&amp;S256&amp;" "&amp;T256&amp;" &gt; "&amp;H256&amp;"#"&amp;I256&amp;" &gt; "&amp;F256&amp;" p"&amp;G256</f>
        <v/>
      </c>
      <c r="R256" s="9" t="inlineStr">
        <is>
          <t>ODF-02</t>
        </is>
      </c>
      <c r="S256" s="9" t="inlineStr">
        <is>
          <t>Trái</t>
        </is>
      </c>
      <c r="T256" s="9" t="inlineStr">
        <is>
          <t>H3-C6</t>
        </is>
      </c>
      <c r="U256" s="9" t="inlineStr">
        <is>
          <t>A-39</t>
        </is>
      </c>
    </row>
    <row r="257">
      <c r="A257" s="149" t="inlineStr">
        <is>
          <t>A-6-12</t>
        </is>
      </c>
      <c r="B257" s="99" t="inlineStr">
        <is>
          <t>A</t>
        </is>
      </c>
      <c r="C257" s="99" t="inlineStr">
        <is>
          <t>6</t>
        </is>
      </c>
      <c r="D257" s="99" t="n">
        <v>12</v>
      </c>
      <c r="E257" s="99" t="inlineStr">
        <is>
          <t>TU-A7</t>
        </is>
      </c>
      <c r="F257" s="99" t="inlineStr">
        <is>
          <t>TU-A7/S2</t>
        </is>
      </c>
      <c r="G257" s="99" t="n">
        <v>12</v>
      </c>
      <c r="H257" s="99" t="inlineStr">
        <is>
          <t>TR-A1</t>
        </is>
      </c>
      <c r="I257" s="99" t="n">
        <v>18</v>
      </c>
      <c r="J257" s="99" t="inlineStr">
        <is>
          <t>Ống 3 Xanh lá / Trắng</t>
        </is>
      </c>
      <c r="K257" s="99" t="inlineStr">
        <is>
          <t>S4-03</t>
        </is>
      </c>
      <c r="L257" s="99" t="inlineStr">
        <is>
          <t>A-10</t>
        </is>
      </c>
      <c r="M257" s="99" t="inlineStr">
        <is>
          <t>PON-03</t>
        </is>
      </c>
      <c r="N257" s="99" t="inlineStr">
        <is>
          <t>Chưa lắp</t>
        </is>
      </c>
      <c r="O257" s="149" t="n"/>
      <c r="P257" s="150" t="n"/>
      <c r="Q257" s="13">
        <f>M257&amp;" &gt; P96#"&amp;U257&amp;" &gt; "&amp;K257&amp;" &gt; P96#"&amp;L257&amp;" &gt; "&amp;R257&amp;" "&amp;S257&amp;" "&amp;T257&amp;" &gt; "&amp;H257&amp;"#"&amp;I257&amp;" &gt; "&amp;F257&amp;" p"&amp;G257</f>
        <v/>
      </c>
      <c r="R257" s="9" t="inlineStr">
        <is>
          <t>ODF-02</t>
        </is>
      </c>
      <c r="S257" s="9" t="inlineStr">
        <is>
          <t>Trái</t>
        </is>
      </c>
      <c r="T257" s="9" t="inlineStr">
        <is>
          <t>H3-C6</t>
        </is>
      </c>
      <c r="U257" s="9" t="inlineStr">
        <is>
          <t>A-39</t>
        </is>
      </c>
    </row>
    <row r="258">
      <c r="A258" s="149" t="inlineStr">
        <is>
          <t>A-6-13</t>
        </is>
      </c>
      <c r="B258" s="99" t="inlineStr">
        <is>
          <t>A</t>
        </is>
      </c>
      <c r="C258" s="99" t="inlineStr">
        <is>
          <t>6</t>
        </is>
      </c>
      <c r="D258" s="99" t="n">
        <v>13</v>
      </c>
      <c r="E258" s="99" t="inlineStr">
        <is>
          <t>TU-A7</t>
        </is>
      </c>
      <c r="F258" s="99" t="inlineStr">
        <is>
          <t>TU-A7/S2</t>
        </is>
      </c>
      <c r="G258" s="99" t="n">
        <v>13</v>
      </c>
      <c r="H258" s="99" t="inlineStr">
        <is>
          <t>TR-A1</t>
        </is>
      </c>
      <c r="I258" s="99" t="n">
        <v>18</v>
      </c>
      <c r="J258" s="99" t="inlineStr">
        <is>
          <t>Ống 3 Xanh lá / Trắng</t>
        </is>
      </c>
      <c r="K258" s="99" t="inlineStr">
        <is>
          <t>S4-03</t>
        </is>
      </c>
      <c r="L258" s="99" t="inlineStr">
        <is>
          <t>A-10</t>
        </is>
      </c>
      <c r="M258" s="99" t="inlineStr">
        <is>
          <t>PON-03</t>
        </is>
      </c>
      <c r="N258" s="99" t="inlineStr">
        <is>
          <t>Chưa lắp</t>
        </is>
      </c>
      <c r="O258" s="149" t="n"/>
      <c r="P258" s="150" t="n"/>
      <c r="Q258" s="13">
        <f>M258&amp;" &gt; P96#"&amp;U258&amp;" &gt; "&amp;K258&amp;" &gt; P96#"&amp;L258&amp;" &gt; "&amp;R258&amp;" "&amp;S258&amp;" "&amp;T258&amp;" &gt; "&amp;H258&amp;"#"&amp;I258&amp;" &gt; "&amp;F258&amp;" p"&amp;G258</f>
        <v/>
      </c>
      <c r="R258" s="9" t="inlineStr">
        <is>
          <t>ODF-02</t>
        </is>
      </c>
      <c r="S258" s="9" t="inlineStr">
        <is>
          <t>Trái</t>
        </is>
      </c>
      <c r="T258" s="9" t="inlineStr">
        <is>
          <t>H3-C6</t>
        </is>
      </c>
      <c r="U258" s="9" t="inlineStr">
        <is>
          <t>A-39</t>
        </is>
      </c>
    </row>
    <row r="259">
      <c r="A259" s="149" t="inlineStr">
        <is>
          <t>A-6-14</t>
        </is>
      </c>
      <c r="B259" s="99" t="inlineStr">
        <is>
          <t>A</t>
        </is>
      </c>
      <c r="C259" s="99" t="inlineStr">
        <is>
          <t>6</t>
        </is>
      </c>
      <c r="D259" s="99" t="n">
        <v>14</v>
      </c>
      <c r="E259" s="99" t="inlineStr">
        <is>
          <t>TU-A7</t>
        </is>
      </c>
      <c r="F259" s="99" t="inlineStr">
        <is>
          <t>TU-A7/S2</t>
        </is>
      </c>
      <c r="G259" s="99" t="n">
        <v>14</v>
      </c>
      <c r="H259" s="99" t="inlineStr">
        <is>
          <t>TR-A1</t>
        </is>
      </c>
      <c r="I259" s="99" t="n">
        <v>18</v>
      </c>
      <c r="J259" s="99" t="inlineStr">
        <is>
          <t>Ống 3 Xanh lá / Trắng</t>
        </is>
      </c>
      <c r="K259" s="99" t="inlineStr">
        <is>
          <t>S4-03</t>
        </is>
      </c>
      <c r="L259" s="99" t="inlineStr">
        <is>
          <t>A-10</t>
        </is>
      </c>
      <c r="M259" s="99" t="inlineStr">
        <is>
          <t>PON-03</t>
        </is>
      </c>
      <c r="N259" s="99" t="inlineStr">
        <is>
          <t>Chưa lắp</t>
        </is>
      </c>
      <c r="O259" s="149" t="n"/>
      <c r="P259" s="150" t="n"/>
      <c r="Q259" s="13">
        <f>M259&amp;" &gt; P96#"&amp;U259&amp;" &gt; "&amp;K259&amp;" &gt; P96#"&amp;L259&amp;" &gt; "&amp;R259&amp;" "&amp;S259&amp;" "&amp;T259&amp;" &gt; "&amp;H259&amp;"#"&amp;I259&amp;" &gt; "&amp;F259&amp;" p"&amp;G259</f>
        <v/>
      </c>
      <c r="R259" s="9" t="inlineStr">
        <is>
          <t>ODF-02</t>
        </is>
      </c>
      <c r="S259" s="9" t="inlineStr">
        <is>
          <t>Trái</t>
        </is>
      </c>
      <c r="T259" s="9" t="inlineStr">
        <is>
          <t>H3-C6</t>
        </is>
      </c>
      <c r="U259" s="9" t="inlineStr">
        <is>
          <t>A-39</t>
        </is>
      </c>
    </row>
    <row r="260">
      <c r="A260" s="149" t="inlineStr">
        <is>
          <t>A-6-15</t>
        </is>
      </c>
      <c r="B260" s="99" t="inlineStr">
        <is>
          <t>A</t>
        </is>
      </c>
      <c r="C260" s="99" t="inlineStr">
        <is>
          <t>6</t>
        </is>
      </c>
      <c r="D260" s="99" t="n">
        <v>15</v>
      </c>
      <c r="E260" s="99" t="inlineStr">
        <is>
          <t>TU-A7</t>
        </is>
      </c>
      <c r="F260" s="99" t="inlineStr">
        <is>
          <t>TU-A7/S2</t>
        </is>
      </c>
      <c r="G260" s="99" t="n">
        <v>15</v>
      </c>
      <c r="H260" s="99" t="inlineStr">
        <is>
          <t>TR-A1</t>
        </is>
      </c>
      <c r="I260" s="99" t="n">
        <v>18</v>
      </c>
      <c r="J260" s="99" t="inlineStr">
        <is>
          <t>Ống 3 Xanh lá / Trắng</t>
        </is>
      </c>
      <c r="K260" s="99" t="inlineStr">
        <is>
          <t>S4-03</t>
        </is>
      </c>
      <c r="L260" s="99" t="inlineStr">
        <is>
          <t>A-10</t>
        </is>
      </c>
      <c r="M260" s="99" t="inlineStr">
        <is>
          <t>PON-03</t>
        </is>
      </c>
      <c r="N260" s="99" t="inlineStr">
        <is>
          <t>Chưa lắp</t>
        </is>
      </c>
      <c r="O260" s="149" t="n"/>
      <c r="P260" s="150" t="n"/>
      <c r="Q260" s="13">
        <f>M260&amp;" &gt; P96#"&amp;U260&amp;" &gt; "&amp;K260&amp;" &gt; P96#"&amp;L260&amp;" &gt; "&amp;R260&amp;" "&amp;S260&amp;" "&amp;T260&amp;" &gt; "&amp;H260&amp;"#"&amp;I260&amp;" &gt; "&amp;F260&amp;" p"&amp;G260</f>
        <v/>
      </c>
      <c r="R260" s="9" t="inlineStr">
        <is>
          <t>ODF-02</t>
        </is>
      </c>
      <c r="S260" s="9" t="inlineStr">
        <is>
          <t>Trái</t>
        </is>
      </c>
      <c r="T260" s="9" t="inlineStr">
        <is>
          <t>H3-C6</t>
        </is>
      </c>
      <c r="U260" s="9" t="inlineStr">
        <is>
          <t>A-39</t>
        </is>
      </c>
    </row>
    <row r="261">
      <c r="A261" s="149" t="inlineStr">
        <is>
          <t>A-5-01</t>
        </is>
      </c>
      <c r="B261" s="99" t="inlineStr">
        <is>
          <t>A</t>
        </is>
      </c>
      <c r="C261" s="99" t="inlineStr">
        <is>
          <t>5</t>
        </is>
      </c>
      <c r="D261" s="99" t="n">
        <v>1</v>
      </c>
      <c r="E261" s="99" t="inlineStr">
        <is>
          <t>TU-A7</t>
        </is>
      </c>
      <c r="F261" s="99" t="inlineStr">
        <is>
          <t>TU-A7/S1</t>
        </is>
      </c>
      <c r="G261" s="99" t="n">
        <v>1</v>
      </c>
      <c r="H261" s="99" t="inlineStr">
        <is>
          <t>TR-A1</t>
        </is>
      </c>
      <c r="I261" s="99" t="n">
        <v>17</v>
      </c>
      <c r="J261" s="99" t="inlineStr">
        <is>
          <t>Ống 3 Xanh lá / Xám</t>
        </is>
      </c>
      <c r="K261" s="99" t="inlineStr">
        <is>
          <t>S4-03</t>
        </is>
      </c>
      <c r="L261" s="99" t="inlineStr">
        <is>
          <t>A-9</t>
        </is>
      </c>
      <c r="M261" s="99" t="inlineStr">
        <is>
          <t>PON-03</t>
        </is>
      </c>
      <c r="N261" s="99" t="inlineStr">
        <is>
          <t>Chưa lắp</t>
        </is>
      </c>
      <c r="O261" s="149" t="n"/>
      <c r="P261" s="150" t="n"/>
      <c r="Q261" s="13">
        <f>M261&amp;" &gt; P96#"&amp;U261&amp;" &gt; "&amp;K261&amp;" &gt; P96#"&amp;L261&amp;" &gt; "&amp;R261&amp;" "&amp;S261&amp;" "&amp;T261&amp;" &gt; "&amp;H261&amp;"#"&amp;I261&amp;" &gt; "&amp;F261&amp;" p"&amp;G261</f>
        <v/>
      </c>
      <c r="R261" s="9" t="inlineStr">
        <is>
          <t>ODF-02</t>
        </is>
      </c>
      <c r="S261" s="9" t="inlineStr">
        <is>
          <t>Trái</t>
        </is>
      </c>
      <c r="T261" s="9" t="inlineStr">
        <is>
          <t>H3-C5</t>
        </is>
      </c>
      <c r="U261" s="9" t="inlineStr">
        <is>
          <t>A-39</t>
        </is>
      </c>
    </row>
    <row r="262">
      <c r="A262" s="149" t="inlineStr">
        <is>
          <t>A-5-02</t>
        </is>
      </c>
      <c r="B262" s="99" t="inlineStr">
        <is>
          <t>A</t>
        </is>
      </c>
      <c r="C262" s="99" t="inlineStr">
        <is>
          <t>5</t>
        </is>
      </c>
      <c r="D262" s="99" t="n">
        <v>2</v>
      </c>
      <c r="E262" s="99" t="inlineStr">
        <is>
          <t>TU-A7</t>
        </is>
      </c>
      <c r="F262" s="99" t="inlineStr">
        <is>
          <t>TU-A7/S1</t>
        </is>
      </c>
      <c r="G262" s="99" t="n">
        <v>2</v>
      </c>
      <c r="H262" s="99" t="inlineStr">
        <is>
          <t>TR-A1</t>
        </is>
      </c>
      <c r="I262" s="99" t="n">
        <v>17</v>
      </c>
      <c r="J262" s="99" t="inlineStr">
        <is>
          <t>Ống 3 Xanh lá / Xám</t>
        </is>
      </c>
      <c r="K262" s="99" t="inlineStr">
        <is>
          <t>S4-03</t>
        </is>
      </c>
      <c r="L262" s="99" t="inlineStr">
        <is>
          <t>A-9</t>
        </is>
      </c>
      <c r="M262" s="99" t="inlineStr">
        <is>
          <t>PON-03</t>
        </is>
      </c>
      <c r="N262" s="99" t="inlineStr">
        <is>
          <t>Chưa lắp</t>
        </is>
      </c>
      <c r="O262" s="149" t="n"/>
      <c r="P262" s="150" t="n"/>
      <c r="Q262" s="13">
        <f>M262&amp;" &gt; P96#"&amp;U262&amp;" &gt; "&amp;K262&amp;" &gt; P96#"&amp;L262&amp;" &gt; "&amp;R262&amp;" "&amp;S262&amp;" "&amp;T262&amp;" &gt; "&amp;H262&amp;"#"&amp;I262&amp;" &gt; "&amp;F262&amp;" p"&amp;G262</f>
        <v/>
      </c>
      <c r="R262" s="9" t="inlineStr">
        <is>
          <t>ODF-02</t>
        </is>
      </c>
      <c r="S262" s="9" t="inlineStr">
        <is>
          <t>Trái</t>
        </is>
      </c>
      <c r="T262" s="9" t="inlineStr">
        <is>
          <t>H3-C5</t>
        </is>
      </c>
      <c r="U262" s="9" t="inlineStr">
        <is>
          <t>A-39</t>
        </is>
      </c>
    </row>
    <row r="263">
      <c r="A263" s="149" t="inlineStr">
        <is>
          <t>A-5-03</t>
        </is>
      </c>
      <c r="B263" s="99" t="inlineStr">
        <is>
          <t>A</t>
        </is>
      </c>
      <c r="C263" s="99" t="inlineStr">
        <is>
          <t>5</t>
        </is>
      </c>
      <c r="D263" s="99" t="n">
        <v>3</v>
      </c>
      <c r="E263" s="99" t="inlineStr">
        <is>
          <t>TU-A7</t>
        </is>
      </c>
      <c r="F263" s="99" t="inlineStr">
        <is>
          <t>TU-A7/S1</t>
        </is>
      </c>
      <c r="G263" s="99" t="n">
        <v>3</v>
      </c>
      <c r="H263" s="99" t="inlineStr">
        <is>
          <t>TR-A1</t>
        </is>
      </c>
      <c r="I263" s="99" t="n">
        <v>17</v>
      </c>
      <c r="J263" s="99" t="inlineStr">
        <is>
          <t>Ống 3 Xanh lá / Xám</t>
        </is>
      </c>
      <c r="K263" s="99" t="inlineStr">
        <is>
          <t>S4-03</t>
        </is>
      </c>
      <c r="L263" s="99" t="inlineStr">
        <is>
          <t>A-9</t>
        </is>
      </c>
      <c r="M263" s="99" t="inlineStr">
        <is>
          <t>PON-03</t>
        </is>
      </c>
      <c r="N263" s="99" t="inlineStr">
        <is>
          <t>Chưa lắp</t>
        </is>
      </c>
      <c r="O263" s="149" t="n"/>
      <c r="P263" s="150" t="n"/>
      <c r="Q263" s="13">
        <f>M263&amp;" &gt; P96#"&amp;U263&amp;" &gt; "&amp;K263&amp;" &gt; P96#"&amp;L263&amp;" &gt; "&amp;R263&amp;" "&amp;S263&amp;" "&amp;T263&amp;" &gt; "&amp;H263&amp;"#"&amp;I263&amp;" &gt; "&amp;F263&amp;" p"&amp;G263</f>
        <v/>
      </c>
      <c r="R263" s="9" t="inlineStr">
        <is>
          <t>ODF-02</t>
        </is>
      </c>
      <c r="S263" s="9" t="inlineStr">
        <is>
          <t>Trái</t>
        </is>
      </c>
      <c r="T263" s="9" t="inlineStr">
        <is>
          <t>H3-C5</t>
        </is>
      </c>
      <c r="U263" s="9" t="inlineStr">
        <is>
          <t>A-39</t>
        </is>
      </c>
    </row>
    <row r="264">
      <c r="A264" s="149" t="inlineStr">
        <is>
          <t>A-5-04</t>
        </is>
      </c>
      <c r="B264" s="99" t="inlineStr">
        <is>
          <t>A</t>
        </is>
      </c>
      <c r="C264" s="99" t="inlineStr">
        <is>
          <t>5</t>
        </is>
      </c>
      <c r="D264" s="99" t="n">
        <v>4</v>
      </c>
      <c r="E264" s="99" t="inlineStr">
        <is>
          <t>TU-A7</t>
        </is>
      </c>
      <c r="F264" s="99" t="inlineStr">
        <is>
          <t>TU-A7/S1</t>
        </is>
      </c>
      <c r="G264" s="99" t="n">
        <v>4</v>
      </c>
      <c r="H264" s="99" t="inlineStr">
        <is>
          <t>TR-A1</t>
        </is>
      </c>
      <c r="I264" s="99" t="n">
        <v>17</v>
      </c>
      <c r="J264" s="99" t="inlineStr">
        <is>
          <t>Ống 3 Xanh lá / Xám</t>
        </is>
      </c>
      <c r="K264" s="99" t="inlineStr">
        <is>
          <t>S4-03</t>
        </is>
      </c>
      <c r="L264" s="99" t="inlineStr">
        <is>
          <t>A-9</t>
        </is>
      </c>
      <c r="M264" s="99" t="inlineStr">
        <is>
          <t>PON-03</t>
        </is>
      </c>
      <c r="N264" s="99" t="inlineStr">
        <is>
          <t>Chưa lắp</t>
        </is>
      </c>
      <c r="O264" s="149" t="n"/>
      <c r="P264" s="150" t="n"/>
      <c r="Q264" s="13">
        <f>M264&amp;" &gt; P96#"&amp;U264&amp;" &gt; "&amp;K264&amp;" &gt; P96#"&amp;L264&amp;" &gt; "&amp;R264&amp;" "&amp;S264&amp;" "&amp;T264&amp;" &gt; "&amp;H264&amp;"#"&amp;I264&amp;" &gt; "&amp;F264&amp;" p"&amp;G264</f>
        <v/>
      </c>
      <c r="R264" s="9" t="inlineStr">
        <is>
          <t>ODF-02</t>
        </is>
      </c>
      <c r="S264" s="9" t="inlineStr">
        <is>
          <t>Trái</t>
        </is>
      </c>
      <c r="T264" s="9" t="inlineStr">
        <is>
          <t>H3-C5</t>
        </is>
      </c>
      <c r="U264" s="9" t="inlineStr">
        <is>
          <t>A-39</t>
        </is>
      </c>
    </row>
    <row r="265">
      <c r="A265" s="149" t="inlineStr">
        <is>
          <t>A-5-05</t>
        </is>
      </c>
      <c r="B265" s="99" t="inlineStr">
        <is>
          <t>A</t>
        </is>
      </c>
      <c r="C265" s="99" t="inlineStr">
        <is>
          <t>5</t>
        </is>
      </c>
      <c r="D265" s="99" t="n">
        <v>5</v>
      </c>
      <c r="E265" s="99" t="inlineStr">
        <is>
          <t>TU-A7</t>
        </is>
      </c>
      <c r="F265" s="99" t="inlineStr">
        <is>
          <t>TU-A7/S1</t>
        </is>
      </c>
      <c r="G265" s="99" t="n">
        <v>5</v>
      </c>
      <c r="H265" s="99" t="inlineStr">
        <is>
          <t>TR-A1</t>
        </is>
      </c>
      <c r="I265" s="99" t="n">
        <v>17</v>
      </c>
      <c r="J265" s="99" t="inlineStr">
        <is>
          <t>Ống 3 Xanh lá / Xám</t>
        </is>
      </c>
      <c r="K265" s="99" t="inlineStr">
        <is>
          <t>S4-03</t>
        </is>
      </c>
      <c r="L265" s="99" t="inlineStr">
        <is>
          <t>A-9</t>
        </is>
      </c>
      <c r="M265" s="99" t="inlineStr">
        <is>
          <t>PON-03</t>
        </is>
      </c>
      <c r="N265" s="99" t="inlineStr">
        <is>
          <t>Chưa lắp</t>
        </is>
      </c>
      <c r="O265" s="149" t="n"/>
      <c r="P265" s="150" t="n"/>
      <c r="Q265" s="13">
        <f>M265&amp;" &gt; P96#"&amp;U265&amp;" &gt; "&amp;K265&amp;" &gt; P96#"&amp;L265&amp;" &gt; "&amp;R265&amp;" "&amp;S265&amp;" "&amp;T265&amp;" &gt; "&amp;H265&amp;"#"&amp;I265&amp;" &gt; "&amp;F265&amp;" p"&amp;G265</f>
        <v/>
      </c>
      <c r="R265" s="9" t="inlineStr">
        <is>
          <t>ODF-02</t>
        </is>
      </c>
      <c r="S265" s="9" t="inlineStr">
        <is>
          <t>Trái</t>
        </is>
      </c>
      <c r="T265" s="9" t="inlineStr">
        <is>
          <t>H3-C5</t>
        </is>
      </c>
      <c r="U265" s="9" t="inlineStr">
        <is>
          <t>A-39</t>
        </is>
      </c>
    </row>
    <row r="266">
      <c r="A266" s="149" t="inlineStr">
        <is>
          <t>A-5-06</t>
        </is>
      </c>
      <c r="B266" s="99" t="inlineStr">
        <is>
          <t>A</t>
        </is>
      </c>
      <c r="C266" s="99" t="inlineStr">
        <is>
          <t>5</t>
        </is>
      </c>
      <c r="D266" s="99" t="n">
        <v>6</v>
      </c>
      <c r="E266" s="99" t="inlineStr">
        <is>
          <t>TU-A7</t>
        </is>
      </c>
      <c r="F266" s="99" t="inlineStr">
        <is>
          <t>TU-A7/S1</t>
        </is>
      </c>
      <c r="G266" s="99" t="n">
        <v>6</v>
      </c>
      <c r="H266" s="99" t="inlineStr">
        <is>
          <t>TR-A1</t>
        </is>
      </c>
      <c r="I266" s="99" t="n">
        <v>17</v>
      </c>
      <c r="J266" s="99" t="inlineStr">
        <is>
          <t>Ống 3 Xanh lá / Xám</t>
        </is>
      </c>
      <c r="K266" s="99" t="inlineStr">
        <is>
          <t>S4-03</t>
        </is>
      </c>
      <c r="L266" s="99" t="inlineStr">
        <is>
          <t>A-9</t>
        </is>
      </c>
      <c r="M266" s="99" t="inlineStr">
        <is>
          <t>PON-03</t>
        </is>
      </c>
      <c r="N266" s="99" t="inlineStr">
        <is>
          <t>Chưa lắp</t>
        </is>
      </c>
      <c r="O266" s="149" t="n"/>
      <c r="P266" s="150" t="n"/>
      <c r="Q266" s="13">
        <f>M266&amp;" &gt; P96#"&amp;U266&amp;" &gt; "&amp;K266&amp;" &gt; P96#"&amp;L266&amp;" &gt; "&amp;R266&amp;" "&amp;S266&amp;" "&amp;T266&amp;" &gt; "&amp;H266&amp;"#"&amp;I266&amp;" &gt; "&amp;F266&amp;" p"&amp;G266</f>
        <v/>
      </c>
      <c r="R266" s="9" t="inlineStr">
        <is>
          <t>ODF-02</t>
        </is>
      </c>
      <c r="S266" s="9" t="inlineStr">
        <is>
          <t>Trái</t>
        </is>
      </c>
      <c r="T266" s="9" t="inlineStr">
        <is>
          <t>H3-C5</t>
        </is>
      </c>
      <c r="U266" s="9" t="inlineStr">
        <is>
          <t>A-39</t>
        </is>
      </c>
    </row>
    <row r="267">
      <c r="A267" s="149" t="inlineStr">
        <is>
          <t>A-5-07</t>
        </is>
      </c>
      <c r="B267" s="99" t="inlineStr">
        <is>
          <t>A</t>
        </is>
      </c>
      <c r="C267" s="99" t="inlineStr">
        <is>
          <t>5</t>
        </is>
      </c>
      <c r="D267" s="99" t="n">
        <v>7</v>
      </c>
      <c r="E267" s="99" t="inlineStr">
        <is>
          <t>TU-A7</t>
        </is>
      </c>
      <c r="F267" s="99" t="inlineStr">
        <is>
          <t>TU-A7/S1</t>
        </is>
      </c>
      <c r="G267" s="99" t="n">
        <v>7</v>
      </c>
      <c r="H267" s="99" t="inlineStr">
        <is>
          <t>TR-A1</t>
        </is>
      </c>
      <c r="I267" s="99" t="n">
        <v>17</v>
      </c>
      <c r="J267" s="99" t="inlineStr">
        <is>
          <t>Ống 3 Xanh lá / Xám</t>
        </is>
      </c>
      <c r="K267" s="99" t="inlineStr">
        <is>
          <t>S4-03</t>
        </is>
      </c>
      <c r="L267" s="99" t="inlineStr">
        <is>
          <t>A-9</t>
        </is>
      </c>
      <c r="M267" s="99" t="inlineStr">
        <is>
          <t>PON-03</t>
        </is>
      </c>
      <c r="N267" s="99" t="inlineStr">
        <is>
          <t>Chưa lắp</t>
        </is>
      </c>
      <c r="O267" s="149" t="n"/>
      <c r="P267" s="150" t="n"/>
      <c r="Q267" s="13">
        <f>M267&amp;" &gt; P96#"&amp;U267&amp;" &gt; "&amp;K267&amp;" &gt; P96#"&amp;L267&amp;" &gt; "&amp;R267&amp;" "&amp;S267&amp;" "&amp;T267&amp;" &gt; "&amp;H267&amp;"#"&amp;I267&amp;" &gt; "&amp;F267&amp;" p"&amp;G267</f>
        <v/>
      </c>
      <c r="R267" s="9" t="inlineStr">
        <is>
          <t>ODF-02</t>
        </is>
      </c>
      <c r="S267" s="9" t="inlineStr">
        <is>
          <t>Trái</t>
        </is>
      </c>
      <c r="T267" s="9" t="inlineStr">
        <is>
          <t>H3-C5</t>
        </is>
      </c>
      <c r="U267" s="9" t="inlineStr">
        <is>
          <t>A-39</t>
        </is>
      </c>
    </row>
    <row r="268">
      <c r="A268" s="151" t="inlineStr">
        <is>
          <t>A-5-08</t>
        </is>
      </c>
      <c r="B268" s="102" t="inlineStr">
        <is>
          <t>A</t>
        </is>
      </c>
      <c r="C268" s="102" t="inlineStr">
        <is>
          <t>5</t>
        </is>
      </c>
      <c r="D268" s="102" t="n">
        <v>8</v>
      </c>
      <c r="E268" s="102" t="inlineStr">
        <is>
          <t>TU-A7</t>
        </is>
      </c>
      <c r="F268" s="102" t="inlineStr">
        <is>
          <t>TU-A7/S1</t>
        </is>
      </c>
      <c r="G268" s="102" t="n">
        <v>8</v>
      </c>
      <c r="H268" s="102" t="inlineStr">
        <is>
          <t>TR-A1</t>
        </is>
      </c>
      <c r="I268" s="102" t="n">
        <v>17</v>
      </c>
      <c r="J268" s="102" t="inlineStr">
        <is>
          <t>Ống 3 Xanh lá / Xám</t>
        </is>
      </c>
      <c r="K268" s="102" t="inlineStr">
        <is>
          <t>S4-03</t>
        </is>
      </c>
      <c r="L268" s="102" t="inlineStr">
        <is>
          <t>A-9</t>
        </is>
      </c>
      <c r="M268" s="102" t="inlineStr">
        <is>
          <t>PON-03</t>
        </is>
      </c>
      <c r="N268" s="102" t="inlineStr">
        <is>
          <t>Chưa lắp</t>
        </is>
      </c>
      <c r="O268" s="151" t="n"/>
      <c r="P268" s="152" t="n"/>
      <c r="Q268" s="13">
        <f>M268&amp;" &gt; P96#"&amp;U268&amp;" &gt; "&amp;K268&amp;" &gt; P96#"&amp;L268&amp;" &gt; "&amp;R268&amp;" "&amp;S268&amp;" "&amp;T268&amp;" &gt; "&amp;H268&amp;"#"&amp;I268&amp;" &gt; "&amp;F268&amp;" p"&amp;G268</f>
        <v/>
      </c>
      <c r="R268" s="9" t="inlineStr">
        <is>
          <t>ODF-02</t>
        </is>
      </c>
      <c r="S268" s="9" t="inlineStr">
        <is>
          <t>Trái</t>
        </is>
      </c>
      <c r="T268" s="9" t="inlineStr">
        <is>
          <t>H3-C5</t>
        </is>
      </c>
      <c r="U268" s="9" t="inlineStr">
        <is>
          <t>A-39</t>
        </is>
      </c>
    </row>
    <row r="269">
      <c r="A269" s="151" t="inlineStr">
        <is>
          <t>A-5-09</t>
        </is>
      </c>
      <c r="B269" s="102" t="inlineStr">
        <is>
          <t>A</t>
        </is>
      </c>
      <c r="C269" s="102" t="inlineStr">
        <is>
          <t>5</t>
        </is>
      </c>
      <c r="D269" s="102" t="n">
        <v>9</v>
      </c>
      <c r="E269" s="102" t="inlineStr">
        <is>
          <t>TU-A7</t>
        </is>
      </c>
      <c r="F269" s="102" t="inlineStr">
        <is>
          <t>TU-A7/S1</t>
        </is>
      </c>
      <c r="G269" s="102" t="n">
        <v>9</v>
      </c>
      <c r="H269" s="102" t="inlineStr">
        <is>
          <t>TR-A1</t>
        </is>
      </c>
      <c r="I269" s="102" t="n">
        <v>17</v>
      </c>
      <c r="J269" s="102" t="inlineStr">
        <is>
          <t>Ống 3 Xanh lá / Xám</t>
        </is>
      </c>
      <c r="K269" s="102" t="inlineStr">
        <is>
          <t>S4-03</t>
        </is>
      </c>
      <c r="L269" s="102" t="inlineStr">
        <is>
          <t>A-9</t>
        </is>
      </c>
      <c r="M269" s="102" t="inlineStr">
        <is>
          <t>PON-03</t>
        </is>
      </c>
      <c r="N269" s="102" t="inlineStr">
        <is>
          <t>Chưa lắp</t>
        </is>
      </c>
      <c r="O269" s="151" t="n"/>
      <c r="P269" s="152" t="n"/>
      <c r="Q269" s="13">
        <f>M269&amp;" &gt; P96#"&amp;U269&amp;" &gt; "&amp;K269&amp;" &gt; P96#"&amp;L269&amp;" &gt; "&amp;R269&amp;" "&amp;S269&amp;" "&amp;T269&amp;" &gt; "&amp;H269&amp;"#"&amp;I269&amp;" &gt; "&amp;F269&amp;" p"&amp;G269</f>
        <v/>
      </c>
      <c r="R269" s="9" t="inlineStr">
        <is>
          <t>ODF-02</t>
        </is>
      </c>
      <c r="S269" s="9" t="inlineStr">
        <is>
          <t>Trái</t>
        </is>
      </c>
      <c r="T269" s="9" t="inlineStr">
        <is>
          <t>H3-C5</t>
        </is>
      </c>
      <c r="U269" s="9" t="inlineStr">
        <is>
          <t>A-39</t>
        </is>
      </c>
    </row>
    <row r="270">
      <c r="A270" s="151" t="inlineStr">
        <is>
          <t>A-5-10</t>
        </is>
      </c>
      <c r="B270" s="102" t="inlineStr">
        <is>
          <t>A</t>
        </is>
      </c>
      <c r="C270" s="102" t="inlineStr">
        <is>
          <t>5</t>
        </is>
      </c>
      <c r="D270" s="102" t="n">
        <v>10</v>
      </c>
      <c r="E270" s="102" t="inlineStr">
        <is>
          <t>TU-A7</t>
        </is>
      </c>
      <c r="F270" s="102" t="inlineStr">
        <is>
          <t>TU-A7/S1</t>
        </is>
      </c>
      <c r="G270" s="102" t="n">
        <v>10</v>
      </c>
      <c r="H270" s="102" t="inlineStr">
        <is>
          <t>TR-A1</t>
        </is>
      </c>
      <c r="I270" s="102" t="n">
        <v>17</v>
      </c>
      <c r="J270" s="102" t="inlineStr">
        <is>
          <t>Ống 3 Xanh lá / Xám</t>
        </is>
      </c>
      <c r="K270" s="102" t="inlineStr">
        <is>
          <t>S4-03</t>
        </is>
      </c>
      <c r="L270" s="102" t="inlineStr">
        <is>
          <t>A-9</t>
        </is>
      </c>
      <c r="M270" s="102" t="inlineStr">
        <is>
          <t>PON-03</t>
        </is>
      </c>
      <c r="N270" s="102" t="inlineStr">
        <is>
          <t>Chưa lắp</t>
        </is>
      </c>
      <c r="O270" s="151" t="n"/>
      <c r="P270" s="152" t="n"/>
      <c r="Q270" s="13">
        <f>M270&amp;" &gt; P96#"&amp;U270&amp;" &gt; "&amp;K270&amp;" &gt; P96#"&amp;L270&amp;" &gt; "&amp;R270&amp;" "&amp;S270&amp;" "&amp;T270&amp;" &gt; "&amp;H270&amp;"#"&amp;I270&amp;" &gt; "&amp;F270&amp;" p"&amp;G270</f>
        <v/>
      </c>
      <c r="R270" s="9" t="inlineStr">
        <is>
          <t>ODF-02</t>
        </is>
      </c>
      <c r="S270" s="9" t="inlineStr">
        <is>
          <t>Trái</t>
        </is>
      </c>
      <c r="T270" s="9" t="inlineStr">
        <is>
          <t>H3-C5</t>
        </is>
      </c>
      <c r="U270" s="9" t="inlineStr">
        <is>
          <t>A-39</t>
        </is>
      </c>
    </row>
    <row r="271">
      <c r="A271" s="151" t="inlineStr">
        <is>
          <t>A-5-11</t>
        </is>
      </c>
      <c r="B271" s="102" t="inlineStr">
        <is>
          <t>A</t>
        </is>
      </c>
      <c r="C271" s="102" t="inlineStr">
        <is>
          <t>5</t>
        </is>
      </c>
      <c r="D271" s="102" t="n">
        <v>11</v>
      </c>
      <c r="E271" s="102" t="inlineStr">
        <is>
          <t>TU-A7</t>
        </is>
      </c>
      <c r="F271" s="102" t="inlineStr">
        <is>
          <t>TU-A7/S1</t>
        </is>
      </c>
      <c r="G271" s="102" t="n">
        <v>11</v>
      </c>
      <c r="H271" s="102" t="inlineStr">
        <is>
          <t>TR-A1</t>
        </is>
      </c>
      <c r="I271" s="102" t="n">
        <v>17</v>
      </c>
      <c r="J271" s="102" t="inlineStr">
        <is>
          <t>Ống 3 Xanh lá / Xám</t>
        </is>
      </c>
      <c r="K271" s="102" t="inlineStr">
        <is>
          <t>S4-03</t>
        </is>
      </c>
      <c r="L271" s="102" t="inlineStr">
        <is>
          <t>A-9</t>
        </is>
      </c>
      <c r="M271" s="102" t="inlineStr">
        <is>
          <t>PON-03</t>
        </is>
      </c>
      <c r="N271" s="102" t="inlineStr">
        <is>
          <t>Chưa lắp</t>
        </is>
      </c>
      <c r="O271" s="151" t="n"/>
      <c r="P271" s="152" t="n"/>
      <c r="Q271" s="13">
        <f>M271&amp;" &gt; P96#"&amp;U271&amp;" &gt; "&amp;K271&amp;" &gt; P96#"&amp;L271&amp;" &gt; "&amp;R271&amp;" "&amp;S271&amp;" "&amp;T271&amp;" &gt; "&amp;H271&amp;"#"&amp;I271&amp;" &gt; "&amp;F271&amp;" p"&amp;G271</f>
        <v/>
      </c>
      <c r="R271" s="9" t="inlineStr">
        <is>
          <t>ODF-02</t>
        </is>
      </c>
      <c r="S271" s="9" t="inlineStr">
        <is>
          <t>Trái</t>
        </is>
      </c>
      <c r="T271" s="9" t="inlineStr">
        <is>
          <t>H3-C5</t>
        </is>
      </c>
      <c r="U271" s="9" t="inlineStr">
        <is>
          <t>A-39</t>
        </is>
      </c>
    </row>
    <row r="272">
      <c r="A272" s="151" t="inlineStr">
        <is>
          <t>A-5-12</t>
        </is>
      </c>
      <c r="B272" s="102" t="inlineStr">
        <is>
          <t>A</t>
        </is>
      </c>
      <c r="C272" s="102" t="inlineStr">
        <is>
          <t>5</t>
        </is>
      </c>
      <c r="D272" s="102" t="n">
        <v>12</v>
      </c>
      <c r="E272" s="102" t="inlineStr">
        <is>
          <t>TU-A7</t>
        </is>
      </c>
      <c r="F272" s="102" t="inlineStr">
        <is>
          <t>TU-A7/S1</t>
        </is>
      </c>
      <c r="G272" s="102" t="n">
        <v>12</v>
      </c>
      <c r="H272" s="102" t="inlineStr">
        <is>
          <t>TR-A1</t>
        </is>
      </c>
      <c r="I272" s="102" t="n">
        <v>17</v>
      </c>
      <c r="J272" s="102" t="inlineStr">
        <is>
          <t>Ống 3 Xanh lá / Xám</t>
        </is>
      </c>
      <c r="K272" s="102" t="inlineStr">
        <is>
          <t>S4-03</t>
        </is>
      </c>
      <c r="L272" s="102" t="inlineStr">
        <is>
          <t>A-9</t>
        </is>
      </c>
      <c r="M272" s="102" t="inlineStr">
        <is>
          <t>PON-03</t>
        </is>
      </c>
      <c r="N272" s="102" t="inlineStr">
        <is>
          <t>Chưa lắp</t>
        </is>
      </c>
      <c r="O272" s="151" t="n"/>
      <c r="P272" s="152" t="n"/>
      <c r="Q272" s="13">
        <f>M272&amp;" &gt; P96#"&amp;U272&amp;" &gt; "&amp;K272&amp;" &gt; P96#"&amp;L272&amp;" &gt; "&amp;R272&amp;" "&amp;S272&amp;" "&amp;T272&amp;" &gt; "&amp;H272&amp;"#"&amp;I272&amp;" &gt; "&amp;F272&amp;" p"&amp;G272</f>
        <v/>
      </c>
      <c r="R272" s="9" t="inlineStr">
        <is>
          <t>ODF-02</t>
        </is>
      </c>
      <c r="S272" s="9" t="inlineStr">
        <is>
          <t>Trái</t>
        </is>
      </c>
      <c r="T272" s="9" t="inlineStr">
        <is>
          <t>H3-C5</t>
        </is>
      </c>
      <c r="U272" s="9" t="inlineStr">
        <is>
          <t>A-39</t>
        </is>
      </c>
    </row>
    <row r="273">
      <c r="A273" s="151" t="inlineStr">
        <is>
          <t>A-5-13</t>
        </is>
      </c>
      <c r="B273" s="102" t="inlineStr">
        <is>
          <t>A</t>
        </is>
      </c>
      <c r="C273" s="102" t="inlineStr">
        <is>
          <t>5</t>
        </is>
      </c>
      <c r="D273" s="102" t="n">
        <v>13</v>
      </c>
      <c r="E273" s="102" t="inlineStr">
        <is>
          <t>TU-A7</t>
        </is>
      </c>
      <c r="F273" s="102" t="inlineStr">
        <is>
          <t>TU-A7/S1</t>
        </is>
      </c>
      <c r="G273" s="102" t="n">
        <v>13</v>
      </c>
      <c r="H273" s="102" t="inlineStr">
        <is>
          <t>TR-A1</t>
        </is>
      </c>
      <c r="I273" s="102" t="n">
        <v>17</v>
      </c>
      <c r="J273" s="102" t="inlineStr">
        <is>
          <t>Ống 3 Xanh lá / Xám</t>
        </is>
      </c>
      <c r="K273" s="102" t="inlineStr">
        <is>
          <t>S4-03</t>
        </is>
      </c>
      <c r="L273" s="102" t="inlineStr">
        <is>
          <t>A-9</t>
        </is>
      </c>
      <c r="M273" s="102" t="inlineStr">
        <is>
          <t>PON-03</t>
        </is>
      </c>
      <c r="N273" s="102" t="inlineStr">
        <is>
          <t>Chưa lắp</t>
        </is>
      </c>
      <c r="O273" s="151" t="n"/>
      <c r="P273" s="152" t="n"/>
      <c r="Q273" s="13">
        <f>M273&amp;" &gt; P96#"&amp;U273&amp;" &gt; "&amp;K273&amp;" &gt; P96#"&amp;L273&amp;" &gt; "&amp;R273&amp;" "&amp;S273&amp;" "&amp;T273&amp;" &gt; "&amp;H273&amp;"#"&amp;I273&amp;" &gt; "&amp;F273&amp;" p"&amp;G273</f>
        <v/>
      </c>
      <c r="R273" s="9" t="inlineStr">
        <is>
          <t>ODF-02</t>
        </is>
      </c>
      <c r="S273" s="9" t="inlineStr">
        <is>
          <t>Trái</t>
        </is>
      </c>
      <c r="T273" s="9" t="inlineStr">
        <is>
          <t>H3-C5</t>
        </is>
      </c>
      <c r="U273" s="9" t="inlineStr">
        <is>
          <t>A-39</t>
        </is>
      </c>
    </row>
    <row r="274">
      <c r="A274" s="151" t="inlineStr">
        <is>
          <t>A-5-14</t>
        </is>
      </c>
      <c r="B274" s="102" t="inlineStr">
        <is>
          <t>A</t>
        </is>
      </c>
      <c r="C274" s="102" t="inlineStr">
        <is>
          <t>5</t>
        </is>
      </c>
      <c r="D274" s="102" t="n">
        <v>14</v>
      </c>
      <c r="E274" s="102" t="inlineStr">
        <is>
          <t>TU-A7</t>
        </is>
      </c>
      <c r="F274" s="102" t="inlineStr">
        <is>
          <t>TU-A7/S1</t>
        </is>
      </c>
      <c r="G274" s="102" t="n">
        <v>14</v>
      </c>
      <c r="H274" s="102" t="inlineStr">
        <is>
          <t>TR-A1</t>
        </is>
      </c>
      <c r="I274" s="102" t="n">
        <v>17</v>
      </c>
      <c r="J274" s="102" t="inlineStr">
        <is>
          <t>Ống 3 Xanh lá / Xám</t>
        </is>
      </c>
      <c r="K274" s="102" t="inlineStr">
        <is>
          <t>S4-03</t>
        </is>
      </c>
      <c r="L274" s="102" t="inlineStr">
        <is>
          <t>A-9</t>
        </is>
      </c>
      <c r="M274" s="102" t="inlineStr">
        <is>
          <t>PON-03</t>
        </is>
      </c>
      <c r="N274" s="102" t="inlineStr">
        <is>
          <t>Chưa lắp</t>
        </is>
      </c>
      <c r="O274" s="151" t="n"/>
      <c r="P274" s="152" t="n"/>
      <c r="Q274" s="13">
        <f>M274&amp;" &gt; P96#"&amp;U274&amp;" &gt; "&amp;K274&amp;" &gt; P96#"&amp;L274&amp;" &gt; "&amp;R274&amp;" "&amp;S274&amp;" "&amp;T274&amp;" &gt; "&amp;H274&amp;"#"&amp;I274&amp;" &gt; "&amp;F274&amp;" p"&amp;G274</f>
        <v/>
      </c>
      <c r="R274" s="9" t="inlineStr">
        <is>
          <t>ODF-02</t>
        </is>
      </c>
      <c r="S274" s="9" t="inlineStr">
        <is>
          <t>Trái</t>
        </is>
      </c>
      <c r="T274" s="9" t="inlineStr">
        <is>
          <t>H3-C5</t>
        </is>
      </c>
      <c r="U274" s="9" t="inlineStr">
        <is>
          <t>A-39</t>
        </is>
      </c>
    </row>
    <row r="275">
      <c r="A275" s="151" t="inlineStr">
        <is>
          <t>A-5-15</t>
        </is>
      </c>
      <c r="B275" s="102" t="inlineStr">
        <is>
          <t>A</t>
        </is>
      </c>
      <c r="C275" s="102" t="inlineStr">
        <is>
          <t>5</t>
        </is>
      </c>
      <c r="D275" s="102" t="n">
        <v>15</v>
      </c>
      <c r="E275" s="102" t="inlineStr">
        <is>
          <t>TU-A7</t>
        </is>
      </c>
      <c r="F275" s="102" t="inlineStr">
        <is>
          <t>TU-A7/S1</t>
        </is>
      </c>
      <c r="G275" s="102" t="n">
        <v>15</v>
      </c>
      <c r="H275" s="102" t="inlineStr">
        <is>
          <t>TR-A1</t>
        </is>
      </c>
      <c r="I275" s="102" t="n">
        <v>17</v>
      </c>
      <c r="J275" s="102" t="inlineStr">
        <is>
          <t>Ống 3 Xanh lá / Xám</t>
        </is>
      </c>
      <c r="K275" s="102" t="inlineStr">
        <is>
          <t>S4-03</t>
        </is>
      </c>
      <c r="L275" s="102" t="inlineStr">
        <is>
          <t>A-9</t>
        </is>
      </c>
      <c r="M275" s="102" t="inlineStr">
        <is>
          <t>PON-03</t>
        </is>
      </c>
      <c r="N275" s="102" t="inlineStr">
        <is>
          <t>Chưa lắp</t>
        </is>
      </c>
      <c r="O275" s="151" t="n"/>
      <c r="P275" s="152" t="n"/>
      <c r="Q275" s="13">
        <f>M275&amp;" &gt; P96#"&amp;U275&amp;" &gt; "&amp;K275&amp;" &gt; P96#"&amp;L275&amp;" &gt; "&amp;R275&amp;" "&amp;S275&amp;" "&amp;T275&amp;" &gt; "&amp;H275&amp;"#"&amp;I275&amp;" &gt; "&amp;F275&amp;" p"&amp;G275</f>
        <v/>
      </c>
      <c r="R275" s="9" t="inlineStr">
        <is>
          <t>ODF-02</t>
        </is>
      </c>
      <c r="S275" s="9" t="inlineStr">
        <is>
          <t>Trái</t>
        </is>
      </c>
      <c r="T275" s="9" t="inlineStr">
        <is>
          <t>H3-C5</t>
        </is>
      </c>
      <c r="U275" s="9" t="inlineStr">
        <is>
          <t>A-39</t>
        </is>
      </c>
    </row>
    <row r="276">
      <c r="A276" s="151" t="inlineStr">
        <is>
          <t>A-4-01</t>
        </is>
      </c>
      <c r="B276" s="102" t="inlineStr">
        <is>
          <t>A</t>
        </is>
      </c>
      <c r="C276" s="102" t="inlineStr">
        <is>
          <t>4</t>
        </is>
      </c>
      <c r="D276" s="102" t="n">
        <v>1</v>
      </c>
      <c r="E276" s="102" t="inlineStr">
        <is>
          <t>TU-A5</t>
        </is>
      </c>
      <c r="F276" s="102" t="inlineStr">
        <is>
          <t>TU-A5/S3</t>
        </is>
      </c>
      <c r="G276" s="102" t="n">
        <v>1</v>
      </c>
      <c r="H276" s="102" t="inlineStr">
        <is>
          <t>TR-A1</t>
        </is>
      </c>
      <c r="I276" s="102" t="n">
        <v>11</v>
      </c>
      <c r="J276" s="102" t="inlineStr">
        <is>
          <t>Ống 2 Cam / Xám</t>
        </is>
      </c>
      <c r="K276" s="102" t="inlineStr">
        <is>
          <t>S4-02</t>
        </is>
      </c>
      <c r="L276" s="102" t="inlineStr">
        <is>
          <t>A-7</t>
        </is>
      </c>
      <c r="M276" s="102" t="inlineStr">
        <is>
          <t>PON-02</t>
        </is>
      </c>
      <c r="N276" s="102" t="inlineStr">
        <is>
          <t>Chưa lắp</t>
        </is>
      </c>
      <c r="O276" s="151" t="n"/>
      <c r="P276" s="152" t="n"/>
      <c r="Q276" s="13">
        <f>M276&amp;" &gt; P96#"&amp;U276&amp;" &gt; "&amp;K276&amp;" &gt; P96#"&amp;L276&amp;" &gt; "&amp;R276&amp;" "&amp;S276&amp;" "&amp;T276&amp;" &gt; "&amp;H276&amp;"#"&amp;I276&amp;" &gt; "&amp;F276&amp;" p"&amp;G276</f>
        <v/>
      </c>
      <c r="R276" s="9" t="inlineStr">
        <is>
          <t>ODF-02</t>
        </is>
      </c>
      <c r="S276" s="9" t="inlineStr">
        <is>
          <t>Trái</t>
        </is>
      </c>
      <c r="T276" s="9" t="inlineStr">
        <is>
          <t>H2-C5</t>
        </is>
      </c>
      <c r="U276" s="9" t="inlineStr">
        <is>
          <t>A-38</t>
        </is>
      </c>
    </row>
    <row r="277">
      <c r="A277" s="151" t="inlineStr">
        <is>
          <t>A-4-02</t>
        </is>
      </c>
      <c r="B277" s="102" t="inlineStr">
        <is>
          <t>A</t>
        </is>
      </c>
      <c r="C277" s="102" t="inlineStr">
        <is>
          <t>4</t>
        </is>
      </c>
      <c r="D277" s="102" t="n">
        <v>2</v>
      </c>
      <c r="E277" s="102" t="inlineStr">
        <is>
          <t>TU-A5</t>
        </is>
      </c>
      <c r="F277" s="102" t="inlineStr">
        <is>
          <t>TU-A5/S3</t>
        </is>
      </c>
      <c r="G277" s="102" t="n">
        <v>2</v>
      </c>
      <c r="H277" s="102" t="inlineStr">
        <is>
          <t>TR-A1</t>
        </is>
      </c>
      <c r="I277" s="102" t="n">
        <v>11</v>
      </c>
      <c r="J277" s="102" t="inlineStr">
        <is>
          <t>Ống 2 Cam / Xám</t>
        </is>
      </c>
      <c r="K277" s="102" t="inlineStr">
        <is>
          <t>S4-02</t>
        </is>
      </c>
      <c r="L277" s="102" t="inlineStr">
        <is>
          <t>A-7</t>
        </is>
      </c>
      <c r="M277" s="102" t="inlineStr">
        <is>
          <t>PON-02</t>
        </is>
      </c>
      <c r="N277" s="102" t="inlineStr">
        <is>
          <t>Chưa lắp</t>
        </is>
      </c>
      <c r="O277" s="151" t="n"/>
      <c r="P277" s="152" t="n"/>
      <c r="Q277" s="13">
        <f>M277&amp;" &gt; P96#"&amp;U277&amp;" &gt; "&amp;K277&amp;" &gt; P96#"&amp;L277&amp;" &gt; "&amp;R277&amp;" "&amp;S277&amp;" "&amp;T277&amp;" &gt; "&amp;H277&amp;"#"&amp;I277&amp;" &gt; "&amp;F277&amp;" p"&amp;G277</f>
        <v/>
      </c>
      <c r="R277" s="9" t="inlineStr">
        <is>
          <t>ODF-02</t>
        </is>
      </c>
      <c r="S277" s="9" t="inlineStr">
        <is>
          <t>Trái</t>
        </is>
      </c>
      <c r="T277" s="9" t="inlineStr">
        <is>
          <t>H2-C5</t>
        </is>
      </c>
      <c r="U277" s="9" t="inlineStr">
        <is>
          <t>A-38</t>
        </is>
      </c>
    </row>
    <row r="278">
      <c r="A278" s="151" t="inlineStr">
        <is>
          <t>A-4-03</t>
        </is>
      </c>
      <c r="B278" s="102" t="inlineStr">
        <is>
          <t>A</t>
        </is>
      </c>
      <c r="C278" s="102" t="inlineStr">
        <is>
          <t>4</t>
        </is>
      </c>
      <c r="D278" s="102" t="n">
        <v>3</v>
      </c>
      <c r="E278" s="102" t="inlineStr">
        <is>
          <t>TU-A5</t>
        </is>
      </c>
      <c r="F278" s="102" t="inlineStr">
        <is>
          <t>TU-A5/S3</t>
        </is>
      </c>
      <c r="G278" s="102" t="n">
        <v>3</v>
      </c>
      <c r="H278" s="102" t="inlineStr">
        <is>
          <t>TR-A1</t>
        </is>
      </c>
      <c r="I278" s="102" t="n">
        <v>11</v>
      </c>
      <c r="J278" s="102" t="inlineStr">
        <is>
          <t>Ống 2 Cam / Xám</t>
        </is>
      </c>
      <c r="K278" s="102" t="inlineStr">
        <is>
          <t>S4-02</t>
        </is>
      </c>
      <c r="L278" s="102" t="inlineStr">
        <is>
          <t>A-7</t>
        </is>
      </c>
      <c r="M278" s="102" t="inlineStr">
        <is>
          <t>PON-02</t>
        </is>
      </c>
      <c r="N278" s="102" t="inlineStr">
        <is>
          <t>Chưa lắp</t>
        </is>
      </c>
      <c r="O278" s="151" t="n"/>
      <c r="P278" s="152" t="n"/>
      <c r="Q278" s="13">
        <f>M278&amp;" &gt; P96#"&amp;U278&amp;" &gt; "&amp;K278&amp;" &gt; P96#"&amp;L278&amp;" &gt; "&amp;R278&amp;" "&amp;S278&amp;" "&amp;T278&amp;" &gt; "&amp;H278&amp;"#"&amp;I278&amp;" &gt; "&amp;F278&amp;" p"&amp;G278</f>
        <v/>
      </c>
      <c r="R278" s="9" t="inlineStr">
        <is>
          <t>ODF-02</t>
        </is>
      </c>
      <c r="S278" s="9" t="inlineStr">
        <is>
          <t>Trái</t>
        </is>
      </c>
      <c r="T278" s="9" t="inlineStr">
        <is>
          <t>H2-C5</t>
        </is>
      </c>
      <c r="U278" s="9" t="inlineStr">
        <is>
          <t>A-38</t>
        </is>
      </c>
    </row>
    <row r="279">
      <c r="A279" s="151" t="inlineStr">
        <is>
          <t>A-4-04</t>
        </is>
      </c>
      <c r="B279" s="102" t="inlineStr">
        <is>
          <t>A</t>
        </is>
      </c>
      <c r="C279" s="102" t="inlineStr">
        <is>
          <t>4</t>
        </is>
      </c>
      <c r="D279" s="102" t="n">
        <v>4</v>
      </c>
      <c r="E279" s="102" t="inlineStr">
        <is>
          <t>TU-A5</t>
        </is>
      </c>
      <c r="F279" s="102" t="inlineStr">
        <is>
          <t>TU-A5/S3</t>
        </is>
      </c>
      <c r="G279" s="102" t="n">
        <v>4</v>
      </c>
      <c r="H279" s="102" t="inlineStr">
        <is>
          <t>TR-A1</t>
        </is>
      </c>
      <c r="I279" s="102" t="n">
        <v>11</v>
      </c>
      <c r="J279" s="102" t="inlineStr">
        <is>
          <t>Ống 2 Cam / Xám</t>
        </is>
      </c>
      <c r="K279" s="102" t="inlineStr">
        <is>
          <t>S4-02</t>
        </is>
      </c>
      <c r="L279" s="102" t="inlineStr">
        <is>
          <t>A-7</t>
        </is>
      </c>
      <c r="M279" s="102" t="inlineStr">
        <is>
          <t>PON-02</t>
        </is>
      </c>
      <c r="N279" s="102" t="inlineStr">
        <is>
          <t>Chưa lắp</t>
        </is>
      </c>
      <c r="O279" s="151" t="n"/>
      <c r="P279" s="152" t="n"/>
      <c r="Q279" s="13">
        <f>M279&amp;" &gt; P96#"&amp;U279&amp;" &gt; "&amp;K279&amp;" &gt; P96#"&amp;L279&amp;" &gt; "&amp;R279&amp;" "&amp;S279&amp;" "&amp;T279&amp;" &gt; "&amp;H279&amp;"#"&amp;I279&amp;" &gt; "&amp;F279&amp;" p"&amp;G279</f>
        <v/>
      </c>
      <c r="R279" s="9" t="inlineStr">
        <is>
          <t>ODF-02</t>
        </is>
      </c>
      <c r="S279" s="9" t="inlineStr">
        <is>
          <t>Trái</t>
        </is>
      </c>
      <c r="T279" s="9" t="inlineStr">
        <is>
          <t>H2-C5</t>
        </is>
      </c>
      <c r="U279" s="9" t="inlineStr">
        <is>
          <t>A-38</t>
        </is>
      </c>
    </row>
    <row r="280">
      <c r="A280" s="151" t="inlineStr">
        <is>
          <t>A-4-05</t>
        </is>
      </c>
      <c r="B280" s="102" t="inlineStr">
        <is>
          <t>A</t>
        </is>
      </c>
      <c r="C280" s="102" t="inlineStr">
        <is>
          <t>4</t>
        </is>
      </c>
      <c r="D280" s="102" t="n">
        <v>5</v>
      </c>
      <c r="E280" s="102" t="inlineStr">
        <is>
          <t>TU-A5</t>
        </is>
      </c>
      <c r="F280" s="102" t="inlineStr">
        <is>
          <t>TU-A5/S3</t>
        </is>
      </c>
      <c r="G280" s="102" t="n">
        <v>5</v>
      </c>
      <c r="H280" s="102" t="inlineStr">
        <is>
          <t>TR-A1</t>
        </is>
      </c>
      <c r="I280" s="102" t="n">
        <v>11</v>
      </c>
      <c r="J280" s="102" t="inlineStr">
        <is>
          <t>Ống 2 Cam / Xám</t>
        </is>
      </c>
      <c r="K280" s="102" t="inlineStr">
        <is>
          <t>S4-02</t>
        </is>
      </c>
      <c r="L280" s="102" t="inlineStr">
        <is>
          <t>A-7</t>
        </is>
      </c>
      <c r="M280" s="102" t="inlineStr">
        <is>
          <t>PON-02</t>
        </is>
      </c>
      <c r="N280" s="102" t="inlineStr">
        <is>
          <t>Chưa lắp</t>
        </is>
      </c>
      <c r="O280" s="151" t="n"/>
      <c r="P280" s="152" t="n"/>
      <c r="Q280" s="13">
        <f>M280&amp;" &gt; P96#"&amp;U280&amp;" &gt; "&amp;K280&amp;" &gt; P96#"&amp;L280&amp;" &gt; "&amp;R280&amp;" "&amp;S280&amp;" "&amp;T280&amp;" &gt; "&amp;H280&amp;"#"&amp;I280&amp;" &gt; "&amp;F280&amp;" p"&amp;G280</f>
        <v/>
      </c>
      <c r="R280" s="9" t="inlineStr">
        <is>
          <t>ODF-02</t>
        </is>
      </c>
      <c r="S280" s="9" t="inlineStr">
        <is>
          <t>Trái</t>
        </is>
      </c>
      <c r="T280" s="9" t="inlineStr">
        <is>
          <t>H2-C5</t>
        </is>
      </c>
      <c r="U280" s="9" t="inlineStr">
        <is>
          <t>A-38</t>
        </is>
      </c>
    </row>
    <row r="281">
      <c r="A281" s="151" t="inlineStr">
        <is>
          <t>A-4-06</t>
        </is>
      </c>
      <c r="B281" s="102" t="inlineStr">
        <is>
          <t>A</t>
        </is>
      </c>
      <c r="C281" s="102" t="inlineStr">
        <is>
          <t>4</t>
        </is>
      </c>
      <c r="D281" s="102" t="n">
        <v>6</v>
      </c>
      <c r="E281" s="102" t="inlineStr">
        <is>
          <t>TU-A5</t>
        </is>
      </c>
      <c r="F281" s="102" t="inlineStr">
        <is>
          <t>TU-A5/S3</t>
        </is>
      </c>
      <c r="G281" s="102" t="n">
        <v>6</v>
      </c>
      <c r="H281" s="102" t="inlineStr">
        <is>
          <t>TR-A1</t>
        </is>
      </c>
      <c r="I281" s="102" t="n">
        <v>11</v>
      </c>
      <c r="J281" s="102" t="inlineStr">
        <is>
          <t>Ống 2 Cam / Xám</t>
        </is>
      </c>
      <c r="K281" s="102" t="inlineStr">
        <is>
          <t>S4-02</t>
        </is>
      </c>
      <c r="L281" s="102" t="inlineStr">
        <is>
          <t>A-7</t>
        </is>
      </c>
      <c r="M281" s="102" t="inlineStr">
        <is>
          <t>PON-02</t>
        </is>
      </c>
      <c r="N281" s="102" t="inlineStr">
        <is>
          <t>Chưa lắp</t>
        </is>
      </c>
      <c r="O281" s="151" t="n"/>
      <c r="P281" s="152" t="n"/>
      <c r="Q281" s="13">
        <f>M281&amp;" &gt; P96#"&amp;U281&amp;" &gt; "&amp;K281&amp;" &gt; P96#"&amp;L281&amp;" &gt; "&amp;R281&amp;" "&amp;S281&amp;" "&amp;T281&amp;" &gt; "&amp;H281&amp;"#"&amp;I281&amp;" &gt; "&amp;F281&amp;" p"&amp;G281</f>
        <v/>
      </c>
      <c r="R281" s="9" t="inlineStr">
        <is>
          <t>ODF-02</t>
        </is>
      </c>
      <c r="S281" s="9" t="inlineStr">
        <is>
          <t>Trái</t>
        </is>
      </c>
      <c r="T281" s="9" t="inlineStr">
        <is>
          <t>H2-C5</t>
        </is>
      </c>
      <c r="U281" s="9" t="inlineStr">
        <is>
          <t>A-38</t>
        </is>
      </c>
    </row>
    <row r="282">
      <c r="A282" s="149" t="inlineStr">
        <is>
          <t>A-4-07</t>
        </is>
      </c>
      <c r="B282" s="99" t="inlineStr">
        <is>
          <t>A</t>
        </is>
      </c>
      <c r="C282" s="99" t="inlineStr">
        <is>
          <t>4</t>
        </is>
      </c>
      <c r="D282" s="99" t="n">
        <v>7</v>
      </c>
      <c r="E282" s="99" t="inlineStr">
        <is>
          <t>TU-A5</t>
        </is>
      </c>
      <c r="F282" s="99" t="inlineStr">
        <is>
          <t>TU-A5/S3</t>
        </is>
      </c>
      <c r="G282" s="99" t="n">
        <v>7</v>
      </c>
      <c r="H282" s="99" t="inlineStr">
        <is>
          <t>TR-A1</t>
        </is>
      </c>
      <c r="I282" s="99" t="n">
        <v>11</v>
      </c>
      <c r="J282" s="99" t="inlineStr">
        <is>
          <t>Ống 2 Cam / Xám</t>
        </is>
      </c>
      <c r="K282" s="99" t="inlineStr">
        <is>
          <t>S4-02</t>
        </is>
      </c>
      <c r="L282" s="99" t="inlineStr">
        <is>
          <t>A-7</t>
        </is>
      </c>
      <c r="M282" s="99" t="inlineStr">
        <is>
          <t>PON-02</t>
        </is>
      </c>
      <c r="N282" s="99" t="inlineStr">
        <is>
          <t>Chưa lắp</t>
        </is>
      </c>
      <c r="O282" s="149" t="n"/>
      <c r="P282" s="150" t="n"/>
      <c r="Q282" s="13">
        <f>M282&amp;" &gt; P96#"&amp;U282&amp;" &gt; "&amp;K282&amp;" &gt; P96#"&amp;L282&amp;" &gt; "&amp;R282&amp;" "&amp;S282&amp;" "&amp;T282&amp;" &gt; "&amp;H282&amp;"#"&amp;I282&amp;" &gt; "&amp;F282&amp;" p"&amp;G282</f>
        <v/>
      </c>
      <c r="R282" s="9" t="inlineStr">
        <is>
          <t>ODF-02</t>
        </is>
      </c>
      <c r="S282" s="9" t="inlineStr">
        <is>
          <t>Trái</t>
        </is>
      </c>
      <c r="T282" s="9" t="inlineStr">
        <is>
          <t>H2-C5</t>
        </is>
      </c>
      <c r="U282" s="9" t="inlineStr">
        <is>
          <t>A-38</t>
        </is>
      </c>
    </row>
    <row r="283">
      <c r="A283" s="149" t="inlineStr">
        <is>
          <t>A-4-08</t>
        </is>
      </c>
      <c r="B283" s="99" t="inlineStr">
        <is>
          <t>A</t>
        </is>
      </c>
      <c r="C283" s="99" t="inlineStr">
        <is>
          <t>4</t>
        </is>
      </c>
      <c r="D283" s="99" t="n">
        <v>8</v>
      </c>
      <c r="E283" s="99" t="inlineStr">
        <is>
          <t>TU-A5</t>
        </is>
      </c>
      <c r="F283" s="99" t="inlineStr">
        <is>
          <t>TU-A5/S3</t>
        </is>
      </c>
      <c r="G283" s="99" t="n">
        <v>8</v>
      </c>
      <c r="H283" s="99" t="inlineStr">
        <is>
          <t>TR-A1</t>
        </is>
      </c>
      <c r="I283" s="99" t="n">
        <v>11</v>
      </c>
      <c r="J283" s="99" t="inlineStr">
        <is>
          <t>Ống 2 Cam / Xám</t>
        </is>
      </c>
      <c r="K283" s="99" t="inlineStr">
        <is>
          <t>S4-02</t>
        </is>
      </c>
      <c r="L283" s="99" t="inlineStr">
        <is>
          <t>A-7</t>
        </is>
      </c>
      <c r="M283" s="99" t="inlineStr">
        <is>
          <t>PON-02</t>
        </is>
      </c>
      <c r="N283" s="99" t="inlineStr">
        <is>
          <t>Chưa lắp</t>
        </is>
      </c>
      <c r="O283" s="149" t="n"/>
      <c r="P283" s="150" t="n"/>
      <c r="Q283" s="13">
        <f>M283&amp;" &gt; P96#"&amp;U283&amp;" &gt; "&amp;K283&amp;" &gt; P96#"&amp;L283&amp;" &gt; "&amp;R283&amp;" "&amp;S283&amp;" "&amp;T283&amp;" &gt; "&amp;H283&amp;"#"&amp;I283&amp;" &gt; "&amp;F283&amp;" p"&amp;G283</f>
        <v/>
      </c>
      <c r="R283" s="9" t="inlineStr">
        <is>
          <t>ODF-02</t>
        </is>
      </c>
      <c r="S283" s="9" t="inlineStr">
        <is>
          <t>Trái</t>
        </is>
      </c>
      <c r="T283" s="9" t="inlineStr">
        <is>
          <t>H2-C5</t>
        </is>
      </c>
      <c r="U283" s="9" t="inlineStr">
        <is>
          <t>A-38</t>
        </is>
      </c>
    </row>
    <row r="284">
      <c r="A284" s="149" t="inlineStr">
        <is>
          <t>A-4-09</t>
        </is>
      </c>
      <c r="B284" s="99" t="inlineStr">
        <is>
          <t>A</t>
        </is>
      </c>
      <c r="C284" s="99" t="inlineStr">
        <is>
          <t>4</t>
        </is>
      </c>
      <c r="D284" s="99" t="n">
        <v>9</v>
      </c>
      <c r="E284" s="99" t="inlineStr">
        <is>
          <t>TU-A5</t>
        </is>
      </c>
      <c r="F284" s="99" t="inlineStr">
        <is>
          <t>TU-A5/S3</t>
        </is>
      </c>
      <c r="G284" s="99" t="n">
        <v>9</v>
      </c>
      <c r="H284" s="99" t="inlineStr">
        <is>
          <t>TR-A1</t>
        </is>
      </c>
      <c r="I284" s="99" t="n">
        <v>11</v>
      </c>
      <c r="J284" s="99" t="inlineStr">
        <is>
          <t>Ống 2 Cam / Xám</t>
        </is>
      </c>
      <c r="K284" s="99" t="inlineStr">
        <is>
          <t>S4-02</t>
        </is>
      </c>
      <c r="L284" s="99" t="inlineStr">
        <is>
          <t>A-7</t>
        </is>
      </c>
      <c r="M284" s="99" t="inlineStr">
        <is>
          <t>PON-02</t>
        </is>
      </c>
      <c r="N284" s="99" t="inlineStr">
        <is>
          <t>Chưa lắp</t>
        </is>
      </c>
      <c r="O284" s="149" t="n"/>
      <c r="P284" s="150" t="n"/>
      <c r="Q284" s="13">
        <f>M284&amp;" &gt; P96#"&amp;U284&amp;" &gt; "&amp;K284&amp;" &gt; P96#"&amp;L284&amp;" &gt; "&amp;R284&amp;" "&amp;S284&amp;" "&amp;T284&amp;" &gt; "&amp;H284&amp;"#"&amp;I284&amp;" &gt; "&amp;F284&amp;" p"&amp;G284</f>
        <v/>
      </c>
      <c r="R284" s="9" t="inlineStr">
        <is>
          <t>ODF-02</t>
        </is>
      </c>
      <c r="S284" s="9" t="inlineStr">
        <is>
          <t>Trái</t>
        </is>
      </c>
      <c r="T284" s="9" t="inlineStr">
        <is>
          <t>H2-C5</t>
        </is>
      </c>
      <c r="U284" s="9" t="inlineStr">
        <is>
          <t>A-38</t>
        </is>
      </c>
    </row>
    <row r="285">
      <c r="A285" s="149" t="inlineStr">
        <is>
          <t>A-4-10</t>
        </is>
      </c>
      <c r="B285" s="99" t="inlineStr">
        <is>
          <t>A</t>
        </is>
      </c>
      <c r="C285" s="99" t="inlineStr">
        <is>
          <t>4</t>
        </is>
      </c>
      <c r="D285" s="99" t="n">
        <v>10</v>
      </c>
      <c r="E285" s="99" t="inlineStr">
        <is>
          <t>TU-A5</t>
        </is>
      </c>
      <c r="F285" s="99" t="inlineStr">
        <is>
          <t>TU-A5/S3</t>
        </is>
      </c>
      <c r="G285" s="99" t="n">
        <v>10</v>
      </c>
      <c r="H285" s="99" t="inlineStr">
        <is>
          <t>TR-A1</t>
        </is>
      </c>
      <c r="I285" s="99" t="n">
        <v>11</v>
      </c>
      <c r="J285" s="99" t="inlineStr">
        <is>
          <t>Ống 2 Cam / Xám</t>
        </is>
      </c>
      <c r="K285" s="99" t="inlineStr">
        <is>
          <t>S4-02</t>
        </is>
      </c>
      <c r="L285" s="99" t="inlineStr">
        <is>
          <t>A-7</t>
        </is>
      </c>
      <c r="M285" s="99" t="inlineStr">
        <is>
          <t>PON-02</t>
        </is>
      </c>
      <c r="N285" s="99" t="inlineStr">
        <is>
          <t>Chưa lắp</t>
        </is>
      </c>
      <c r="O285" s="149" t="n"/>
      <c r="P285" s="150" t="n"/>
      <c r="Q285" s="13">
        <f>M285&amp;" &gt; P96#"&amp;U285&amp;" &gt; "&amp;K285&amp;" &gt; P96#"&amp;L285&amp;" &gt; "&amp;R285&amp;" "&amp;S285&amp;" "&amp;T285&amp;" &gt; "&amp;H285&amp;"#"&amp;I285&amp;" &gt; "&amp;F285&amp;" p"&amp;G285</f>
        <v/>
      </c>
      <c r="R285" s="9" t="inlineStr">
        <is>
          <t>ODF-02</t>
        </is>
      </c>
      <c r="S285" s="9" t="inlineStr">
        <is>
          <t>Trái</t>
        </is>
      </c>
      <c r="T285" s="9" t="inlineStr">
        <is>
          <t>H2-C5</t>
        </is>
      </c>
      <c r="U285" s="9" t="inlineStr">
        <is>
          <t>A-38</t>
        </is>
      </c>
    </row>
    <row r="286">
      <c r="A286" s="149" t="inlineStr">
        <is>
          <t>A-4-11</t>
        </is>
      </c>
      <c r="B286" s="99" t="inlineStr">
        <is>
          <t>A</t>
        </is>
      </c>
      <c r="C286" s="99" t="inlineStr">
        <is>
          <t>4</t>
        </is>
      </c>
      <c r="D286" s="99" t="n">
        <v>11</v>
      </c>
      <c r="E286" s="99" t="inlineStr">
        <is>
          <t>TU-A5</t>
        </is>
      </c>
      <c r="F286" s="99" t="inlineStr">
        <is>
          <t>TU-A5/S3</t>
        </is>
      </c>
      <c r="G286" s="99" t="n">
        <v>11</v>
      </c>
      <c r="H286" s="99" t="inlineStr">
        <is>
          <t>TR-A1</t>
        </is>
      </c>
      <c r="I286" s="99" t="n">
        <v>11</v>
      </c>
      <c r="J286" s="99" t="inlineStr">
        <is>
          <t>Ống 2 Cam / Xám</t>
        </is>
      </c>
      <c r="K286" s="99" t="inlineStr">
        <is>
          <t>S4-02</t>
        </is>
      </c>
      <c r="L286" s="99" t="inlineStr">
        <is>
          <t>A-7</t>
        </is>
      </c>
      <c r="M286" s="99" t="inlineStr">
        <is>
          <t>PON-02</t>
        </is>
      </c>
      <c r="N286" s="99" t="inlineStr">
        <is>
          <t>Chưa lắp</t>
        </is>
      </c>
      <c r="O286" s="149" t="n"/>
      <c r="P286" s="150" t="n"/>
      <c r="Q286" s="13">
        <f>M286&amp;" &gt; P96#"&amp;U286&amp;" &gt; "&amp;K286&amp;" &gt; P96#"&amp;L286&amp;" &gt; "&amp;R286&amp;" "&amp;S286&amp;" "&amp;T286&amp;" &gt; "&amp;H286&amp;"#"&amp;I286&amp;" &gt; "&amp;F286&amp;" p"&amp;G286</f>
        <v/>
      </c>
      <c r="R286" s="9" t="inlineStr">
        <is>
          <t>ODF-02</t>
        </is>
      </c>
      <c r="S286" s="9" t="inlineStr">
        <is>
          <t>Trái</t>
        </is>
      </c>
      <c r="T286" s="9" t="inlineStr">
        <is>
          <t>H2-C5</t>
        </is>
      </c>
      <c r="U286" s="9" t="inlineStr">
        <is>
          <t>A-38</t>
        </is>
      </c>
    </row>
    <row r="287">
      <c r="A287" s="149" t="inlineStr">
        <is>
          <t>A-4-12</t>
        </is>
      </c>
      <c r="B287" s="99" t="inlineStr">
        <is>
          <t>A</t>
        </is>
      </c>
      <c r="C287" s="99" t="inlineStr">
        <is>
          <t>4</t>
        </is>
      </c>
      <c r="D287" s="99" t="n">
        <v>12</v>
      </c>
      <c r="E287" s="99" t="inlineStr">
        <is>
          <t>TU-A5</t>
        </is>
      </c>
      <c r="F287" s="99" t="inlineStr">
        <is>
          <t>TU-A5/S3</t>
        </is>
      </c>
      <c r="G287" s="99" t="n">
        <v>12</v>
      </c>
      <c r="H287" s="99" t="inlineStr">
        <is>
          <t>TR-A1</t>
        </is>
      </c>
      <c r="I287" s="99" t="n">
        <v>11</v>
      </c>
      <c r="J287" s="99" t="inlineStr">
        <is>
          <t>Ống 2 Cam / Xám</t>
        </is>
      </c>
      <c r="K287" s="99" t="inlineStr">
        <is>
          <t>S4-02</t>
        </is>
      </c>
      <c r="L287" s="99" t="inlineStr">
        <is>
          <t>A-7</t>
        </is>
      </c>
      <c r="M287" s="99" t="inlineStr">
        <is>
          <t>PON-02</t>
        </is>
      </c>
      <c r="N287" s="99" t="inlineStr">
        <is>
          <t>Chưa lắp</t>
        </is>
      </c>
      <c r="O287" s="149" t="n"/>
      <c r="P287" s="150" t="n"/>
      <c r="Q287" s="13">
        <f>M287&amp;" &gt; P96#"&amp;U287&amp;" &gt; "&amp;K287&amp;" &gt; P96#"&amp;L287&amp;" &gt; "&amp;R287&amp;" "&amp;S287&amp;" "&amp;T287&amp;" &gt; "&amp;H287&amp;"#"&amp;I287&amp;" &gt; "&amp;F287&amp;" p"&amp;G287</f>
        <v/>
      </c>
      <c r="R287" s="9" t="inlineStr">
        <is>
          <t>ODF-02</t>
        </is>
      </c>
      <c r="S287" s="9" t="inlineStr">
        <is>
          <t>Trái</t>
        </is>
      </c>
      <c r="T287" s="9" t="inlineStr">
        <is>
          <t>H2-C5</t>
        </is>
      </c>
      <c r="U287" s="9" t="inlineStr">
        <is>
          <t>A-38</t>
        </is>
      </c>
    </row>
    <row r="288">
      <c r="A288" s="149" t="inlineStr">
        <is>
          <t>A-4-13</t>
        </is>
      </c>
      <c r="B288" s="99" t="inlineStr">
        <is>
          <t>A</t>
        </is>
      </c>
      <c r="C288" s="99" t="inlineStr">
        <is>
          <t>4</t>
        </is>
      </c>
      <c r="D288" s="99" t="n">
        <v>13</v>
      </c>
      <c r="E288" s="99" t="inlineStr">
        <is>
          <t>TU-A5</t>
        </is>
      </c>
      <c r="F288" s="99" t="inlineStr">
        <is>
          <t>TU-A5/S3</t>
        </is>
      </c>
      <c r="G288" s="99" t="n">
        <v>13</v>
      </c>
      <c r="H288" s="99" t="inlineStr">
        <is>
          <t>TR-A1</t>
        </is>
      </c>
      <c r="I288" s="99" t="n">
        <v>11</v>
      </c>
      <c r="J288" s="99" t="inlineStr">
        <is>
          <t>Ống 2 Cam / Xám</t>
        </is>
      </c>
      <c r="K288" s="99" t="inlineStr">
        <is>
          <t>S4-02</t>
        </is>
      </c>
      <c r="L288" s="99" t="inlineStr">
        <is>
          <t>A-7</t>
        </is>
      </c>
      <c r="M288" s="99" t="inlineStr">
        <is>
          <t>PON-02</t>
        </is>
      </c>
      <c r="N288" s="99" t="inlineStr">
        <is>
          <t>Chưa lắp</t>
        </is>
      </c>
      <c r="O288" s="149" t="n"/>
      <c r="P288" s="150" t="n"/>
      <c r="Q288" s="13">
        <f>M288&amp;" &gt; P96#"&amp;U288&amp;" &gt; "&amp;K288&amp;" &gt; P96#"&amp;L288&amp;" &gt; "&amp;R288&amp;" "&amp;S288&amp;" "&amp;T288&amp;" &gt; "&amp;H288&amp;"#"&amp;I288&amp;" &gt; "&amp;F288&amp;" p"&amp;G288</f>
        <v/>
      </c>
      <c r="R288" s="9" t="inlineStr">
        <is>
          <t>ODF-02</t>
        </is>
      </c>
      <c r="S288" s="9" t="inlineStr">
        <is>
          <t>Trái</t>
        </is>
      </c>
      <c r="T288" s="9" t="inlineStr">
        <is>
          <t>H2-C5</t>
        </is>
      </c>
      <c r="U288" s="9" t="inlineStr">
        <is>
          <t>A-38</t>
        </is>
      </c>
    </row>
    <row r="289">
      <c r="A289" s="149" t="inlineStr">
        <is>
          <t>A-4-14</t>
        </is>
      </c>
      <c r="B289" s="99" t="inlineStr">
        <is>
          <t>A</t>
        </is>
      </c>
      <c r="C289" s="99" t="inlineStr">
        <is>
          <t>4</t>
        </is>
      </c>
      <c r="D289" s="99" t="n">
        <v>14</v>
      </c>
      <c r="E289" s="99" t="inlineStr">
        <is>
          <t>TU-A5</t>
        </is>
      </c>
      <c r="F289" s="99" t="inlineStr">
        <is>
          <t>TU-A5/S3</t>
        </is>
      </c>
      <c r="G289" s="99" t="n">
        <v>14</v>
      </c>
      <c r="H289" s="99" t="inlineStr">
        <is>
          <t>TR-A1</t>
        </is>
      </c>
      <c r="I289" s="99" t="n">
        <v>11</v>
      </c>
      <c r="J289" s="99" t="inlineStr">
        <is>
          <t>Ống 2 Cam / Xám</t>
        </is>
      </c>
      <c r="K289" s="99" t="inlineStr">
        <is>
          <t>S4-02</t>
        </is>
      </c>
      <c r="L289" s="99" t="inlineStr">
        <is>
          <t>A-7</t>
        </is>
      </c>
      <c r="M289" s="99" t="inlineStr">
        <is>
          <t>PON-02</t>
        </is>
      </c>
      <c r="N289" s="99" t="inlineStr">
        <is>
          <t>Chưa lắp</t>
        </is>
      </c>
      <c r="O289" s="149" t="n"/>
      <c r="P289" s="150" t="n"/>
      <c r="Q289" s="13">
        <f>M289&amp;" &gt; P96#"&amp;U289&amp;" &gt; "&amp;K289&amp;" &gt; P96#"&amp;L289&amp;" &gt; "&amp;R289&amp;" "&amp;S289&amp;" "&amp;T289&amp;" &gt; "&amp;H289&amp;"#"&amp;I289&amp;" &gt; "&amp;F289&amp;" p"&amp;G289</f>
        <v/>
      </c>
      <c r="R289" s="9" t="inlineStr">
        <is>
          <t>ODF-02</t>
        </is>
      </c>
      <c r="S289" s="9" t="inlineStr">
        <is>
          <t>Trái</t>
        </is>
      </c>
      <c r="T289" s="9" t="inlineStr">
        <is>
          <t>H2-C5</t>
        </is>
      </c>
      <c r="U289" s="9" t="inlineStr">
        <is>
          <t>A-38</t>
        </is>
      </c>
    </row>
    <row r="290">
      <c r="A290" s="149" t="inlineStr">
        <is>
          <t>A-4-15</t>
        </is>
      </c>
      <c r="B290" s="99" t="inlineStr">
        <is>
          <t>A</t>
        </is>
      </c>
      <c r="C290" s="99" t="inlineStr">
        <is>
          <t>4</t>
        </is>
      </c>
      <c r="D290" s="99" t="n">
        <v>15</v>
      </c>
      <c r="E290" s="99" t="inlineStr">
        <is>
          <t>TU-A5</t>
        </is>
      </c>
      <c r="F290" s="99" t="inlineStr">
        <is>
          <t>TU-A5/S3</t>
        </is>
      </c>
      <c r="G290" s="99" t="n">
        <v>15</v>
      </c>
      <c r="H290" s="99" t="inlineStr">
        <is>
          <t>TR-A1</t>
        </is>
      </c>
      <c r="I290" s="99" t="n">
        <v>11</v>
      </c>
      <c r="J290" s="99" t="inlineStr">
        <is>
          <t>Ống 2 Cam / Xám</t>
        </is>
      </c>
      <c r="K290" s="99" t="inlineStr">
        <is>
          <t>S4-02</t>
        </is>
      </c>
      <c r="L290" s="99" t="inlineStr">
        <is>
          <t>A-7</t>
        </is>
      </c>
      <c r="M290" s="99" t="inlineStr">
        <is>
          <t>PON-02</t>
        </is>
      </c>
      <c r="N290" s="99" t="inlineStr">
        <is>
          <t>Chưa lắp</t>
        </is>
      </c>
      <c r="O290" s="149" t="n"/>
      <c r="P290" s="150" t="n"/>
      <c r="Q290" s="13">
        <f>M290&amp;" &gt; P96#"&amp;U290&amp;" &gt; "&amp;K290&amp;" &gt; P96#"&amp;L290&amp;" &gt; "&amp;R290&amp;" "&amp;S290&amp;" "&amp;T290&amp;" &gt; "&amp;H290&amp;"#"&amp;I290&amp;" &gt; "&amp;F290&amp;" p"&amp;G290</f>
        <v/>
      </c>
      <c r="R290" s="9" t="inlineStr">
        <is>
          <t>ODF-02</t>
        </is>
      </c>
      <c r="S290" s="9" t="inlineStr">
        <is>
          <t>Trái</t>
        </is>
      </c>
      <c r="T290" s="9" t="inlineStr">
        <is>
          <t>H2-C5</t>
        </is>
      </c>
      <c r="U290" s="9" t="inlineStr">
        <is>
          <t>A-38</t>
        </is>
      </c>
    </row>
    <row r="291">
      <c r="A291" s="149" t="inlineStr">
        <is>
          <t>A-3-01</t>
        </is>
      </c>
      <c r="B291" s="99" t="inlineStr">
        <is>
          <t>A</t>
        </is>
      </c>
      <c r="C291" s="99" t="inlineStr">
        <is>
          <t>3</t>
        </is>
      </c>
      <c r="D291" s="99" t="n">
        <v>1</v>
      </c>
      <c r="E291" s="99" t="inlineStr">
        <is>
          <t>TU-A5</t>
        </is>
      </c>
      <c r="F291" s="99" t="inlineStr">
        <is>
          <t>TU-A5/S1</t>
        </is>
      </c>
      <c r="G291" s="99" t="n">
        <v>1</v>
      </c>
      <c r="H291" s="99" t="inlineStr">
        <is>
          <t>TR-A1</t>
        </is>
      </c>
      <c r="I291" s="99" t="n">
        <v>9</v>
      </c>
      <c r="J291" s="99" t="inlineStr">
        <is>
          <t>Ống 2 Cam / Xanh lá</t>
        </is>
      </c>
      <c r="K291" s="99" t="inlineStr">
        <is>
          <t>S4-02</t>
        </is>
      </c>
      <c r="L291" s="99" t="inlineStr">
        <is>
          <t>A-5</t>
        </is>
      </c>
      <c r="M291" s="99" t="inlineStr">
        <is>
          <t>PON-02</t>
        </is>
      </c>
      <c r="N291" s="99" t="inlineStr">
        <is>
          <t>Chưa lắp</t>
        </is>
      </c>
      <c r="O291" s="149" t="n"/>
      <c r="P291" s="150" t="n"/>
      <c r="Q291" s="13">
        <f>M291&amp;" &gt; P96#"&amp;U291&amp;" &gt; "&amp;K291&amp;" &gt; P96#"&amp;L291&amp;" &gt; "&amp;R291&amp;" "&amp;S291&amp;" "&amp;T291&amp;" &gt; "&amp;H291&amp;"#"&amp;I291&amp;" &gt; "&amp;F291&amp;" p"&amp;G291</f>
        <v/>
      </c>
      <c r="R291" s="9" t="inlineStr">
        <is>
          <t>ODF-02</t>
        </is>
      </c>
      <c r="S291" s="9" t="inlineStr">
        <is>
          <t>Trái</t>
        </is>
      </c>
      <c r="T291" s="9" t="inlineStr">
        <is>
          <t>H2-C3</t>
        </is>
      </c>
      <c r="U291" s="9" t="inlineStr">
        <is>
          <t>A-38</t>
        </is>
      </c>
    </row>
    <row r="292">
      <c r="A292" s="149" t="inlineStr">
        <is>
          <t>A-3-02</t>
        </is>
      </c>
      <c r="B292" s="99" t="inlineStr">
        <is>
          <t>A</t>
        </is>
      </c>
      <c r="C292" s="99" t="inlineStr">
        <is>
          <t>3</t>
        </is>
      </c>
      <c r="D292" s="99" t="n">
        <v>2</v>
      </c>
      <c r="E292" s="99" t="inlineStr">
        <is>
          <t>TU-A5</t>
        </is>
      </c>
      <c r="F292" s="99" t="inlineStr">
        <is>
          <t>TU-A5/S1</t>
        </is>
      </c>
      <c r="G292" s="99" t="n">
        <v>2</v>
      </c>
      <c r="H292" s="99" t="inlineStr">
        <is>
          <t>TR-A1</t>
        </is>
      </c>
      <c r="I292" s="99" t="n">
        <v>9</v>
      </c>
      <c r="J292" s="99" t="inlineStr">
        <is>
          <t>Ống 2 Cam / Xanh lá</t>
        </is>
      </c>
      <c r="K292" s="99" t="inlineStr">
        <is>
          <t>S4-02</t>
        </is>
      </c>
      <c r="L292" s="99" t="inlineStr">
        <is>
          <t>A-5</t>
        </is>
      </c>
      <c r="M292" s="99" t="inlineStr">
        <is>
          <t>PON-02</t>
        </is>
      </c>
      <c r="N292" s="99" t="inlineStr">
        <is>
          <t>Chưa lắp</t>
        </is>
      </c>
      <c r="O292" s="149" t="n"/>
      <c r="P292" s="150" t="n"/>
      <c r="Q292" s="13">
        <f>M292&amp;" &gt; P96#"&amp;U292&amp;" &gt; "&amp;K292&amp;" &gt; P96#"&amp;L292&amp;" &gt; "&amp;R292&amp;" "&amp;S292&amp;" "&amp;T292&amp;" &gt; "&amp;H292&amp;"#"&amp;I292&amp;" &gt; "&amp;F292&amp;" p"&amp;G292</f>
        <v/>
      </c>
      <c r="R292" s="9" t="inlineStr">
        <is>
          <t>ODF-02</t>
        </is>
      </c>
      <c r="S292" s="9" t="inlineStr">
        <is>
          <t>Trái</t>
        </is>
      </c>
      <c r="T292" s="9" t="inlineStr">
        <is>
          <t>H2-C3</t>
        </is>
      </c>
      <c r="U292" s="9" t="inlineStr">
        <is>
          <t>A-38</t>
        </is>
      </c>
    </row>
    <row r="293">
      <c r="A293" s="149" t="inlineStr">
        <is>
          <t>A-3-03</t>
        </is>
      </c>
      <c r="B293" s="99" t="inlineStr">
        <is>
          <t>A</t>
        </is>
      </c>
      <c r="C293" s="99" t="inlineStr">
        <is>
          <t>3</t>
        </is>
      </c>
      <c r="D293" s="99" t="n">
        <v>3</v>
      </c>
      <c r="E293" s="99" t="inlineStr">
        <is>
          <t>TU-A5</t>
        </is>
      </c>
      <c r="F293" s="99" t="inlineStr">
        <is>
          <t>TU-A5/S1</t>
        </is>
      </c>
      <c r="G293" s="99" t="n">
        <v>3</v>
      </c>
      <c r="H293" s="99" t="inlineStr">
        <is>
          <t>TR-A1</t>
        </is>
      </c>
      <c r="I293" s="99" t="n">
        <v>9</v>
      </c>
      <c r="J293" s="99" t="inlineStr">
        <is>
          <t>Ống 2 Cam / Xanh lá</t>
        </is>
      </c>
      <c r="K293" s="99" t="inlineStr">
        <is>
          <t>S4-02</t>
        </is>
      </c>
      <c r="L293" s="99" t="inlineStr">
        <is>
          <t>A-5</t>
        </is>
      </c>
      <c r="M293" s="99" t="inlineStr">
        <is>
          <t>PON-02</t>
        </is>
      </c>
      <c r="N293" s="99" t="inlineStr">
        <is>
          <t>Chưa lắp</t>
        </is>
      </c>
      <c r="O293" s="149" t="n"/>
      <c r="P293" s="150" t="n"/>
      <c r="Q293" s="13">
        <f>M293&amp;" &gt; P96#"&amp;U293&amp;" &gt; "&amp;K293&amp;" &gt; P96#"&amp;L293&amp;" &gt; "&amp;R293&amp;" "&amp;S293&amp;" "&amp;T293&amp;" &gt; "&amp;H293&amp;"#"&amp;I293&amp;" &gt; "&amp;F293&amp;" p"&amp;G293</f>
        <v/>
      </c>
      <c r="R293" s="9" t="inlineStr">
        <is>
          <t>ODF-02</t>
        </is>
      </c>
      <c r="S293" s="9" t="inlineStr">
        <is>
          <t>Trái</t>
        </is>
      </c>
      <c r="T293" s="9" t="inlineStr">
        <is>
          <t>H2-C3</t>
        </is>
      </c>
      <c r="U293" s="9" t="inlineStr">
        <is>
          <t>A-38</t>
        </is>
      </c>
    </row>
    <row r="294">
      <c r="A294" s="149" t="inlineStr">
        <is>
          <t>A-3-04</t>
        </is>
      </c>
      <c r="B294" s="99" t="inlineStr">
        <is>
          <t>A</t>
        </is>
      </c>
      <c r="C294" s="99" t="inlineStr">
        <is>
          <t>3</t>
        </is>
      </c>
      <c r="D294" s="99" t="n">
        <v>4</v>
      </c>
      <c r="E294" s="99" t="inlineStr">
        <is>
          <t>TU-A5</t>
        </is>
      </c>
      <c r="F294" s="99" t="inlineStr">
        <is>
          <t>TU-A5/S1</t>
        </is>
      </c>
      <c r="G294" s="99" t="n">
        <v>4</v>
      </c>
      <c r="H294" s="99" t="inlineStr">
        <is>
          <t>TR-A1</t>
        </is>
      </c>
      <c r="I294" s="99" t="n">
        <v>9</v>
      </c>
      <c r="J294" s="99" t="inlineStr">
        <is>
          <t>Ống 2 Cam / Xanh lá</t>
        </is>
      </c>
      <c r="K294" s="99" t="inlineStr">
        <is>
          <t>S4-02</t>
        </is>
      </c>
      <c r="L294" s="99" t="inlineStr">
        <is>
          <t>A-5</t>
        </is>
      </c>
      <c r="M294" s="99" t="inlineStr">
        <is>
          <t>PON-02</t>
        </is>
      </c>
      <c r="N294" s="99" t="inlineStr">
        <is>
          <t>Chưa lắp</t>
        </is>
      </c>
      <c r="O294" s="149" t="n"/>
      <c r="P294" s="150" t="n"/>
      <c r="Q294" s="13">
        <f>M294&amp;" &gt; P96#"&amp;U294&amp;" &gt; "&amp;K294&amp;" &gt; P96#"&amp;L294&amp;" &gt; "&amp;R294&amp;" "&amp;S294&amp;" "&amp;T294&amp;" &gt; "&amp;H294&amp;"#"&amp;I294&amp;" &gt; "&amp;F294&amp;" p"&amp;G294</f>
        <v/>
      </c>
      <c r="R294" s="9" t="inlineStr">
        <is>
          <t>ODF-02</t>
        </is>
      </c>
      <c r="S294" s="9" t="inlineStr">
        <is>
          <t>Trái</t>
        </is>
      </c>
      <c r="T294" s="9" t="inlineStr">
        <is>
          <t>H2-C3</t>
        </is>
      </c>
      <c r="U294" s="9" t="inlineStr">
        <is>
          <t>A-38</t>
        </is>
      </c>
    </row>
    <row r="295">
      <c r="A295" s="149" t="inlineStr">
        <is>
          <t>A-3-05</t>
        </is>
      </c>
      <c r="B295" s="99" t="inlineStr">
        <is>
          <t>A</t>
        </is>
      </c>
      <c r="C295" s="99" t="inlineStr">
        <is>
          <t>3</t>
        </is>
      </c>
      <c r="D295" s="99" t="n">
        <v>5</v>
      </c>
      <c r="E295" s="99" t="inlineStr">
        <is>
          <t>TU-A5</t>
        </is>
      </c>
      <c r="F295" s="99" t="inlineStr">
        <is>
          <t>TU-A5/S1</t>
        </is>
      </c>
      <c r="G295" s="99" t="n">
        <v>5</v>
      </c>
      <c r="H295" s="99" t="inlineStr">
        <is>
          <t>TR-A1</t>
        </is>
      </c>
      <c r="I295" s="99" t="n">
        <v>9</v>
      </c>
      <c r="J295" s="99" t="inlineStr">
        <is>
          <t>Ống 2 Cam / Xanh lá</t>
        </is>
      </c>
      <c r="K295" s="99" t="inlineStr">
        <is>
          <t>S4-02</t>
        </is>
      </c>
      <c r="L295" s="99" t="inlineStr">
        <is>
          <t>A-5</t>
        </is>
      </c>
      <c r="M295" s="99" t="inlineStr">
        <is>
          <t>PON-02</t>
        </is>
      </c>
      <c r="N295" s="99" t="inlineStr">
        <is>
          <t>Chưa lắp</t>
        </is>
      </c>
      <c r="O295" s="149" t="n"/>
      <c r="P295" s="150" t="n"/>
      <c r="Q295" s="13">
        <f>M295&amp;" &gt; P96#"&amp;U295&amp;" &gt; "&amp;K295&amp;" &gt; P96#"&amp;L295&amp;" &gt; "&amp;R295&amp;" "&amp;S295&amp;" "&amp;T295&amp;" &gt; "&amp;H295&amp;"#"&amp;I295&amp;" &gt; "&amp;F295&amp;" p"&amp;G295</f>
        <v/>
      </c>
      <c r="R295" s="9" t="inlineStr">
        <is>
          <t>ODF-02</t>
        </is>
      </c>
      <c r="S295" s="9" t="inlineStr">
        <is>
          <t>Trái</t>
        </is>
      </c>
      <c r="T295" s="9" t="inlineStr">
        <is>
          <t>H2-C3</t>
        </is>
      </c>
      <c r="U295" s="9" t="inlineStr">
        <is>
          <t>A-38</t>
        </is>
      </c>
    </row>
    <row r="296">
      <c r="A296" s="151" t="inlineStr">
        <is>
          <t>A-3-06</t>
        </is>
      </c>
      <c r="B296" s="102" t="inlineStr">
        <is>
          <t>A</t>
        </is>
      </c>
      <c r="C296" s="102" t="inlineStr">
        <is>
          <t>3</t>
        </is>
      </c>
      <c r="D296" s="102" t="n">
        <v>6</v>
      </c>
      <c r="E296" s="102" t="inlineStr">
        <is>
          <t>TU-A5</t>
        </is>
      </c>
      <c r="F296" s="102" t="inlineStr">
        <is>
          <t>TU-A5/S1</t>
        </is>
      </c>
      <c r="G296" s="102" t="n">
        <v>6</v>
      </c>
      <c r="H296" s="102" t="inlineStr">
        <is>
          <t>TR-A1</t>
        </is>
      </c>
      <c r="I296" s="102" t="n">
        <v>9</v>
      </c>
      <c r="J296" s="102" t="inlineStr">
        <is>
          <t>Ống 2 Cam / Xanh lá</t>
        </is>
      </c>
      <c r="K296" s="102" t="inlineStr">
        <is>
          <t>S4-02</t>
        </is>
      </c>
      <c r="L296" s="102" t="inlineStr">
        <is>
          <t>A-5</t>
        </is>
      </c>
      <c r="M296" s="102" t="inlineStr">
        <is>
          <t>PON-02</t>
        </is>
      </c>
      <c r="N296" s="102" t="inlineStr">
        <is>
          <t>Chưa lắp</t>
        </is>
      </c>
      <c r="O296" s="151" t="n"/>
      <c r="P296" s="152" t="n"/>
      <c r="Q296" s="13">
        <f>M296&amp;" &gt; P96#"&amp;U296&amp;" &gt; "&amp;K296&amp;" &gt; P96#"&amp;L296&amp;" &gt; "&amp;R296&amp;" "&amp;S296&amp;" "&amp;T296&amp;" &gt; "&amp;H296&amp;"#"&amp;I296&amp;" &gt; "&amp;F296&amp;" p"&amp;G296</f>
        <v/>
      </c>
      <c r="R296" s="9" t="inlineStr">
        <is>
          <t>ODF-02</t>
        </is>
      </c>
      <c r="S296" s="9" t="inlineStr">
        <is>
          <t>Trái</t>
        </is>
      </c>
      <c r="T296" s="9" t="inlineStr">
        <is>
          <t>H2-C3</t>
        </is>
      </c>
      <c r="U296" s="9" t="inlineStr">
        <is>
          <t>A-38</t>
        </is>
      </c>
    </row>
    <row r="297">
      <c r="A297" s="151" t="inlineStr">
        <is>
          <t>A-3-07</t>
        </is>
      </c>
      <c r="B297" s="102" t="inlineStr">
        <is>
          <t>A</t>
        </is>
      </c>
      <c r="C297" s="102" t="inlineStr">
        <is>
          <t>3</t>
        </is>
      </c>
      <c r="D297" s="102" t="n">
        <v>7</v>
      </c>
      <c r="E297" s="102" t="inlineStr">
        <is>
          <t>TU-A5</t>
        </is>
      </c>
      <c r="F297" s="102" t="inlineStr">
        <is>
          <t>TU-A5/S1</t>
        </is>
      </c>
      <c r="G297" s="102" t="n">
        <v>7</v>
      </c>
      <c r="H297" s="102" t="inlineStr">
        <is>
          <t>TR-A1</t>
        </is>
      </c>
      <c r="I297" s="102" t="n">
        <v>9</v>
      </c>
      <c r="J297" s="102" t="inlineStr">
        <is>
          <t>Ống 2 Cam / Xanh lá</t>
        </is>
      </c>
      <c r="K297" s="102" t="inlineStr">
        <is>
          <t>S4-02</t>
        </is>
      </c>
      <c r="L297" s="102" t="inlineStr">
        <is>
          <t>A-5</t>
        </is>
      </c>
      <c r="M297" s="102" t="inlineStr">
        <is>
          <t>PON-02</t>
        </is>
      </c>
      <c r="N297" s="102" t="inlineStr">
        <is>
          <t>Chưa lắp</t>
        </is>
      </c>
      <c r="O297" s="151" t="n"/>
      <c r="P297" s="152" t="n"/>
      <c r="Q297" s="13">
        <f>M297&amp;" &gt; P96#"&amp;U297&amp;" &gt; "&amp;K297&amp;" &gt; P96#"&amp;L297&amp;" &gt; "&amp;R297&amp;" "&amp;S297&amp;" "&amp;T297&amp;" &gt; "&amp;H297&amp;"#"&amp;I297&amp;" &gt; "&amp;F297&amp;" p"&amp;G297</f>
        <v/>
      </c>
      <c r="R297" s="9" t="inlineStr">
        <is>
          <t>ODF-02</t>
        </is>
      </c>
      <c r="S297" s="9" t="inlineStr">
        <is>
          <t>Trái</t>
        </is>
      </c>
      <c r="T297" s="9" t="inlineStr">
        <is>
          <t>H2-C3</t>
        </is>
      </c>
      <c r="U297" s="9" t="inlineStr">
        <is>
          <t>A-38</t>
        </is>
      </c>
    </row>
    <row r="298">
      <c r="A298" s="151" t="inlineStr">
        <is>
          <t>A-3-08</t>
        </is>
      </c>
      <c r="B298" s="102" t="inlineStr">
        <is>
          <t>A</t>
        </is>
      </c>
      <c r="C298" s="102" t="inlineStr">
        <is>
          <t>3</t>
        </is>
      </c>
      <c r="D298" s="102" t="n">
        <v>8</v>
      </c>
      <c r="E298" s="102" t="inlineStr">
        <is>
          <t>TU-A5</t>
        </is>
      </c>
      <c r="F298" s="102" t="inlineStr">
        <is>
          <t>TU-A5/S1</t>
        </is>
      </c>
      <c r="G298" s="102" t="n">
        <v>8</v>
      </c>
      <c r="H298" s="102" t="inlineStr">
        <is>
          <t>TR-A1</t>
        </is>
      </c>
      <c r="I298" s="102" t="n">
        <v>9</v>
      </c>
      <c r="J298" s="102" t="inlineStr">
        <is>
          <t>Ống 2 Cam / Xanh lá</t>
        </is>
      </c>
      <c r="K298" s="102" t="inlineStr">
        <is>
          <t>S4-02</t>
        </is>
      </c>
      <c r="L298" s="102" t="inlineStr">
        <is>
          <t>A-5</t>
        </is>
      </c>
      <c r="M298" s="102" t="inlineStr">
        <is>
          <t>PON-02</t>
        </is>
      </c>
      <c r="N298" s="102" t="inlineStr">
        <is>
          <t>Chưa lắp</t>
        </is>
      </c>
      <c r="O298" s="151" t="n"/>
      <c r="P298" s="152" t="n"/>
      <c r="Q298" s="13">
        <f>M298&amp;" &gt; P96#"&amp;U298&amp;" &gt; "&amp;K298&amp;" &gt; P96#"&amp;L298&amp;" &gt; "&amp;R298&amp;" "&amp;S298&amp;" "&amp;T298&amp;" &gt; "&amp;H298&amp;"#"&amp;I298&amp;" &gt; "&amp;F298&amp;" p"&amp;G298</f>
        <v/>
      </c>
      <c r="R298" s="9" t="inlineStr">
        <is>
          <t>ODF-02</t>
        </is>
      </c>
      <c r="S298" s="9" t="inlineStr">
        <is>
          <t>Trái</t>
        </is>
      </c>
      <c r="T298" s="9" t="inlineStr">
        <is>
          <t>H2-C3</t>
        </is>
      </c>
      <c r="U298" s="9" t="inlineStr">
        <is>
          <t>A-38</t>
        </is>
      </c>
    </row>
    <row r="299">
      <c r="A299" s="151" t="inlineStr">
        <is>
          <t>A-3-09</t>
        </is>
      </c>
      <c r="B299" s="102" t="inlineStr">
        <is>
          <t>A</t>
        </is>
      </c>
      <c r="C299" s="102" t="inlineStr">
        <is>
          <t>3</t>
        </is>
      </c>
      <c r="D299" s="102" t="n">
        <v>9</v>
      </c>
      <c r="E299" s="102" t="inlineStr">
        <is>
          <t>TU-A5</t>
        </is>
      </c>
      <c r="F299" s="102" t="inlineStr">
        <is>
          <t>TU-A5/S1</t>
        </is>
      </c>
      <c r="G299" s="102" t="n">
        <v>9</v>
      </c>
      <c r="H299" s="102" t="inlineStr">
        <is>
          <t>TR-A1</t>
        </is>
      </c>
      <c r="I299" s="102" t="n">
        <v>9</v>
      </c>
      <c r="J299" s="102" t="inlineStr">
        <is>
          <t>Ống 2 Cam / Xanh lá</t>
        </is>
      </c>
      <c r="K299" s="102" t="inlineStr">
        <is>
          <t>S4-02</t>
        </is>
      </c>
      <c r="L299" s="102" t="inlineStr">
        <is>
          <t>A-5</t>
        </is>
      </c>
      <c r="M299" s="102" t="inlineStr">
        <is>
          <t>PON-02</t>
        </is>
      </c>
      <c r="N299" s="102" t="inlineStr">
        <is>
          <t>Chưa lắp</t>
        </is>
      </c>
      <c r="O299" s="151" t="n"/>
      <c r="P299" s="152" t="n"/>
      <c r="Q299" s="13">
        <f>M299&amp;" &gt; P96#"&amp;U299&amp;" &gt; "&amp;K299&amp;" &gt; P96#"&amp;L299&amp;" &gt; "&amp;R299&amp;" "&amp;S299&amp;" "&amp;T299&amp;" &gt; "&amp;H299&amp;"#"&amp;I299&amp;" &gt; "&amp;F299&amp;" p"&amp;G299</f>
        <v/>
      </c>
      <c r="R299" s="9" t="inlineStr">
        <is>
          <t>ODF-02</t>
        </is>
      </c>
      <c r="S299" s="9" t="inlineStr">
        <is>
          <t>Trái</t>
        </is>
      </c>
      <c r="T299" s="9" t="inlineStr">
        <is>
          <t>H2-C3</t>
        </is>
      </c>
      <c r="U299" s="9" t="inlineStr">
        <is>
          <t>A-38</t>
        </is>
      </c>
    </row>
    <row r="300">
      <c r="A300" s="151" t="inlineStr">
        <is>
          <t>A-3-10</t>
        </is>
      </c>
      <c r="B300" s="102" t="inlineStr">
        <is>
          <t>A</t>
        </is>
      </c>
      <c r="C300" s="102" t="inlineStr">
        <is>
          <t>3</t>
        </is>
      </c>
      <c r="D300" s="102" t="n">
        <v>10</v>
      </c>
      <c r="E300" s="102" t="inlineStr">
        <is>
          <t>TU-A5</t>
        </is>
      </c>
      <c r="F300" s="102" t="inlineStr">
        <is>
          <t>TU-A5/S1</t>
        </is>
      </c>
      <c r="G300" s="102" t="n">
        <v>10</v>
      </c>
      <c r="H300" s="102" t="inlineStr">
        <is>
          <t>TR-A1</t>
        </is>
      </c>
      <c r="I300" s="102" t="n">
        <v>9</v>
      </c>
      <c r="J300" s="102" t="inlineStr">
        <is>
          <t>Ống 2 Cam / Xanh lá</t>
        </is>
      </c>
      <c r="K300" s="102" t="inlineStr">
        <is>
          <t>S4-02</t>
        </is>
      </c>
      <c r="L300" s="102" t="inlineStr">
        <is>
          <t>A-5</t>
        </is>
      </c>
      <c r="M300" s="102" t="inlineStr">
        <is>
          <t>PON-02</t>
        </is>
      </c>
      <c r="N300" s="102" t="inlineStr">
        <is>
          <t>Chưa lắp</t>
        </is>
      </c>
      <c r="O300" s="151" t="n"/>
      <c r="P300" s="152" t="n"/>
      <c r="Q300" s="13">
        <f>M300&amp;" &gt; P96#"&amp;U300&amp;" &gt; "&amp;K300&amp;" &gt; P96#"&amp;L300&amp;" &gt; "&amp;R300&amp;" "&amp;S300&amp;" "&amp;T300&amp;" &gt; "&amp;H300&amp;"#"&amp;I300&amp;" &gt; "&amp;F300&amp;" p"&amp;G300</f>
        <v/>
      </c>
      <c r="R300" s="9" t="inlineStr">
        <is>
          <t>ODF-02</t>
        </is>
      </c>
      <c r="S300" s="9" t="inlineStr">
        <is>
          <t>Trái</t>
        </is>
      </c>
      <c r="T300" s="9" t="inlineStr">
        <is>
          <t>H2-C3</t>
        </is>
      </c>
      <c r="U300" s="9" t="inlineStr">
        <is>
          <t>A-38</t>
        </is>
      </c>
    </row>
    <row r="301">
      <c r="A301" s="151" t="inlineStr">
        <is>
          <t>A-3-11</t>
        </is>
      </c>
      <c r="B301" s="102" t="inlineStr">
        <is>
          <t>A</t>
        </is>
      </c>
      <c r="C301" s="102" t="inlineStr">
        <is>
          <t>3</t>
        </is>
      </c>
      <c r="D301" s="102" t="n">
        <v>11</v>
      </c>
      <c r="E301" s="102" t="inlineStr">
        <is>
          <t>TU-A5</t>
        </is>
      </c>
      <c r="F301" s="102" t="inlineStr">
        <is>
          <t>TU-A5/S2</t>
        </is>
      </c>
      <c r="G301" s="102" t="n">
        <v>1</v>
      </c>
      <c r="H301" s="102" t="inlineStr">
        <is>
          <t>TR-A1</t>
        </is>
      </c>
      <c r="I301" s="102" t="n">
        <v>10</v>
      </c>
      <c r="J301" s="102" t="inlineStr">
        <is>
          <t>Ống 2 Cam / Nâu</t>
        </is>
      </c>
      <c r="K301" s="102" t="inlineStr">
        <is>
          <t>S4-02</t>
        </is>
      </c>
      <c r="L301" s="102" t="inlineStr">
        <is>
          <t>A-6</t>
        </is>
      </c>
      <c r="M301" s="102" t="inlineStr">
        <is>
          <t>PON-02</t>
        </is>
      </c>
      <c r="N301" s="102" t="inlineStr">
        <is>
          <t>Chưa lắp</t>
        </is>
      </c>
      <c r="O301" s="151" t="n"/>
      <c r="P301" s="152" t="n"/>
      <c r="Q301" s="13">
        <f>M301&amp;" &gt; P96#"&amp;U301&amp;" &gt; "&amp;K301&amp;" &gt; P96#"&amp;L301&amp;" &gt; "&amp;R301&amp;" "&amp;S301&amp;" "&amp;T301&amp;" &gt; "&amp;H301&amp;"#"&amp;I301&amp;" &gt; "&amp;F301&amp;" p"&amp;G301</f>
        <v/>
      </c>
      <c r="R301" s="9" t="inlineStr">
        <is>
          <t>ODF-02</t>
        </is>
      </c>
      <c r="S301" s="9" t="inlineStr">
        <is>
          <t>Trái</t>
        </is>
      </c>
      <c r="T301" s="9" t="inlineStr">
        <is>
          <t>H2-C4</t>
        </is>
      </c>
      <c r="U301" s="9" t="inlineStr">
        <is>
          <t>A-38</t>
        </is>
      </c>
    </row>
    <row r="302">
      <c r="A302" s="151" t="inlineStr">
        <is>
          <t>A-3-12</t>
        </is>
      </c>
      <c r="B302" s="102" t="inlineStr">
        <is>
          <t>A</t>
        </is>
      </c>
      <c r="C302" s="102" t="inlineStr">
        <is>
          <t>3</t>
        </is>
      </c>
      <c r="D302" s="102" t="n">
        <v>12</v>
      </c>
      <c r="E302" s="102" t="inlineStr">
        <is>
          <t>TU-A5</t>
        </is>
      </c>
      <c r="F302" s="102" t="inlineStr">
        <is>
          <t>TU-A5/S2</t>
        </is>
      </c>
      <c r="G302" s="102" t="n">
        <v>2</v>
      </c>
      <c r="H302" s="102" t="inlineStr">
        <is>
          <t>TR-A1</t>
        </is>
      </c>
      <c r="I302" s="102" t="n">
        <v>10</v>
      </c>
      <c r="J302" s="102" t="inlineStr">
        <is>
          <t>Ống 2 Cam / Nâu</t>
        </is>
      </c>
      <c r="K302" s="102" t="inlineStr">
        <is>
          <t>S4-02</t>
        </is>
      </c>
      <c r="L302" s="102" t="inlineStr">
        <is>
          <t>A-6</t>
        </is>
      </c>
      <c r="M302" s="102" t="inlineStr">
        <is>
          <t>PON-02</t>
        </is>
      </c>
      <c r="N302" s="102" t="inlineStr">
        <is>
          <t>Chưa lắp</t>
        </is>
      </c>
      <c r="O302" s="151" t="n"/>
      <c r="P302" s="152" t="n"/>
      <c r="Q302" s="13">
        <f>M302&amp;" &gt; P96#"&amp;U302&amp;" &gt; "&amp;K302&amp;" &gt; P96#"&amp;L302&amp;" &gt; "&amp;R302&amp;" "&amp;S302&amp;" "&amp;T302&amp;" &gt; "&amp;H302&amp;"#"&amp;I302&amp;" &gt; "&amp;F302&amp;" p"&amp;G302</f>
        <v/>
      </c>
      <c r="R302" s="9" t="inlineStr">
        <is>
          <t>ODF-02</t>
        </is>
      </c>
      <c r="S302" s="9" t="inlineStr">
        <is>
          <t>Trái</t>
        </is>
      </c>
      <c r="T302" s="9" t="inlineStr">
        <is>
          <t>H2-C4</t>
        </is>
      </c>
      <c r="U302" s="9" t="inlineStr">
        <is>
          <t>A-38</t>
        </is>
      </c>
    </row>
    <row r="303">
      <c r="A303" s="151" t="inlineStr">
        <is>
          <t>A-3-13</t>
        </is>
      </c>
      <c r="B303" s="102" t="inlineStr">
        <is>
          <t>A</t>
        </is>
      </c>
      <c r="C303" s="102" t="inlineStr">
        <is>
          <t>3</t>
        </is>
      </c>
      <c r="D303" s="102" t="n">
        <v>13</v>
      </c>
      <c r="E303" s="102" t="inlineStr">
        <is>
          <t>TU-A5</t>
        </is>
      </c>
      <c r="F303" s="102" t="inlineStr">
        <is>
          <t>TU-A5/S2</t>
        </is>
      </c>
      <c r="G303" s="102" t="n">
        <v>3</v>
      </c>
      <c r="H303" s="102" t="inlineStr">
        <is>
          <t>TR-A1</t>
        </is>
      </c>
      <c r="I303" s="102" t="n">
        <v>10</v>
      </c>
      <c r="J303" s="102" t="inlineStr">
        <is>
          <t>Ống 2 Cam / Nâu</t>
        </is>
      </c>
      <c r="K303" s="102" t="inlineStr">
        <is>
          <t>S4-02</t>
        </is>
      </c>
      <c r="L303" s="102" t="inlineStr">
        <is>
          <t>A-6</t>
        </is>
      </c>
      <c r="M303" s="102" t="inlineStr">
        <is>
          <t>PON-02</t>
        </is>
      </c>
      <c r="N303" s="102" t="inlineStr">
        <is>
          <t>Chưa lắp</t>
        </is>
      </c>
      <c r="O303" s="151" t="n"/>
      <c r="P303" s="152" t="n"/>
      <c r="Q303" s="13">
        <f>M303&amp;" &gt; P96#"&amp;U303&amp;" &gt; "&amp;K303&amp;" &gt; P96#"&amp;L303&amp;" &gt; "&amp;R303&amp;" "&amp;S303&amp;" "&amp;T303&amp;" &gt; "&amp;H303&amp;"#"&amp;I303&amp;" &gt; "&amp;F303&amp;" p"&amp;G303</f>
        <v/>
      </c>
      <c r="R303" s="9" t="inlineStr">
        <is>
          <t>ODF-02</t>
        </is>
      </c>
      <c r="S303" s="9" t="inlineStr">
        <is>
          <t>Trái</t>
        </is>
      </c>
      <c r="T303" s="9" t="inlineStr">
        <is>
          <t>H2-C4</t>
        </is>
      </c>
      <c r="U303" s="9" t="inlineStr">
        <is>
          <t>A-38</t>
        </is>
      </c>
    </row>
    <row r="304">
      <c r="A304" s="151" t="inlineStr">
        <is>
          <t>A-3-14</t>
        </is>
      </c>
      <c r="B304" s="102" t="inlineStr">
        <is>
          <t>A</t>
        </is>
      </c>
      <c r="C304" s="102" t="inlineStr">
        <is>
          <t>3</t>
        </is>
      </c>
      <c r="D304" s="102" t="n">
        <v>14</v>
      </c>
      <c r="E304" s="102" t="inlineStr">
        <is>
          <t>TU-A5</t>
        </is>
      </c>
      <c r="F304" s="102" t="inlineStr">
        <is>
          <t>TU-A5/S2</t>
        </is>
      </c>
      <c r="G304" s="102" t="n">
        <v>4</v>
      </c>
      <c r="H304" s="102" t="inlineStr">
        <is>
          <t>TR-A1</t>
        </is>
      </c>
      <c r="I304" s="102" t="n">
        <v>10</v>
      </c>
      <c r="J304" s="102" t="inlineStr">
        <is>
          <t>Ống 2 Cam / Nâu</t>
        </is>
      </c>
      <c r="K304" s="102" t="inlineStr">
        <is>
          <t>S4-02</t>
        </is>
      </c>
      <c r="L304" s="102" t="inlineStr">
        <is>
          <t>A-6</t>
        </is>
      </c>
      <c r="M304" s="102" t="inlineStr">
        <is>
          <t>PON-02</t>
        </is>
      </c>
      <c r="N304" s="102" t="inlineStr">
        <is>
          <t>Chưa lắp</t>
        </is>
      </c>
      <c r="O304" s="151" t="n"/>
      <c r="P304" s="152" t="n"/>
      <c r="Q304" s="13">
        <f>M304&amp;" &gt; P96#"&amp;U304&amp;" &gt; "&amp;K304&amp;" &gt; P96#"&amp;L304&amp;" &gt; "&amp;R304&amp;" "&amp;S304&amp;" "&amp;T304&amp;" &gt; "&amp;H304&amp;"#"&amp;I304&amp;" &gt; "&amp;F304&amp;" p"&amp;G304</f>
        <v/>
      </c>
      <c r="R304" s="9" t="inlineStr">
        <is>
          <t>ODF-02</t>
        </is>
      </c>
      <c r="S304" s="9" t="inlineStr">
        <is>
          <t>Trái</t>
        </is>
      </c>
      <c r="T304" s="9" t="inlineStr">
        <is>
          <t>H2-C4</t>
        </is>
      </c>
      <c r="U304" s="9" t="inlineStr">
        <is>
          <t>A-38</t>
        </is>
      </c>
    </row>
    <row r="305">
      <c r="A305" s="151" t="inlineStr">
        <is>
          <t>A-3-15</t>
        </is>
      </c>
      <c r="B305" s="102" t="inlineStr">
        <is>
          <t>A</t>
        </is>
      </c>
      <c r="C305" s="102" t="inlineStr">
        <is>
          <t>3</t>
        </is>
      </c>
      <c r="D305" s="102" t="n">
        <v>15</v>
      </c>
      <c r="E305" s="102" t="inlineStr">
        <is>
          <t>TU-A5</t>
        </is>
      </c>
      <c r="F305" s="102" t="inlineStr">
        <is>
          <t>TU-A5/S2</t>
        </is>
      </c>
      <c r="G305" s="102" t="n">
        <v>5</v>
      </c>
      <c r="H305" s="102" t="inlineStr">
        <is>
          <t>TR-A1</t>
        </is>
      </c>
      <c r="I305" s="102" t="n">
        <v>10</v>
      </c>
      <c r="J305" s="102" t="inlineStr">
        <is>
          <t>Ống 2 Cam / Nâu</t>
        </is>
      </c>
      <c r="K305" s="102" t="inlineStr">
        <is>
          <t>S4-02</t>
        </is>
      </c>
      <c r="L305" s="102" t="inlineStr">
        <is>
          <t>A-6</t>
        </is>
      </c>
      <c r="M305" s="102" t="inlineStr">
        <is>
          <t>PON-02</t>
        </is>
      </c>
      <c r="N305" s="102" t="inlineStr">
        <is>
          <t>Chưa lắp</t>
        </is>
      </c>
      <c r="O305" s="151" t="n"/>
      <c r="P305" s="152" t="n"/>
      <c r="Q305" s="13">
        <f>M305&amp;" &gt; P96#"&amp;U305&amp;" &gt; "&amp;K305&amp;" &gt; P96#"&amp;L305&amp;" &gt; "&amp;R305&amp;" "&amp;S305&amp;" "&amp;T305&amp;" &gt; "&amp;H305&amp;"#"&amp;I305&amp;" &gt; "&amp;F305&amp;" p"&amp;G305</f>
        <v/>
      </c>
      <c r="R305" s="9" t="inlineStr">
        <is>
          <t>ODF-02</t>
        </is>
      </c>
      <c r="S305" s="9" t="inlineStr">
        <is>
          <t>Trái</t>
        </is>
      </c>
      <c r="T305" s="9" t="inlineStr">
        <is>
          <t>H2-C4</t>
        </is>
      </c>
      <c r="U305" s="9" t="inlineStr">
        <is>
          <t>A-38</t>
        </is>
      </c>
    </row>
    <row r="306">
      <c r="A306" s="151" t="inlineStr">
        <is>
          <t>A-3-16</t>
        </is>
      </c>
      <c r="B306" s="102" t="inlineStr">
        <is>
          <t>A</t>
        </is>
      </c>
      <c r="C306" s="102" t="inlineStr">
        <is>
          <t>3</t>
        </is>
      </c>
      <c r="D306" s="102" t="n">
        <v>16</v>
      </c>
      <c r="E306" s="102" t="inlineStr">
        <is>
          <t>TU-A5</t>
        </is>
      </c>
      <c r="F306" s="102" t="inlineStr">
        <is>
          <t>TU-A5/S2</t>
        </is>
      </c>
      <c r="G306" s="102" t="n">
        <v>6</v>
      </c>
      <c r="H306" s="102" t="inlineStr">
        <is>
          <t>TR-A1</t>
        </is>
      </c>
      <c r="I306" s="102" t="n">
        <v>10</v>
      </c>
      <c r="J306" s="102" t="inlineStr">
        <is>
          <t>Ống 2 Cam / Nâu</t>
        </is>
      </c>
      <c r="K306" s="102" t="inlineStr">
        <is>
          <t>S4-02</t>
        </is>
      </c>
      <c r="L306" s="102" t="inlineStr">
        <is>
          <t>A-6</t>
        </is>
      </c>
      <c r="M306" s="102" t="inlineStr">
        <is>
          <t>PON-02</t>
        </is>
      </c>
      <c r="N306" s="102" t="inlineStr">
        <is>
          <t>Chưa lắp</t>
        </is>
      </c>
      <c r="O306" s="151" t="n"/>
      <c r="P306" s="152" t="n"/>
      <c r="Q306" s="13">
        <f>M306&amp;" &gt; P96#"&amp;U306&amp;" &gt; "&amp;K306&amp;" &gt; P96#"&amp;L306&amp;" &gt; "&amp;R306&amp;" "&amp;S306&amp;" "&amp;T306&amp;" &gt; "&amp;H306&amp;"#"&amp;I306&amp;" &gt; "&amp;F306&amp;" p"&amp;G306</f>
        <v/>
      </c>
      <c r="R306" s="9" t="inlineStr">
        <is>
          <t>ODF-02</t>
        </is>
      </c>
      <c r="S306" s="9" t="inlineStr">
        <is>
          <t>Trái</t>
        </is>
      </c>
      <c r="T306" s="9" t="inlineStr">
        <is>
          <t>H2-C4</t>
        </is>
      </c>
      <c r="U306" s="9" t="inlineStr">
        <is>
          <t>A-38</t>
        </is>
      </c>
    </row>
    <row r="307">
      <c r="A307" s="151" t="inlineStr">
        <is>
          <t>A-3-17</t>
        </is>
      </c>
      <c r="B307" s="102" t="inlineStr">
        <is>
          <t>A</t>
        </is>
      </c>
      <c r="C307" s="102" t="inlineStr">
        <is>
          <t>3</t>
        </is>
      </c>
      <c r="D307" s="102" t="n">
        <v>17</v>
      </c>
      <c r="E307" s="102" t="inlineStr">
        <is>
          <t>TU-A5</t>
        </is>
      </c>
      <c r="F307" s="102" t="inlineStr">
        <is>
          <t>TU-A5/S2</t>
        </is>
      </c>
      <c r="G307" s="102" t="n">
        <v>7</v>
      </c>
      <c r="H307" s="102" t="inlineStr">
        <is>
          <t>TR-A1</t>
        </is>
      </c>
      <c r="I307" s="102" t="n">
        <v>10</v>
      </c>
      <c r="J307" s="102" t="inlineStr">
        <is>
          <t>Ống 2 Cam / Nâu</t>
        </is>
      </c>
      <c r="K307" s="102" t="inlineStr">
        <is>
          <t>S4-02</t>
        </is>
      </c>
      <c r="L307" s="102" t="inlineStr">
        <is>
          <t>A-6</t>
        </is>
      </c>
      <c r="M307" s="102" t="inlineStr">
        <is>
          <t>PON-02</t>
        </is>
      </c>
      <c r="N307" s="102" t="inlineStr">
        <is>
          <t>Chưa lắp</t>
        </is>
      </c>
      <c r="O307" s="151" t="n"/>
      <c r="P307" s="152" t="n"/>
      <c r="Q307" s="13">
        <f>M307&amp;" &gt; P96#"&amp;U307&amp;" &gt; "&amp;K307&amp;" &gt; P96#"&amp;L307&amp;" &gt; "&amp;R307&amp;" "&amp;S307&amp;" "&amp;T307&amp;" &gt; "&amp;H307&amp;"#"&amp;I307&amp;" &gt; "&amp;F307&amp;" p"&amp;G307</f>
        <v/>
      </c>
      <c r="R307" s="9" t="inlineStr">
        <is>
          <t>ODF-02</t>
        </is>
      </c>
      <c r="S307" s="9" t="inlineStr">
        <is>
          <t>Trái</t>
        </is>
      </c>
      <c r="T307" s="9" t="inlineStr">
        <is>
          <t>H2-C4</t>
        </is>
      </c>
      <c r="U307" s="9" t="inlineStr">
        <is>
          <t>A-38</t>
        </is>
      </c>
    </row>
    <row r="308">
      <c r="A308" s="151" t="inlineStr">
        <is>
          <t>A-3-18</t>
        </is>
      </c>
      <c r="B308" s="102" t="inlineStr">
        <is>
          <t>A</t>
        </is>
      </c>
      <c r="C308" s="102" t="inlineStr">
        <is>
          <t>3</t>
        </is>
      </c>
      <c r="D308" s="102" t="n">
        <v>18</v>
      </c>
      <c r="E308" s="102" t="inlineStr">
        <is>
          <t>TU-A5</t>
        </is>
      </c>
      <c r="F308" s="102" t="inlineStr">
        <is>
          <t>TU-A5/S2</t>
        </is>
      </c>
      <c r="G308" s="102" t="n">
        <v>8</v>
      </c>
      <c r="H308" s="102" t="inlineStr">
        <is>
          <t>TR-A1</t>
        </is>
      </c>
      <c r="I308" s="102" t="n">
        <v>10</v>
      </c>
      <c r="J308" s="102" t="inlineStr">
        <is>
          <t>Ống 2 Cam / Nâu</t>
        </is>
      </c>
      <c r="K308" s="102" t="inlineStr">
        <is>
          <t>S4-02</t>
        </is>
      </c>
      <c r="L308" s="102" t="inlineStr">
        <is>
          <t>A-6</t>
        </is>
      </c>
      <c r="M308" s="102" t="inlineStr">
        <is>
          <t>PON-02</t>
        </is>
      </c>
      <c r="N308" s="102" t="inlineStr">
        <is>
          <t>Chưa lắp</t>
        </is>
      </c>
      <c r="O308" s="151" t="n"/>
      <c r="P308" s="152" t="n"/>
      <c r="Q308" s="13">
        <f>M308&amp;" &gt; P96#"&amp;U308&amp;" &gt; "&amp;K308&amp;" &gt; P96#"&amp;L308&amp;" &gt; "&amp;R308&amp;" "&amp;S308&amp;" "&amp;T308&amp;" &gt; "&amp;H308&amp;"#"&amp;I308&amp;" &gt; "&amp;F308&amp;" p"&amp;G308</f>
        <v/>
      </c>
      <c r="R308" s="9" t="inlineStr">
        <is>
          <t>ODF-02</t>
        </is>
      </c>
      <c r="S308" s="9" t="inlineStr">
        <is>
          <t>Trái</t>
        </is>
      </c>
      <c r="T308" s="9" t="inlineStr">
        <is>
          <t>H2-C4</t>
        </is>
      </c>
      <c r="U308" s="9" t="inlineStr">
        <is>
          <t>A-38</t>
        </is>
      </c>
    </row>
    <row r="309">
      <c r="A309" s="151" t="inlineStr">
        <is>
          <t>A-3-19</t>
        </is>
      </c>
      <c r="B309" s="102" t="inlineStr">
        <is>
          <t>A</t>
        </is>
      </c>
      <c r="C309" s="102" t="inlineStr">
        <is>
          <t>3</t>
        </is>
      </c>
      <c r="D309" s="102" t="n">
        <v>19</v>
      </c>
      <c r="E309" s="102" t="inlineStr">
        <is>
          <t>TU-A5</t>
        </is>
      </c>
      <c r="F309" s="102" t="inlineStr">
        <is>
          <t>TU-A5/S2</t>
        </is>
      </c>
      <c r="G309" s="102" t="n">
        <v>9</v>
      </c>
      <c r="H309" s="102" t="inlineStr">
        <is>
          <t>TR-A1</t>
        </is>
      </c>
      <c r="I309" s="102" t="n">
        <v>10</v>
      </c>
      <c r="J309" s="102" t="inlineStr">
        <is>
          <t>Ống 2 Cam / Nâu</t>
        </is>
      </c>
      <c r="K309" s="102" t="inlineStr">
        <is>
          <t>S4-02</t>
        </is>
      </c>
      <c r="L309" s="102" t="inlineStr">
        <is>
          <t>A-6</t>
        </is>
      </c>
      <c r="M309" s="102" t="inlineStr">
        <is>
          <t>PON-02</t>
        </is>
      </c>
      <c r="N309" s="102" t="inlineStr">
        <is>
          <t>Chưa lắp</t>
        </is>
      </c>
      <c r="O309" s="151" t="n"/>
      <c r="P309" s="152" t="n"/>
      <c r="Q309" s="13">
        <f>M309&amp;" &gt; P96#"&amp;U309&amp;" &gt; "&amp;K309&amp;" &gt; P96#"&amp;L309&amp;" &gt; "&amp;R309&amp;" "&amp;S309&amp;" "&amp;T309&amp;" &gt; "&amp;H309&amp;"#"&amp;I309&amp;" &gt; "&amp;F309&amp;" p"&amp;G309</f>
        <v/>
      </c>
      <c r="R309" s="9" t="inlineStr">
        <is>
          <t>ODF-02</t>
        </is>
      </c>
      <c r="S309" s="9" t="inlineStr">
        <is>
          <t>Trái</t>
        </is>
      </c>
      <c r="T309" s="9" t="inlineStr">
        <is>
          <t>H2-C4</t>
        </is>
      </c>
      <c r="U309" s="9" t="inlineStr">
        <is>
          <t>A-38</t>
        </is>
      </c>
    </row>
    <row r="310">
      <c r="A310" s="149" t="inlineStr">
        <is>
          <t>A-3-20</t>
        </is>
      </c>
      <c r="B310" s="99" t="inlineStr">
        <is>
          <t>A</t>
        </is>
      </c>
      <c r="C310" s="99" t="inlineStr">
        <is>
          <t>3</t>
        </is>
      </c>
      <c r="D310" s="99" t="n">
        <v>20</v>
      </c>
      <c r="E310" s="99" t="inlineStr">
        <is>
          <t>TU-A5</t>
        </is>
      </c>
      <c r="F310" s="99" t="inlineStr">
        <is>
          <t>TU-A5/S2</t>
        </is>
      </c>
      <c r="G310" s="99" t="n">
        <v>10</v>
      </c>
      <c r="H310" s="99" t="inlineStr">
        <is>
          <t>TR-A1</t>
        </is>
      </c>
      <c r="I310" s="99" t="n">
        <v>10</v>
      </c>
      <c r="J310" s="99" t="inlineStr">
        <is>
          <t>Ống 2 Cam / Nâu</t>
        </is>
      </c>
      <c r="K310" s="99" t="inlineStr">
        <is>
          <t>S4-02</t>
        </is>
      </c>
      <c r="L310" s="99" t="inlineStr">
        <is>
          <t>A-6</t>
        </is>
      </c>
      <c r="M310" s="99" t="inlineStr">
        <is>
          <t>PON-02</t>
        </is>
      </c>
      <c r="N310" s="99" t="inlineStr">
        <is>
          <t>Chưa lắp</t>
        </is>
      </c>
      <c r="O310" s="149" t="n"/>
      <c r="P310" s="150" t="n"/>
      <c r="Q310" s="13">
        <f>M310&amp;" &gt; P96#"&amp;U310&amp;" &gt; "&amp;K310&amp;" &gt; P96#"&amp;L310&amp;" &gt; "&amp;R310&amp;" "&amp;S310&amp;" "&amp;T310&amp;" &gt; "&amp;H310&amp;"#"&amp;I310&amp;" &gt; "&amp;F310&amp;" p"&amp;G310</f>
        <v/>
      </c>
      <c r="R310" s="9" t="inlineStr">
        <is>
          <t>ODF-02</t>
        </is>
      </c>
      <c r="S310" s="9" t="inlineStr">
        <is>
          <t>Trái</t>
        </is>
      </c>
      <c r="T310" s="9" t="inlineStr">
        <is>
          <t>H2-C4</t>
        </is>
      </c>
      <c r="U310" s="9" t="inlineStr">
        <is>
          <t>A-38</t>
        </is>
      </c>
    </row>
    <row r="311">
      <c r="A311" s="149" t="inlineStr">
        <is>
          <t>A-2-01</t>
        </is>
      </c>
      <c r="B311" s="99" t="inlineStr">
        <is>
          <t>A</t>
        </is>
      </c>
      <c r="C311" s="99" t="inlineStr">
        <is>
          <t>2</t>
        </is>
      </c>
      <c r="D311" s="99" t="n">
        <v>1</v>
      </c>
      <c r="E311" s="99" t="inlineStr">
        <is>
          <t>TU-A2</t>
        </is>
      </c>
      <c r="F311" s="99" t="inlineStr">
        <is>
          <t>TU-A2/S2</t>
        </is>
      </c>
      <c r="G311" s="99" t="n">
        <v>1</v>
      </c>
      <c r="H311" s="99" t="inlineStr">
        <is>
          <t>TR-A1</t>
        </is>
      </c>
      <c r="I311" s="99" t="n">
        <v>2</v>
      </c>
      <c r="J311" s="99" t="inlineStr">
        <is>
          <t>Ống 1 Xanh dương / Cam</t>
        </is>
      </c>
      <c r="K311" s="99" t="inlineStr">
        <is>
          <t>S4-01</t>
        </is>
      </c>
      <c r="L311" s="99" t="inlineStr">
        <is>
          <t>A-2</t>
        </is>
      </c>
      <c r="M311" s="99" t="inlineStr">
        <is>
          <t>PON-01</t>
        </is>
      </c>
      <c r="N311" s="99" t="inlineStr">
        <is>
          <t>Chưa lắp</t>
        </is>
      </c>
      <c r="O311" s="149" t="n"/>
      <c r="P311" s="150" t="n"/>
      <c r="Q311" s="13">
        <f>M311&amp;" &gt; P96#"&amp;U311&amp;" &gt; "&amp;K311&amp;" &gt; P96#"&amp;L311&amp;" &gt; "&amp;R311&amp;" "&amp;S311&amp;" "&amp;T311&amp;" &gt; "&amp;H311&amp;"#"&amp;I311&amp;" &gt; "&amp;F311&amp;" p"&amp;G311</f>
        <v/>
      </c>
      <c r="R311" s="9" t="inlineStr">
        <is>
          <t>ODF-02</t>
        </is>
      </c>
      <c r="S311" s="9" t="inlineStr">
        <is>
          <t>Trái</t>
        </is>
      </c>
      <c r="T311" s="9" t="inlineStr">
        <is>
          <t>H1-C2</t>
        </is>
      </c>
      <c r="U311" s="9" t="inlineStr">
        <is>
          <t>A-37</t>
        </is>
      </c>
    </row>
    <row r="312">
      <c r="A312" s="149" t="inlineStr">
        <is>
          <t>A-2-02</t>
        </is>
      </c>
      <c r="B312" s="99" t="inlineStr">
        <is>
          <t>A</t>
        </is>
      </c>
      <c r="C312" s="99" t="inlineStr">
        <is>
          <t>2</t>
        </is>
      </c>
      <c r="D312" s="99" t="n">
        <v>2</v>
      </c>
      <c r="E312" s="99" t="inlineStr">
        <is>
          <t>TU-A2</t>
        </is>
      </c>
      <c r="F312" s="99" t="inlineStr">
        <is>
          <t>TU-A2/S2</t>
        </is>
      </c>
      <c r="G312" s="99" t="n">
        <v>2</v>
      </c>
      <c r="H312" s="99" t="inlineStr">
        <is>
          <t>TR-A1</t>
        </is>
      </c>
      <c r="I312" s="99" t="n">
        <v>2</v>
      </c>
      <c r="J312" s="99" t="inlineStr">
        <is>
          <t>Ống 1 Xanh dương / Cam</t>
        </is>
      </c>
      <c r="K312" s="99" t="inlineStr">
        <is>
          <t>S4-01</t>
        </is>
      </c>
      <c r="L312" s="99" t="inlineStr">
        <is>
          <t>A-2</t>
        </is>
      </c>
      <c r="M312" s="99" t="inlineStr">
        <is>
          <t>PON-01</t>
        </is>
      </c>
      <c r="N312" s="99" t="inlineStr">
        <is>
          <t>Chưa lắp</t>
        </is>
      </c>
      <c r="O312" s="149" t="n"/>
      <c r="P312" s="150" t="n"/>
      <c r="Q312" s="13">
        <f>M312&amp;" &gt; P96#"&amp;U312&amp;" &gt; "&amp;K312&amp;" &gt; P96#"&amp;L312&amp;" &gt; "&amp;R312&amp;" "&amp;S312&amp;" "&amp;T312&amp;" &gt; "&amp;H312&amp;"#"&amp;I312&amp;" &gt; "&amp;F312&amp;" p"&amp;G312</f>
        <v/>
      </c>
      <c r="R312" s="9" t="inlineStr">
        <is>
          <t>ODF-02</t>
        </is>
      </c>
      <c r="S312" s="9" t="inlineStr">
        <is>
          <t>Trái</t>
        </is>
      </c>
      <c r="T312" s="9" t="inlineStr">
        <is>
          <t>H1-C2</t>
        </is>
      </c>
      <c r="U312" s="9" t="inlineStr">
        <is>
          <t>A-37</t>
        </is>
      </c>
    </row>
    <row r="313">
      <c r="A313" s="149" t="inlineStr">
        <is>
          <t>A-2-03</t>
        </is>
      </c>
      <c r="B313" s="99" t="inlineStr">
        <is>
          <t>A</t>
        </is>
      </c>
      <c r="C313" s="99" t="inlineStr">
        <is>
          <t>2</t>
        </is>
      </c>
      <c r="D313" s="99" t="n">
        <v>3</v>
      </c>
      <c r="E313" s="99" t="inlineStr">
        <is>
          <t>TU-A2</t>
        </is>
      </c>
      <c r="F313" s="99" t="inlineStr">
        <is>
          <t>TU-A2/S2</t>
        </is>
      </c>
      <c r="G313" s="99" t="n">
        <v>3</v>
      </c>
      <c r="H313" s="99" t="inlineStr">
        <is>
          <t>TR-A1</t>
        </is>
      </c>
      <c r="I313" s="99" t="n">
        <v>2</v>
      </c>
      <c r="J313" s="99" t="inlineStr">
        <is>
          <t>Ống 1 Xanh dương / Cam</t>
        </is>
      </c>
      <c r="K313" s="99" t="inlineStr">
        <is>
          <t>S4-01</t>
        </is>
      </c>
      <c r="L313" s="99" t="inlineStr">
        <is>
          <t>A-2</t>
        </is>
      </c>
      <c r="M313" s="99" t="inlineStr">
        <is>
          <t>PON-01</t>
        </is>
      </c>
      <c r="N313" s="99" t="inlineStr">
        <is>
          <t>Chưa lắp</t>
        </is>
      </c>
      <c r="O313" s="149" t="n"/>
      <c r="P313" s="150" t="n"/>
      <c r="Q313" s="13">
        <f>M313&amp;" &gt; P96#"&amp;U313&amp;" &gt; "&amp;K313&amp;" &gt; P96#"&amp;L313&amp;" &gt; "&amp;R313&amp;" "&amp;S313&amp;" "&amp;T313&amp;" &gt; "&amp;H313&amp;"#"&amp;I313&amp;" &gt; "&amp;F313&amp;" p"&amp;G313</f>
        <v/>
      </c>
      <c r="R313" s="9" t="inlineStr">
        <is>
          <t>ODF-02</t>
        </is>
      </c>
      <c r="S313" s="9" t="inlineStr">
        <is>
          <t>Trái</t>
        </is>
      </c>
      <c r="T313" s="9" t="inlineStr">
        <is>
          <t>H1-C2</t>
        </is>
      </c>
      <c r="U313" s="9" t="inlineStr">
        <is>
          <t>A-37</t>
        </is>
      </c>
    </row>
    <row r="314">
      <c r="A314" s="149" t="inlineStr">
        <is>
          <t>A-2-04</t>
        </is>
      </c>
      <c r="B314" s="99" t="inlineStr">
        <is>
          <t>A</t>
        </is>
      </c>
      <c r="C314" s="99" t="inlineStr">
        <is>
          <t>2</t>
        </is>
      </c>
      <c r="D314" s="99" t="n">
        <v>4</v>
      </c>
      <c r="E314" s="99" t="inlineStr">
        <is>
          <t>TU-A2</t>
        </is>
      </c>
      <c r="F314" s="99" t="inlineStr">
        <is>
          <t>TU-A2/S2</t>
        </is>
      </c>
      <c r="G314" s="99" t="n">
        <v>4</v>
      </c>
      <c r="H314" s="99" t="inlineStr">
        <is>
          <t>TR-A1</t>
        </is>
      </c>
      <c r="I314" s="99" t="n">
        <v>2</v>
      </c>
      <c r="J314" s="99" t="inlineStr">
        <is>
          <t>Ống 1 Xanh dương / Cam</t>
        </is>
      </c>
      <c r="K314" s="99" t="inlineStr">
        <is>
          <t>S4-01</t>
        </is>
      </c>
      <c r="L314" s="99" t="inlineStr">
        <is>
          <t>A-2</t>
        </is>
      </c>
      <c r="M314" s="99" t="inlineStr">
        <is>
          <t>PON-01</t>
        </is>
      </c>
      <c r="N314" s="99" t="inlineStr">
        <is>
          <t>Chưa lắp</t>
        </is>
      </c>
      <c r="O314" s="149" t="n"/>
      <c r="P314" s="150" t="n"/>
      <c r="Q314" s="13">
        <f>M314&amp;" &gt; P96#"&amp;U314&amp;" &gt; "&amp;K314&amp;" &gt; P96#"&amp;L314&amp;" &gt; "&amp;R314&amp;" "&amp;S314&amp;" "&amp;T314&amp;" &gt; "&amp;H314&amp;"#"&amp;I314&amp;" &gt; "&amp;F314&amp;" p"&amp;G314</f>
        <v/>
      </c>
      <c r="R314" s="9" t="inlineStr">
        <is>
          <t>ODF-02</t>
        </is>
      </c>
      <c r="S314" s="9" t="inlineStr">
        <is>
          <t>Trái</t>
        </is>
      </c>
      <c r="T314" s="9" t="inlineStr">
        <is>
          <t>H1-C2</t>
        </is>
      </c>
      <c r="U314" s="9" t="inlineStr">
        <is>
          <t>A-37</t>
        </is>
      </c>
    </row>
    <row r="315">
      <c r="A315" s="149" t="inlineStr">
        <is>
          <t>A-2-05</t>
        </is>
      </c>
      <c r="B315" s="99" t="inlineStr">
        <is>
          <t>A</t>
        </is>
      </c>
      <c r="C315" s="99" t="inlineStr">
        <is>
          <t>2</t>
        </is>
      </c>
      <c r="D315" s="99" t="n">
        <v>5</v>
      </c>
      <c r="E315" s="99" t="inlineStr">
        <is>
          <t>TU-A2</t>
        </is>
      </c>
      <c r="F315" s="99" t="inlineStr">
        <is>
          <t>TU-A2/S2</t>
        </is>
      </c>
      <c r="G315" s="99" t="n">
        <v>5</v>
      </c>
      <c r="H315" s="99" t="inlineStr">
        <is>
          <t>TR-A1</t>
        </is>
      </c>
      <c r="I315" s="99" t="n">
        <v>2</v>
      </c>
      <c r="J315" s="99" t="inlineStr">
        <is>
          <t>Ống 1 Xanh dương / Cam</t>
        </is>
      </c>
      <c r="K315" s="99" t="inlineStr">
        <is>
          <t>S4-01</t>
        </is>
      </c>
      <c r="L315" s="99" t="inlineStr">
        <is>
          <t>A-2</t>
        </is>
      </c>
      <c r="M315" s="99" t="inlineStr">
        <is>
          <t>PON-01</t>
        </is>
      </c>
      <c r="N315" s="99" t="inlineStr">
        <is>
          <t>Chưa lắp</t>
        </is>
      </c>
      <c r="O315" s="149" t="n"/>
      <c r="P315" s="150" t="n"/>
      <c r="Q315" s="13">
        <f>M315&amp;" &gt; P96#"&amp;U315&amp;" &gt; "&amp;K315&amp;" &gt; P96#"&amp;L315&amp;" &gt; "&amp;R315&amp;" "&amp;S315&amp;" "&amp;T315&amp;" &gt; "&amp;H315&amp;"#"&amp;I315&amp;" &gt; "&amp;F315&amp;" p"&amp;G315</f>
        <v/>
      </c>
      <c r="R315" s="9" t="inlineStr">
        <is>
          <t>ODF-02</t>
        </is>
      </c>
      <c r="S315" s="9" t="inlineStr">
        <is>
          <t>Trái</t>
        </is>
      </c>
      <c r="T315" s="9" t="inlineStr">
        <is>
          <t>H1-C2</t>
        </is>
      </c>
      <c r="U315" s="9" t="inlineStr">
        <is>
          <t>A-37</t>
        </is>
      </c>
    </row>
    <row r="316">
      <c r="A316" s="149" t="inlineStr">
        <is>
          <t>A-2-06</t>
        </is>
      </c>
      <c r="B316" s="99" t="inlineStr">
        <is>
          <t>A</t>
        </is>
      </c>
      <c r="C316" s="99" t="inlineStr">
        <is>
          <t>2</t>
        </is>
      </c>
      <c r="D316" s="99" t="n">
        <v>6</v>
      </c>
      <c r="E316" s="99" t="inlineStr">
        <is>
          <t>TU-A2</t>
        </is>
      </c>
      <c r="F316" s="99" t="inlineStr">
        <is>
          <t>TU-A2/S2</t>
        </is>
      </c>
      <c r="G316" s="99" t="n">
        <v>6</v>
      </c>
      <c r="H316" s="99" t="inlineStr">
        <is>
          <t>TR-A1</t>
        </is>
      </c>
      <c r="I316" s="99" t="n">
        <v>2</v>
      </c>
      <c r="J316" s="99" t="inlineStr">
        <is>
          <t>Ống 1 Xanh dương / Cam</t>
        </is>
      </c>
      <c r="K316" s="99" t="inlineStr">
        <is>
          <t>S4-01</t>
        </is>
      </c>
      <c r="L316" s="99" t="inlineStr">
        <is>
          <t>A-2</t>
        </is>
      </c>
      <c r="M316" s="99" t="inlineStr">
        <is>
          <t>PON-01</t>
        </is>
      </c>
      <c r="N316" s="99" t="inlineStr">
        <is>
          <t>Chưa lắp</t>
        </is>
      </c>
      <c r="O316" s="149" t="n"/>
      <c r="P316" s="150" t="n"/>
      <c r="Q316" s="13">
        <f>M316&amp;" &gt; P96#"&amp;U316&amp;" &gt; "&amp;K316&amp;" &gt; P96#"&amp;L316&amp;" &gt; "&amp;R316&amp;" "&amp;S316&amp;" "&amp;T316&amp;" &gt; "&amp;H316&amp;"#"&amp;I316&amp;" &gt; "&amp;F316&amp;" p"&amp;G316</f>
        <v/>
      </c>
      <c r="R316" s="9" t="inlineStr">
        <is>
          <t>ODF-02</t>
        </is>
      </c>
      <c r="S316" s="9" t="inlineStr">
        <is>
          <t>Trái</t>
        </is>
      </c>
      <c r="T316" s="9" t="inlineStr">
        <is>
          <t>H1-C2</t>
        </is>
      </c>
      <c r="U316" s="9" t="inlineStr">
        <is>
          <t>A-37</t>
        </is>
      </c>
    </row>
    <row r="317">
      <c r="A317" s="149" t="inlineStr">
        <is>
          <t>A-2-07</t>
        </is>
      </c>
      <c r="B317" s="99" t="inlineStr">
        <is>
          <t>A</t>
        </is>
      </c>
      <c r="C317" s="99" t="inlineStr">
        <is>
          <t>2</t>
        </is>
      </c>
      <c r="D317" s="99" t="n">
        <v>7</v>
      </c>
      <c r="E317" s="99" t="inlineStr">
        <is>
          <t>TU-A2</t>
        </is>
      </c>
      <c r="F317" s="99" t="inlineStr">
        <is>
          <t>TU-A2/S2</t>
        </is>
      </c>
      <c r="G317" s="99" t="n">
        <v>7</v>
      </c>
      <c r="H317" s="99" t="inlineStr">
        <is>
          <t>TR-A1</t>
        </is>
      </c>
      <c r="I317" s="99" t="n">
        <v>2</v>
      </c>
      <c r="J317" s="99" t="inlineStr">
        <is>
          <t>Ống 1 Xanh dương / Cam</t>
        </is>
      </c>
      <c r="K317" s="99" t="inlineStr">
        <is>
          <t>S4-01</t>
        </is>
      </c>
      <c r="L317" s="99" t="inlineStr">
        <is>
          <t>A-2</t>
        </is>
      </c>
      <c r="M317" s="99" t="inlineStr">
        <is>
          <t>PON-01</t>
        </is>
      </c>
      <c r="N317" s="99" t="inlineStr">
        <is>
          <t>Chưa lắp</t>
        </is>
      </c>
      <c r="O317" s="149" t="n"/>
      <c r="P317" s="150" t="n"/>
      <c r="Q317" s="13">
        <f>M317&amp;" &gt; P96#"&amp;U317&amp;" &gt; "&amp;K317&amp;" &gt; P96#"&amp;L317&amp;" &gt; "&amp;R317&amp;" "&amp;S317&amp;" "&amp;T317&amp;" &gt; "&amp;H317&amp;"#"&amp;I317&amp;" &gt; "&amp;F317&amp;" p"&amp;G317</f>
        <v/>
      </c>
      <c r="R317" s="9" t="inlineStr">
        <is>
          <t>ODF-02</t>
        </is>
      </c>
      <c r="S317" s="9" t="inlineStr">
        <is>
          <t>Trái</t>
        </is>
      </c>
      <c r="T317" s="9" t="inlineStr">
        <is>
          <t>H1-C2</t>
        </is>
      </c>
      <c r="U317" s="9" t="inlineStr">
        <is>
          <t>A-37</t>
        </is>
      </c>
    </row>
    <row r="318">
      <c r="A318" s="149" t="inlineStr">
        <is>
          <t>A-2-08</t>
        </is>
      </c>
      <c r="B318" s="99" t="inlineStr">
        <is>
          <t>A</t>
        </is>
      </c>
      <c r="C318" s="99" t="inlineStr">
        <is>
          <t>2</t>
        </is>
      </c>
      <c r="D318" s="99" t="n">
        <v>8</v>
      </c>
      <c r="E318" s="99" t="inlineStr">
        <is>
          <t>TU-A2</t>
        </is>
      </c>
      <c r="F318" s="99" t="inlineStr">
        <is>
          <t>TU-A2/S2</t>
        </is>
      </c>
      <c r="G318" s="99" t="n">
        <v>8</v>
      </c>
      <c r="H318" s="99" t="inlineStr">
        <is>
          <t>TR-A1</t>
        </is>
      </c>
      <c r="I318" s="99" t="n">
        <v>2</v>
      </c>
      <c r="J318" s="99" t="inlineStr">
        <is>
          <t>Ống 1 Xanh dương / Cam</t>
        </is>
      </c>
      <c r="K318" s="99" t="inlineStr">
        <is>
          <t>S4-01</t>
        </is>
      </c>
      <c r="L318" s="99" t="inlineStr">
        <is>
          <t>A-2</t>
        </is>
      </c>
      <c r="M318" s="99" t="inlineStr">
        <is>
          <t>PON-01</t>
        </is>
      </c>
      <c r="N318" s="99" t="inlineStr">
        <is>
          <t>Chưa lắp</t>
        </is>
      </c>
      <c r="O318" s="149" t="n"/>
      <c r="P318" s="150" t="n"/>
      <c r="Q318" s="13">
        <f>M318&amp;" &gt; P96#"&amp;U318&amp;" &gt; "&amp;K318&amp;" &gt; P96#"&amp;L318&amp;" &gt; "&amp;R318&amp;" "&amp;S318&amp;" "&amp;T318&amp;" &gt; "&amp;H318&amp;"#"&amp;I318&amp;" &gt; "&amp;F318&amp;" p"&amp;G318</f>
        <v/>
      </c>
      <c r="R318" s="9" t="inlineStr">
        <is>
          <t>ODF-02</t>
        </is>
      </c>
      <c r="S318" s="9" t="inlineStr">
        <is>
          <t>Trái</t>
        </is>
      </c>
      <c r="T318" s="9" t="inlineStr">
        <is>
          <t>H1-C2</t>
        </is>
      </c>
      <c r="U318" s="9" t="inlineStr">
        <is>
          <t>A-37</t>
        </is>
      </c>
    </row>
    <row r="319">
      <c r="A319" s="149" t="inlineStr">
        <is>
          <t>A-2-09</t>
        </is>
      </c>
      <c r="B319" s="99" t="inlineStr">
        <is>
          <t>A</t>
        </is>
      </c>
      <c r="C319" s="99" t="inlineStr">
        <is>
          <t>2</t>
        </is>
      </c>
      <c r="D319" s="99" t="n">
        <v>9</v>
      </c>
      <c r="E319" s="99" t="inlineStr">
        <is>
          <t>TU-A2</t>
        </is>
      </c>
      <c r="F319" s="99" t="inlineStr">
        <is>
          <t>TU-A2/S2</t>
        </is>
      </c>
      <c r="G319" s="99" t="n">
        <v>9</v>
      </c>
      <c r="H319" s="99" t="inlineStr">
        <is>
          <t>TR-A1</t>
        </is>
      </c>
      <c r="I319" s="99" t="n">
        <v>2</v>
      </c>
      <c r="J319" s="99" t="inlineStr">
        <is>
          <t>Ống 1 Xanh dương / Cam</t>
        </is>
      </c>
      <c r="K319" s="99" t="inlineStr">
        <is>
          <t>S4-01</t>
        </is>
      </c>
      <c r="L319" s="99" t="inlineStr">
        <is>
          <t>A-2</t>
        </is>
      </c>
      <c r="M319" s="99" t="inlineStr">
        <is>
          <t>PON-01</t>
        </is>
      </c>
      <c r="N319" s="99" t="inlineStr">
        <is>
          <t>Chưa lắp</t>
        </is>
      </c>
      <c r="O319" s="149" t="n"/>
      <c r="P319" s="150" t="n"/>
      <c r="Q319" s="13">
        <f>M319&amp;" &gt; P96#"&amp;U319&amp;" &gt; "&amp;K319&amp;" &gt; P96#"&amp;L319&amp;" &gt; "&amp;R319&amp;" "&amp;S319&amp;" "&amp;T319&amp;" &gt; "&amp;H319&amp;"#"&amp;I319&amp;" &gt; "&amp;F319&amp;" p"&amp;G319</f>
        <v/>
      </c>
      <c r="R319" s="9" t="inlineStr">
        <is>
          <t>ODF-02</t>
        </is>
      </c>
      <c r="S319" s="9" t="inlineStr">
        <is>
          <t>Trái</t>
        </is>
      </c>
      <c r="T319" s="9" t="inlineStr">
        <is>
          <t>H1-C2</t>
        </is>
      </c>
      <c r="U319" s="9" t="inlineStr">
        <is>
          <t>A-37</t>
        </is>
      </c>
    </row>
    <row r="320">
      <c r="A320" s="149" t="inlineStr">
        <is>
          <t>A-2-10</t>
        </is>
      </c>
      <c r="B320" s="99" t="inlineStr">
        <is>
          <t>A</t>
        </is>
      </c>
      <c r="C320" s="99" t="inlineStr">
        <is>
          <t>2</t>
        </is>
      </c>
      <c r="D320" s="99" t="n">
        <v>10</v>
      </c>
      <c r="E320" s="99" t="inlineStr">
        <is>
          <t>TU-A2</t>
        </is>
      </c>
      <c r="F320" s="99" t="inlineStr">
        <is>
          <t>TU-A2/S2</t>
        </is>
      </c>
      <c r="G320" s="99" t="n">
        <v>10</v>
      </c>
      <c r="H320" s="99" t="inlineStr">
        <is>
          <t>TR-A1</t>
        </is>
      </c>
      <c r="I320" s="99" t="n">
        <v>2</v>
      </c>
      <c r="J320" s="99" t="inlineStr">
        <is>
          <t>Ống 1 Xanh dương / Cam</t>
        </is>
      </c>
      <c r="K320" s="99" t="inlineStr">
        <is>
          <t>S4-01</t>
        </is>
      </c>
      <c r="L320" s="99" t="inlineStr">
        <is>
          <t>A-2</t>
        </is>
      </c>
      <c r="M320" s="99" t="inlineStr">
        <is>
          <t>PON-01</t>
        </is>
      </c>
      <c r="N320" s="99" t="inlineStr">
        <is>
          <t>Chưa lắp</t>
        </is>
      </c>
      <c r="O320" s="149" t="n"/>
      <c r="P320" s="150" t="n"/>
      <c r="Q320" s="13">
        <f>M320&amp;" &gt; P96#"&amp;U320&amp;" &gt; "&amp;K320&amp;" &gt; P96#"&amp;L320&amp;" &gt; "&amp;R320&amp;" "&amp;S320&amp;" "&amp;T320&amp;" &gt; "&amp;H320&amp;"#"&amp;I320&amp;" &gt; "&amp;F320&amp;" p"&amp;G320</f>
        <v/>
      </c>
      <c r="R320" s="9" t="inlineStr">
        <is>
          <t>ODF-02</t>
        </is>
      </c>
      <c r="S320" s="9" t="inlineStr">
        <is>
          <t>Trái</t>
        </is>
      </c>
      <c r="T320" s="9" t="inlineStr">
        <is>
          <t>H1-C2</t>
        </is>
      </c>
      <c r="U320" s="9" t="inlineStr">
        <is>
          <t>A-37</t>
        </is>
      </c>
    </row>
    <row r="321">
      <c r="A321" s="149" t="inlineStr">
        <is>
          <t>A-2-11</t>
        </is>
      </c>
      <c r="B321" s="99" t="inlineStr">
        <is>
          <t>A</t>
        </is>
      </c>
      <c r="C321" s="99" t="inlineStr">
        <is>
          <t>2</t>
        </is>
      </c>
      <c r="D321" s="99" t="n">
        <v>11</v>
      </c>
      <c r="E321" s="99" t="inlineStr">
        <is>
          <t>TU-A2</t>
        </is>
      </c>
      <c r="F321" s="99" t="inlineStr">
        <is>
          <t>TU-A2/S2</t>
        </is>
      </c>
      <c r="G321" s="99" t="n">
        <v>11</v>
      </c>
      <c r="H321" s="99" t="inlineStr">
        <is>
          <t>TR-A1</t>
        </is>
      </c>
      <c r="I321" s="99" t="n">
        <v>2</v>
      </c>
      <c r="J321" s="99" t="inlineStr">
        <is>
          <t>Ống 1 Xanh dương / Cam</t>
        </is>
      </c>
      <c r="K321" s="99" t="inlineStr">
        <is>
          <t>S4-01</t>
        </is>
      </c>
      <c r="L321" s="99" t="inlineStr">
        <is>
          <t>A-2</t>
        </is>
      </c>
      <c r="M321" s="99" t="inlineStr">
        <is>
          <t>PON-01</t>
        </is>
      </c>
      <c r="N321" s="99" t="inlineStr">
        <is>
          <t>Chưa lắp</t>
        </is>
      </c>
      <c r="O321" s="149" t="n"/>
      <c r="P321" s="150" t="n"/>
      <c r="Q321" s="13">
        <f>M321&amp;" &gt; P96#"&amp;U321&amp;" &gt; "&amp;K321&amp;" &gt; P96#"&amp;L321&amp;" &gt; "&amp;R321&amp;" "&amp;S321&amp;" "&amp;T321&amp;" &gt; "&amp;H321&amp;"#"&amp;I321&amp;" &gt; "&amp;F321&amp;" p"&amp;G321</f>
        <v/>
      </c>
      <c r="R321" s="9" t="inlineStr">
        <is>
          <t>ODF-02</t>
        </is>
      </c>
      <c r="S321" s="9" t="inlineStr">
        <is>
          <t>Trái</t>
        </is>
      </c>
      <c r="T321" s="9" t="inlineStr">
        <is>
          <t>H1-C2</t>
        </is>
      </c>
      <c r="U321" s="9" t="inlineStr">
        <is>
          <t>A-37</t>
        </is>
      </c>
    </row>
    <row r="322">
      <c r="A322" s="149" t="inlineStr">
        <is>
          <t>A-2-12</t>
        </is>
      </c>
      <c r="B322" s="99" t="inlineStr">
        <is>
          <t>A</t>
        </is>
      </c>
      <c r="C322" s="99" t="inlineStr">
        <is>
          <t>2</t>
        </is>
      </c>
      <c r="D322" s="99" t="n">
        <v>12</v>
      </c>
      <c r="E322" s="99" t="inlineStr">
        <is>
          <t>TU-A2</t>
        </is>
      </c>
      <c r="F322" s="99" t="inlineStr">
        <is>
          <t>TU-A2/S2</t>
        </is>
      </c>
      <c r="G322" s="99" t="n">
        <v>12</v>
      </c>
      <c r="H322" s="99" t="inlineStr">
        <is>
          <t>TR-A1</t>
        </is>
      </c>
      <c r="I322" s="99" t="n">
        <v>2</v>
      </c>
      <c r="J322" s="99" t="inlineStr">
        <is>
          <t>Ống 1 Xanh dương / Cam</t>
        </is>
      </c>
      <c r="K322" s="99" t="inlineStr">
        <is>
          <t>S4-01</t>
        </is>
      </c>
      <c r="L322" s="99" t="inlineStr">
        <is>
          <t>A-2</t>
        </is>
      </c>
      <c r="M322" s="99" t="inlineStr">
        <is>
          <t>PON-01</t>
        </is>
      </c>
      <c r="N322" s="99" t="inlineStr">
        <is>
          <t>Chưa lắp</t>
        </is>
      </c>
      <c r="O322" s="149" t="n"/>
      <c r="P322" s="150" t="n"/>
      <c r="Q322" s="13">
        <f>M322&amp;" &gt; P96#"&amp;U322&amp;" &gt; "&amp;K322&amp;" &gt; P96#"&amp;L322&amp;" &gt; "&amp;R322&amp;" "&amp;S322&amp;" "&amp;T322&amp;" &gt; "&amp;H322&amp;"#"&amp;I322&amp;" &gt; "&amp;F322&amp;" p"&amp;G322</f>
        <v/>
      </c>
      <c r="R322" s="9" t="inlineStr">
        <is>
          <t>ODF-02</t>
        </is>
      </c>
      <c r="S322" s="9" t="inlineStr">
        <is>
          <t>Trái</t>
        </is>
      </c>
      <c r="T322" s="9" t="inlineStr">
        <is>
          <t>H1-C2</t>
        </is>
      </c>
      <c r="U322" s="9" t="inlineStr">
        <is>
          <t>A-37</t>
        </is>
      </c>
    </row>
    <row r="323">
      <c r="A323" s="149" t="inlineStr">
        <is>
          <t>A-2-13</t>
        </is>
      </c>
      <c r="B323" s="99" t="inlineStr">
        <is>
          <t>A</t>
        </is>
      </c>
      <c r="C323" s="99" t="inlineStr">
        <is>
          <t>2</t>
        </is>
      </c>
      <c r="D323" s="99" t="n">
        <v>13</v>
      </c>
      <c r="E323" s="99" t="inlineStr">
        <is>
          <t>TU-A2</t>
        </is>
      </c>
      <c r="F323" s="99" t="inlineStr">
        <is>
          <t>TU-A2/S2</t>
        </is>
      </c>
      <c r="G323" s="99" t="n">
        <v>13</v>
      </c>
      <c r="H323" s="99" t="inlineStr">
        <is>
          <t>TR-A1</t>
        </is>
      </c>
      <c r="I323" s="99" t="n">
        <v>2</v>
      </c>
      <c r="J323" s="99" t="inlineStr">
        <is>
          <t>Ống 1 Xanh dương / Cam</t>
        </is>
      </c>
      <c r="K323" s="99" t="inlineStr">
        <is>
          <t>S4-01</t>
        </is>
      </c>
      <c r="L323" s="99" t="inlineStr">
        <is>
          <t>A-2</t>
        </is>
      </c>
      <c r="M323" s="99" t="inlineStr">
        <is>
          <t>PON-01</t>
        </is>
      </c>
      <c r="N323" s="99" t="inlineStr">
        <is>
          <t>Chưa lắp</t>
        </is>
      </c>
      <c r="O323" s="149" t="n"/>
      <c r="P323" s="150" t="n"/>
      <c r="Q323" s="13">
        <f>M323&amp;" &gt; P96#"&amp;U323&amp;" &gt; "&amp;K323&amp;" &gt; P96#"&amp;L323&amp;" &gt; "&amp;R323&amp;" "&amp;S323&amp;" "&amp;T323&amp;" &gt; "&amp;H323&amp;"#"&amp;I323&amp;" &gt; "&amp;F323&amp;" p"&amp;G323</f>
        <v/>
      </c>
      <c r="R323" s="9" t="inlineStr">
        <is>
          <t>ODF-02</t>
        </is>
      </c>
      <c r="S323" s="9" t="inlineStr">
        <is>
          <t>Trái</t>
        </is>
      </c>
      <c r="T323" s="9" t="inlineStr">
        <is>
          <t>H1-C2</t>
        </is>
      </c>
      <c r="U323" s="9" t="inlineStr">
        <is>
          <t>A-37</t>
        </is>
      </c>
    </row>
    <row r="324">
      <c r="A324" s="151" t="inlineStr">
        <is>
          <t>A-2-14</t>
        </is>
      </c>
      <c r="B324" s="102" t="inlineStr">
        <is>
          <t>A</t>
        </is>
      </c>
      <c r="C324" s="102" t="inlineStr">
        <is>
          <t>2</t>
        </is>
      </c>
      <c r="D324" s="102" t="n">
        <v>14</v>
      </c>
      <c r="E324" s="102" t="inlineStr">
        <is>
          <t>TU-A2</t>
        </is>
      </c>
      <c r="F324" s="102" t="inlineStr">
        <is>
          <t>TU-A2/S2</t>
        </is>
      </c>
      <c r="G324" s="102" t="n">
        <v>14</v>
      </c>
      <c r="H324" s="102" t="inlineStr">
        <is>
          <t>TR-A1</t>
        </is>
      </c>
      <c r="I324" s="102" t="n">
        <v>2</v>
      </c>
      <c r="J324" s="102" t="inlineStr">
        <is>
          <t>Ống 1 Xanh dương / Cam</t>
        </is>
      </c>
      <c r="K324" s="102" t="inlineStr">
        <is>
          <t>S4-01</t>
        </is>
      </c>
      <c r="L324" s="102" t="inlineStr">
        <is>
          <t>A-2</t>
        </is>
      </c>
      <c r="M324" s="102" t="inlineStr">
        <is>
          <t>PON-01</t>
        </is>
      </c>
      <c r="N324" s="102" t="inlineStr">
        <is>
          <t>Chưa lắp</t>
        </is>
      </c>
      <c r="O324" s="151" t="n"/>
      <c r="P324" s="152" t="n"/>
      <c r="Q324" s="13">
        <f>M324&amp;" &gt; P96#"&amp;U324&amp;" &gt; "&amp;K324&amp;" &gt; P96#"&amp;L324&amp;" &gt; "&amp;R324&amp;" "&amp;S324&amp;" "&amp;T324&amp;" &gt; "&amp;H324&amp;"#"&amp;I324&amp;" &gt; "&amp;F324&amp;" p"&amp;G324</f>
        <v/>
      </c>
      <c r="R324" s="9" t="inlineStr">
        <is>
          <t>ODF-02</t>
        </is>
      </c>
      <c r="S324" s="9" t="inlineStr">
        <is>
          <t>Trái</t>
        </is>
      </c>
      <c r="T324" s="9" t="inlineStr">
        <is>
          <t>H1-C2</t>
        </is>
      </c>
      <c r="U324" s="9" t="inlineStr">
        <is>
          <t>A-37</t>
        </is>
      </c>
    </row>
    <row r="325">
      <c r="A325" s="151" t="inlineStr">
        <is>
          <t>A-2-15</t>
        </is>
      </c>
      <c r="B325" s="102" t="inlineStr">
        <is>
          <t>A</t>
        </is>
      </c>
      <c r="C325" s="102" t="inlineStr">
        <is>
          <t>2</t>
        </is>
      </c>
      <c r="D325" s="102" t="n">
        <v>15</v>
      </c>
      <c r="E325" s="102" t="inlineStr">
        <is>
          <t>TU-A2</t>
        </is>
      </c>
      <c r="F325" s="102" t="inlineStr">
        <is>
          <t>TU-A2/S3</t>
        </is>
      </c>
      <c r="G325" s="102" t="n">
        <v>1</v>
      </c>
      <c r="H325" s="102" t="inlineStr">
        <is>
          <t>TR-A1</t>
        </is>
      </c>
      <c r="I325" s="102" t="n">
        <v>3</v>
      </c>
      <c r="J325" s="102" t="inlineStr">
        <is>
          <t>Ống 1 Xanh dương / Xanh lá</t>
        </is>
      </c>
      <c r="K325" s="102" t="inlineStr">
        <is>
          <t>S4-01</t>
        </is>
      </c>
      <c r="L325" s="102" t="inlineStr">
        <is>
          <t>A-3</t>
        </is>
      </c>
      <c r="M325" s="102" t="inlineStr">
        <is>
          <t>PON-01</t>
        </is>
      </c>
      <c r="N325" s="102" t="inlineStr">
        <is>
          <t>Chưa lắp</t>
        </is>
      </c>
      <c r="O325" s="151" t="n"/>
      <c r="P325" s="152" t="n"/>
      <c r="Q325" s="13">
        <f>M325&amp;" &gt; P96#"&amp;U325&amp;" &gt; "&amp;K325&amp;" &gt; P96#"&amp;L325&amp;" &gt; "&amp;R325&amp;" "&amp;S325&amp;" "&amp;T325&amp;" &gt; "&amp;H325&amp;"#"&amp;I325&amp;" &gt; "&amp;F325&amp;" p"&amp;G325</f>
        <v/>
      </c>
      <c r="R325" s="9" t="inlineStr">
        <is>
          <t>ODF-02</t>
        </is>
      </c>
      <c r="S325" s="9" t="inlineStr">
        <is>
          <t>Trái</t>
        </is>
      </c>
      <c r="T325" s="9" t="inlineStr">
        <is>
          <t>H1-C3</t>
        </is>
      </c>
      <c r="U325" s="9" t="inlineStr">
        <is>
          <t>A-37</t>
        </is>
      </c>
    </row>
    <row r="326">
      <c r="A326" s="151" t="inlineStr">
        <is>
          <t>A-2-16</t>
        </is>
      </c>
      <c r="B326" s="102" t="inlineStr">
        <is>
          <t>A</t>
        </is>
      </c>
      <c r="C326" s="102" t="inlineStr">
        <is>
          <t>2</t>
        </is>
      </c>
      <c r="D326" s="102" t="n">
        <v>16</v>
      </c>
      <c r="E326" s="102" t="inlineStr">
        <is>
          <t>TU-A2</t>
        </is>
      </c>
      <c r="F326" s="102" t="inlineStr">
        <is>
          <t>TU-A2/S3</t>
        </is>
      </c>
      <c r="G326" s="102" t="n">
        <v>2</v>
      </c>
      <c r="H326" s="102" t="inlineStr">
        <is>
          <t>TR-A1</t>
        </is>
      </c>
      <c r="I326" s="102" t="n">
        <v>3</v>
      </c>
      <c r="J326" s="102" t="inlineStr">
        <is>
          <t>Ống 1 Xanh dương / Xanh lá</t>
        </is>
      </c>
      <c r="K326" s="102" t="inlineStr">
        <is>
          <t>S4-01</t>
        </is>
      </c>
      <c r="L326" s="102" t="inlineStr">
        <is>
          <t>A-3</t>
        </is>
      </c>
      <c r="M326" s="102" t="inlineStr">
        <is>
          <t>PON-01</t>
        </is>
      </c>
      <c r="N326" s="102" t="inlineStr">
        <is>
          <t>Chưa lắp</t>
        </is>
      </c>
      <c r="O326" s="151" t="n"/>
      <c r="P326" s="152" t="n"/>
      <c r="Q326" s="13">
        <f>M326&amp;" &gt; P96#"&amp;U326&amp;" &gt; "&amp;K326&amp;" &gt; P96#"&amp;L326&amp;" &gt; "&amp;R326&amp;" "&amp;S326&amp;" "&amp;T326&amp;" &gt; "&amp;H326&amp;"#"&amp;I326&amp;" &gt; "&amp;F326&amp;" p"&amp;G326</f>
        <v/>
      </c>
      <c r="R326" s="9" t="inlineStr">
        <is>
          <t>ODF-02</t>
        </is>
      </c>
      <c r="S326" s="9" t="inlineStr">
        <is>
          <t>Trái</t>
        </is>
      </c>
      <c r="T326" s="9" t="inlineStr">
        <is>
          <t>H1-C3</t>
        </is>
      </c>
      <c r="U326" s="9" t="inlineStr">
        <is>
          <t>A-37</t>
        </is>
      </c>
    </row>
    <row r="327">
      <c r="A327" s="151" t="inlineStr">
        <is>
          <t>A-2-17</t>
        </is>
      </c>
      <c r="B327" s="102" t="inlineStr">
        <is>
          <t>A</t>
        </is>
      </c>
      <c r="C327" s="102" t="inlineStr">
        <is>
          <t>2</t>
        </is>
      </c>
      <c r="D327" s="102" t="n">
        <v>17</v>
      </c>
      <c r="E327" s="102" t="inlineStr">
        <is>
          <t>TU-A2</t>
        </is>
      </c>
      <c r="F327" s="102" t="inlineStr">
        <is>
          <t>TU-A2/S3</t>
        </is>
      </c>
      <c r="G327" s="102" t="n">
        <v>3</v>
      </c>
      <c r="H327" s="102" t="inlineStr">
        <is>
          <t>TR-A1</t>
        </is>
      </c>
      <c r="I327" s="102" t="n">
        <v>3</v>
      </c>
      <c r="J327" s="102" t="inlineStr">
        <is>
          <t>Ống 1 Xanh dương / Xanh lá</t>
        </is>
      </c>
      <c r="K327" s="102" t="inlineStr">
        <is>
          <t>S4-01</t>
        </is>
      </c>
      <c r="L327" s="102" t="inlineStr">
        <is>
          <t>A-3</t>
        </is>
      </c>
      <c r="M327" s="102" t="inlineStr">
        <is>
          <t>PON-01</t>
        </is>
      </c>
      <c r="N327" s="102" t="inlineStr">
        <is>
          <t>Chưa lắp</t>
        </is>
      </c>
      <c r="O327" s="151" t="n"/>
      <c r="P327" s="152" t="n"/>
      <c r="Q327" s="13">
        <f>M327&amp;" &gt; P96#"&amp;U327&amp;" &gt; "&amp;K327&amp;" &gt; P96#"&amp;L327&amp;" &gt; "&amp;R327&amp;" "&amp;S327&amp;" "&amp;T327&amp;" &gt; "&amp;H327&amp;"#"&amp;I327&amp;" &gt; "&amp;F327&amp;" p"&amp;G327</f>
        <v/>
      </c>
      <c r="R327" s="9" t="inlineStr">
        <is>
          <t>ODF-02</t>
        </is>
      </c>
      <c r="S327" s="9" t="inlineStr">
        <is>
          <t>Trái</t>
        </is>
      </c>
      <c r="T327" s="9" t="inlineStr">
        <is>
          <t>H1-C3</t>
        </is>
      </c>
      <c r="U327" s="9" t="inlineStr">
        <is>
          <t>A-37</t>
        </is>
      </c>
    </row>
    <row r="328">
      <c r="A328" s="151" t="inlineStr">
        <is>
          <t>A-2-18</t>
        </is>
      </c>
      <c r="B328" s="102" t="inlineStr">
        <is>
          <t>A</t>
        </is>
      </c>
      <c r="C328" s="102" t="inlineStr">
        <is>
          <t>2</t>
        </is>
      </c>
      <c r="D328" s="102" t="n">
        <v>18</v>
      </c>
      <c r="E328" s="102" t="inlineStr">
        <is>
          <t>TU-A2</t>
        </is>
      </c>
      <c r="F328" s="102" t="inlineStr">
        <is>
          <t>TU-A2/S3</t>
        </is>
      </c>
      <c r="G328" s="102" t="n">
        <v>4</v>
      </c>
      <c r="H328" s="102" t="inlineStr">
        <is>
          <t>TR-A1</t>
        </is>
      </c>
      <c r="I328" s="102" t="n">
        <v>3</v>
      </c>
      <c r="J328" s="102" t="inlineStr">
        <is>
          <t>Ống 1 Xanh dương / Xanh lá</t>
        </is>
      </c>
      <c r="K328" s="102" t="inlineStr">
        <is>
          <t>S4-01</t>
        </is>
      </c>
      <c r="L328" s="102" t="inlineStr">
        <is>
          <t>A-3</t>
        </is>
      </c>
      <c r="M328" s="102" t="inlineStr">
        <is>
          <t>PON-01</t>
        </is>
      </c>
      <c r="N328" s="102" t="inlineStr">
        <is>
          <t>Chưa lắp</t>
        </is>
      </c>
      <c r="O328" s="151" t="n"/>
      <c r="P328" s="152" t="n"/>
      <c r="Q328" s="13">
        <f>M328&amp;" &gt; P96#"&amp;U328&amp;" &gt; "&amp;K328&amp;" &gt; P96#"&amp;L328&amp;" &gt; "&amp;R328&amp;" "&amp;S328&amp;" "&amp;T328&amp;" &gt; "&amp;H328&amp;"#"&amp;I328&amp;" &gt; "&amp;F328&amp;" p"&amp;G328</f>
        <v/>
      </c>
      <c r="R328" s="9" t="inlineStr">
        <is>
          <t>ODF-02</t>
        </is>
      </c>
      <c r="S328" s="9" t="inlineStr">
        <is>
          <t>Trái</t>
        </is>
      </c>
      <c r="T328" s="9" t="inlineStr">
        <is>
          <t>H1-C3</t>
        </is>
      </c>
      <c r="U328" s="9" t="inlineStr">
        <is>
          <t>A-37</t>
        </is>
      </c>
    </row>
    <row r="329">
      <c r="A329" s="151" t="inlineStr">
        <is>
          <t>A-2-19</t>
        </is>
      </c>
      <c r="B329" s="102" t="inlineStr">
        <is>
          <t>A</t>
        </is>
      </c>
      <c r="C329" s="102" t="inlineStr">
        <is>
          <t>2</t>
        </is>
      </c>
      <c r="D329" s="102" t="n">
        <v>19</v>
      </c>
      <c r="E329" s="102" t="inlineStr">
        <is>
          <t>TU-A2</t>
        </is>
      </c>
      <c r="F329" s="102" t="inlineStr">
        <is>
          <t>TU-A2/S3</t>
        </is>
      </c>
      <c r="G329" s="102" t="n">
        <v>5</v>
      </c>
      <c r="H329" s="102" t="inlineStr">
        <is>
          <t>TR-A1</t>
        </is>
      </c>
      <c r="I329" s="102" t="n">
        <v>3</v>
      </c>
      <c r="J329" s="102" t="inlineStr">
        <is>
          <t>Ống 1 Xanh dương / Xanh lá</t>
        </is>
      </c>
      <c r="K329" s="102" t="inlineStr">
        <is>
          <t>S4-01</t>
        </is>
      </c>
      <c r="L329" s="102" t="inlineStr">
        <is>
          <t>A-3</t>
        </is>
      </c>
      <c r="M329" s="102" t="inlineStr">
        <is>
          <t>PON-01</t>
        </is>
      </c>
      <c r="N329" s="102" t="inlineStr">
        <is>
          <t>Chưa lắp</t>
        </is>
      </c>
      <c r="O329" s="151" t="n"/>
      <c r="P329" s="152" t="n"/>
      <c r="Q329" s="13">
        <f>M329&amp;" &gt; P96#"&amp;U329&amp;" &gt; "&amp;K329&amp;" &gt; P96#"&amp;L329&amp;" &gt; "&amp;R329&amp;" "&amp;S329&amp;" "&amp;T329&amp;" &gt; "&amp;H329&amp;"#"&amp;I329&amp;" &gt; "&amp;F329&amp;" p"&amp;G329</f>
        <v/>
      </c>
      <c r="R329" s="9" t="inlineStr">
        <is>
          <t>ODF-02</t>
        </is>
      </c>
      <c r="S329" s="9" t="inlineStr">
        <is>
          <t>Trái</t>
        </is>
      </c>
      <c r="T329" s="9" t="inlineStr">
        <is>
          <t>H1-C3</t>
        </is>
      </c>
      <c r="U329" s="9" t="inlineStr">
        <is>
          <t>A-37</t>
        </is>
      </c>
    </row>
    <row r="330">
      <c r="A330" s="151" t="inlineStr">
        <is>
          <t>A-2-20</t>
        </is>
      </c>
      <c r="B330" s="102" t="inlineStr">
        <is>
          <t>A</t>
        </is>
      </c>
      <c r="C330" s="102" t="inlineStr">
        <is>
          <t>2</t>
        </is>
      </c>
      <c r="D330" s="102" t="n">
        <v>20</v>
      </c>
      <c r="E330" s="102" t="inlineStr">
        <is>
          <t>TU-A2</t>
        </is>
      </c>
      <c r="F330" s="102" t="inlineStr">
        <is>
          <t>TU-A2/S3</t>
        </is>
      </c>
      <c r="G330" s="102" t="n">
        <v>6</v>
      </c>
      <c r="H330" s="102" t="inlineStr">
        <is>
          <t>TR-A1</t>
        </is>
      </c>
      <c r="I330" s="102" t="n">
        <v>3</v>
      </c>
      <c r="J330" s="102" t="inlineStr">
        <is>
          <t>Ống 1 Xanh dương / Xanh lá</t>
        </is>
      </c>
      <c r="K330" s="102" t="inlineStr">
        <is>
          <t>S4-01</t>
        </is>
      </c>
      <c r="L330" s="102" t="inlineStr">
        <is>
          <t>A-3</t>
        </is>
      </c>
      <c r="M330" s="102" t="inlineStr">
        <is>
          <t>PON-01</t>
        </is>
      </c>
      <c r="N330" s="102" t="inlineStr">
        <is>
          <t>Chưa lắp</t>
        </is>
      </c>
      <c r="O330" s="151" t="n"/>
      <c r="P330" s="152" t="n"/>
      <c r="Q330" s="13">
        <f>M330&amp;" &gt; P96#"&amp;U330&amp;" &gt; "&amp;K330&amp;" &gt; P96#"&amp;L330&amp;" &gt; "&amp;R330&amp;" "&amp;S330&amp;" "&amp;T330&amp;" &gt; "&amp;H330&amp;"#"&amp;I330&amp;" &gt; "&amp;F330&amp;" p"&amp;G330</f>
        <v/>
      </c>
      <c r="R330" s="9" t="inlineStr">
        <is>
          <t>ODF-02</t>
        </is>
      </c>
      <c r="S330" s="9" t="inlineStr">
        <is>
          <t>Trái</t>
        </is>
      </c>
      <c r="T330" s="9" t="inlineStr">
        <is>
          <t>H1-C3</t>
        </is>
      </c>
      <c r="U330" s="9" t="inlineStr">
        <is>
          <t>A-37</t>
        </is>
      </c>
    </row>
    <row r="331">
      <c r="A331" s="151" t="inlineStr">
        <is>
          <t>A-2-21</t>
        </is>
      </c>
      <c r="B331" s="102" t="inlineStr">
        <is>
          <t>A</t>
        </is>
      </c>
      <c r="C331" s="102" t="inlineStr">
        <is>
          <t>2</t>
        </is>
      </c>
      <c r="D331" s="102" t="n">
        <v>21</v>
      </c>
      <c r="E331" s="102" t="inlineStr">
        <is>
          <t>TU-A2</t>
        </is>
      </c>
      <c r="F331" s="102" t="inlineStr">
        <is>
          <t>TU-A2/S3</t>
        </is>
      </c>
      <c r="G331" s="102" t="n">
        <v>7</v>
      </c>
      <c r="H331" s="102" t="inlineStr">
        <is>
          <t>TR-A1</t>
        </is>
      </c>
      <c r="I331" s="102" t="n">
        <v>3</v>
      </c>
      <c r="J331" s="102" t="inlineStr">
        <is>
          <t>Ống 1 Xanh dương / Xanh lá</t>
        </is>
      </c>
      <c r="K331" s="102" t="inlineStr">
        <is>
          <t>S4-01</t>
        </is>
      </c>
      <c r="L331" s="102" t="inlineStr">
        <is>
          <t>A-3</t>
        </is>
      </c>
      <c r="M331" s="102" t="inlineStr">
        <is>
          <t>PON-01</t>
        </is>
      </c>
      <c r="N331" s="102" t="inlineStr">
        <is>
          <t>Chưa lắp</t>
        </is>
      </c>
      <c r="O331" s="151" t="n"/>
      <c r="P331" s="152" t="n"/>
      <c r="Q331" s="13">
        <f>M331&amp;" &gt; P96#"&amp;U331&amp;" &gt; "&amp;K331&amp;" &gt; P96#"&amp;L331&amp;" &gt; "&amp;R331&amp;" "&amp;S331&amp;" "&amp;T331&amp;" &gt; "&amp;H331&amp;"#"&amp;I331&amp;" &gt; "&amp;F331&amp;" p"&amp;G331</f>
        <v/>
      </c>
      <c r="R331" s="9" t="inlineStr">
        <is>
          <t>ODF-02</t>
        </is>
      </c>
      <c r="S331" s="9" t="inlineStr">
        <is>
          <t>Trái</t>
        </is>
      </c>
      <c r="T331" s="9" t="inlineStr">
        <is>
          <t>H1-C3</t>
        </is>
      </c>
      <c r="U331" s="9" t="inlineStr">
        <is>
          <t>A-37</t>
        </is>
      </c>
    </row>
    <row r="332">
      <c r="A332" s="151" t="inlineStr">
        <is>
          <t>A-2-22</t>
        </is>
      </c>
      <c r="B332" s="102" t="inlineStr">
        <is>
          <t>A</t>
        </is>
      </c>
      <c r="C332" s="102" t="inlineStr">
        <is>
          <t>2</t>
        </is>
      </c>
      <c r="D332" s="102" t="n">
        <v>22</v>
      </c>
      <c r="E332" s="102" t="inlineStr">
        <is>
          <t>TU-A2</t>
        </is>
      </c>
      <c r="F332" s="102" t="inlineStr">
        <is>
          <t>TU-A2/S3</t>
        </is>
      </c>
      <c r="G332" s="102" t="n">
        <v>8</v>
      </c>
      <c r="H332" s="102" t="inlineStr">
        <is>
          <t>TR-A1</t>
        </is>
      </c>
      <c r="I332" s="102" t="n">
        <v>3</v>
      </c>
      <c r="J332" s="102" t="inlineStr">
        <is>
          <t>Ống 1 Xanh dương / Xanh lá</t>
        </is>
      </c>
      <c r="K332" s="102" t="inlineStr">
        <is>
          <t>S4-01</t>
        </is>
      </c>
      <c r="L332" s="102" t="inlineStr">
        <is>
          <t>A-3</t>
        </is>
      </c>
      <c r="M332" s="102" t="inlineStr">
        <is>
          <t>PON-01</t>
        </is>
      </c>
      <c r="N332" s="102" t="inlineStr">
        <is>
          <t>Chưa lắp</t>
        </is>
      </c>
      <c r="O332" s="151" t="n"/>
      <c r="P332" s="152" t="n"/>
      <c r="Q332" s="13">
        <f>M332&amp;" &gt; P96#"&amp;U332&amp;" &gt; "&amp;K332&amp;" &gt; P96#"&amp;L332&amp;" &gt; "&amp;R332&amp;" "&amp;S332&amp;" "&amp;T332&amp;" &gt; "&amp;H332&amp;"#"&amp;I332&amp;" &gt; "&amp;F332&amp;" p"&amp;G332</f>
        <v/>
      </c>
      <c r="R332" s="9" t="inlineStr">
        <is>
          <t>ODF-02</t>
        </is>
      </c>
      <c r="S332" s="9" t="inlineStr">
        <is>
          <t>Trái</t>
        </is>
      </c>
      <c r="T332" s="9" t="inlineStr">
        <is>
          <t>H1-C3</t>
        </is>
      </c>
      <c r="U332" s="9" t="inlineStr">
        <is>
          <t>A-37</t>
        </is>
      </c>
    </row>
    <row r="333">
      <c r="A333" s="151" t="inlineStr">
        <is>
          <t>A-2-23</t>
        </is>
      </c>
      <c r="B333" s="102" t="inlineStr">
        <is>
          <t>A</t>
        </is>
      </c>
      <c r="C333" s="102" t="inlineStr">
        <is>
          <t>2</t>
        </is>
      </c>
      <c r="D333" s="102" t="n">
        <v>23</v>
      </c>
      <c r="E333" s="102" t="inlineStr">
        <is>
          <t>TU-A2</t>
        </is>
      </c>
      <c r="F333" s="102" t="inlineStr">
        <is>
          <t>TU-A2/S3</t>
        </is>
      </c>
      <c r="G333" s="102" t="n">
        <v>9</v>
      </c>
      <c r="H333" s="102" t="inlineStr">
        <is>
          <t>TR-A1</t>
        </is>
      </c>
      <c r="I333" s="102" t="n">
        <v>3</v>
      </c>
      <c r="J333" s="102" t="inlineStr">
        <is>
          <t>Ống 1 Xanh dương / Xanh lá</t>
        </is>
      </c>
      <c r="K333" s="102" t="inlineStr">
        <is>
          <t>S4-01</t>
        </is>
      </c>
      <c r="L333" s="102" t="inlineStr">
        <is>
          <t>A-3</t>
        </is>
      </c>
      <c r="M333" s="102" t="inlineStr">
        <is>
          <t>PON-01</t>
        </is>
      </c>
      <c r="N333" s="102" t="inlineStr">
        <is>
          <t>Chưa lắp</t>
        </is>
      </c>
      <c r="O333" s="151" t="n"/>
      <c r="P333" s="152" t="n"/>
      <c r="Q333" s="13">
        <f>M333&amp;" &gt; P96#"&amp;U333&amp;" &gt; "&amp;K333&amp;" &gt; P96#"&amp;L333&amp;" &gt; "&amp;R333&amp;" "&amp;S333&amp;" "&amp;T333&amp;" &gt; "&amp;H333&amp;"#"&amp;I333&amp;" &gt; "&amp;F333&amp;" p"&amp;G333</f>
        <v/>
      </c>
      <c r="R333" s="9" t="inlineStr">
        <is>
          <t>ODF-02</t>
        </is>
      </c>
      <c r="S333" s="9" t="inlineStr">
        <is>
          <t>Trái</t>
        </is>
      </c>
      <c r="T333" s="9" t="inlineStr">
        <is>
          <t>H1-C3</t>
        </is>
      </c>
      <c r="U333" s="9" t="inlineStr">
        <is>
          <t>A-37</t>
        </is>
      </c>
    </row>
    <row r="334">
      <c r="A334" s="151" t="inlineStr">
        <is>
          <t>A-2-24</t>
        </is>
      </c>
      <c r="B334" s="102" t="inlineStr">
        <is>
          <t>A</t>
        </is>
      </c>
      <c r="C334" s="102" t="inlineStr">
        <is>
          <t>2</t>
        </is>
      </c>
      <c r="D334" s="102" t="n">
        <v>24</v>
      </c>
      <c r="E334" s="102" t="inlineStr">
        <is>
          <t>TU-A2</t>
        </is>
      </c>
      <c r="F334" s="102" t="inlineStr">
        <is>
          <t>TU-A2/S3</t>
        </is>
      </c>
      <c r="G334" s="102" t="n">
        <v>10</v>
      </c>
      <c r="H334" s="102" t="inlineStr">
        <is>
          <t>TR-A1</t>
        </is>
      </c>
      <c r="I334" s="102" t="n">
        <v>3</v>
      </c>
      <c r="J334" s="102" t="inlineStr">
        <is>
          <t>Ống 1 Xanh dương / Xanh lá</t>
        </is>
      </c>
      <c r="K334" s="102" t="inlineStr">
        <is>
          <t>S4-01</t>
        </is>
      </c>
      <c r="L334" s="102" t="inlineStr">
        <is>
          <t>A-3</t>
        </is>
      </c>
      <c r="M334" s="102" t="inlineStr">
        <is>
          <t>PON-01</t>
        </is>
      </c>
      <c r="N334" s="102" t="inlineStr">
        <is>
          <t>Chưa lắp</t>
        </is>
      </c>
      <c r="O334" s="151" t="n"/>
      <c r="P334" s="152" t="n"/>
      <c r="Q334" s="13">
        <f>M334&amp;" &gt; P96#"&amp;U334&amp;" &gt; "&amp;K334&amp;" &gt; P96#"&amp;L334&amp;" &gt; "&amp;R334&amp;" "&amp;S334&amp;" "&amp;T334&amp;" &gt; "&amp;H334&amp;"#"&amp;I334&amp;" &gt; "&amp;F334&amp;" p"&amp;G334</f>
        <v/>
      </c>
      <c r="R334" s="9" t="inlineStr">
        <is>
          <t>ODF-02</t>
        </is>
      </c>
      <c r="S334" s="9" t="inlineStr">
        <is>
          <t>Trái</t>
        </is>
      </c>
      <c r="T334" s="9" t="inlineStr">
        <is>
          <t>H1-C3</t>
        </is>
      </c>
      <c r="U334" s="9" t="inlineStr">
        <is>
          <t>A-37</t>
        </is>
      </c>
    </row>
    <row r="335">
      <c r="A335" s="151" t="inlineStr">
        <is>
          <t>A-2-25</t>
        </is>
      </c>
      <c r="B335" s="102" t="inlineStr">
        <is>
          <t>A</t>
        </is>
      </c>
      <c r="C335" s="102" t="inlineStr">
        <is>
          <t>2</t>
        </is>
      </c>
      <c r="D335" s="102" t="n">
        <v>25</v>
      </c>
      <c r="E335" s="102" t="inlineStr">
        <is>
          <t>TU-A2</t>
        </is>
      </c>
      <c r="F335" s="102" t="inlineStr">
        <is>
          <t>TU-A2/S3</t>
        </is>
      </c>
      <c r="G335" s="102" t="n">
        <v>11</v>
      </c>
      <c r="H335" s="102" t="inlineStr">
        <is>
          <t>TR-A1</t>
        </is>
      </c>
      <c r="I335" s="102" t="n">
        <v>3</v>
      </c>
      <c r="J335" s="102" t="inlineStr">
        <is>
          <t>Ống 1 Xanh dương / Xanh lá</t>
        </is>
      </c>
      <c r="K335" s="102" t="inlineStr">
        <is>
          <t>S4-01</t>
        </is>
      </c>
      <c r="L335" s="102" t="inlineStr">
        <is>
          <t>A-3</t>
        </is>
      </c>
      <c r="M335" s="102" t="inlineStr">
        <is>
          <t>PON-01</t>
        </is>
      </c>
      <c r="N335" s="102" t="inlineStr">
        <is>
          <t>Chưa lắp</t>
        </is>
      </c>
      <c r="O335" s="151" t="n"/>
      <c r="P335" s="152" t="n"/>
      <c r="Q335" s="13">
        <f>M335&amp;" &gt; P96#"&amp;U335&amp;" &gt; "&amp;K335&amp;" &gt; P96#"&amp;L335&amp;" &gt; "&amp;R335&amp;" "&amp;S335&amp;" "&amp;T335&amp;" &gt; "&amp;H335&amp;"#"&amp;I335&amp;" &gt; "&amp;F335&amp;" p"&amp;G335</f>
        <v/>
      </c>
      <c r="R335" s="9" t="inlineStr">
        <is>
          <t>ODF-02</t>
        </is>
      </c>
      <c r="S335" s="9" t="inlineStr">
        <is>
          <t>Trái</t>
        </is>
      </c>
      <c r="T335" s="9" t="inlineStr">
        <is>
          <t>H1-C3</t>
        </is>
      </c>
      <c r="U335" s="9" t="inlineStr">
        <is>
          <t>A-37</t>
        </is>
      </c>
    </row>
    <row r="336">
      <c r="A336" s="151" t="inlineStr">
        <is>
          <t>A-2-26</t>
        </is>
      </c>
      <c r="B336" s="102" t="inlineStr">
        <is>
          <t>A</t>
        </is>
      </c>
      <c r="C336" s="102" t="inlineStr">
        <is>
          <t>2</t>
        </is>
      </c>
      <c r="D336" s="102" t="n">
        <v>26</v>
      </c>
      <c r="E336" s="102" t="inlineStr">
        <is>
          <t>TU-A2</t>
        </is>
      </c>
      <c r="F336" s="102" t="inlineStr">
        <is>
          <t>TU-A2/S3</t>
        </is>
      </c>
      <c r="G336" s="102" t="n">
        <v>12</v>
      </c>
      <c r="H336" s="102" t="inlineStr">
        <is>
          <t>TR-A1</t>
        </is>
      </c>
      <c r="I336" s="102" t="n">
        <v>3</v>
      </c>
      <c r="J336" s="102" t="inlineStr">
        <is>
          <t>Ống 1 Xanh dương / Xanh lá</t>
        </is>
      </c>
      <c r="K336" s="102" t="inlineStr">
        <is>
          <t>S4-01</t>
        </is>
      </c>
      <c r="L336" s="102" t="inlineStr">
        <is>
          <t>A-3</t>
        </is>
      </c>
      <c r="M336" s="102" t="inlineStr">
        <is>
          <t>PON-01</t>
        </is>
      </c>
      <c r="N336" s="102" t="inlineStr">
        <is>
          <t>Chưa lắp</t>
        </is>
      </c>
      <c r="O336" s="151" t="n"/>
      <c r="P336" s="152" t="n"/>
      <c r="Q336" s="13">
        <f>M336&amp;" &gt; P96#"&amp;U336&amp;" &gt; "&amp;K336&amp;" &gt; P96#"&amp;L336&amp;" &gt; "&amp;R336&amp;" "&amp;S336&amp;" "&amp;T336&amp;" &gt; "&amp;H336&amp;"#"&amp;I336&amp;" &gt; "&amp;F336&amp;" p"&amp;G336</f>
        <v/>
      </c>
      <c r="R336" s="9" t="inlineStr">
        <is>
          <t>ODF-02</t>
        </is>
      </c>
      <c r="S336" s="9" t="inlineStr">
        <is>
          <t>Trái</t>
        </is>
      </c>
      <c r="T336" s="9" t="inlineStr">
        <is>
          <t>H1-C3</t>
        </is>
      </c>
      <c r="U336" s="9" t="inlineStr">
        <is>
          <t>A-37</t>
        </is>
      </c>
    </row>
    <row r="337">
      <c r="A337" s="151" t="inlineStr">
        <is>
          <t>A-2-27</t>
        </is>
      </c>
      <c r="B337" s="102" t="inlineStr">
        <is>
          <t>A</t>
        </is>
      </c>
      <c r="C337" s="102" t="inlineStr">
        <is>
          <t>2</t>
        </is>
      </c>
      <c r="D337" s="102" t="n">
        <v>27</v>
      </c>
      <c r="E337" s="102" t="inlineStr">
        <is>
          <t>TU-A2</t>
        </is>
      </c>
      <c r="F337" s="102" t="inlineStr">
        <is>
          <t>TU-A2/S3</t>
        </is>
      </c>
      <c r="G337" s="102" t="n">
        <v>13</v>
      </c>
      <c r="H337" s="102" t="inlineStr">
        <is>
          <t>TR-A1</t>
        </is>
      </c>
      <c r="I337" s="102" t="n">
        <v>3</v>
      </c>
      <c r="J337" s="102" t="inlineStr">
        <is>
          <t>Ống 1 Xanh dương / Xanh lá</t>
        </is>
      </c>
      <c r="K337" s="102" t="inlineStr">
        <is>
          <t>S4-01</t>
        </is>
      </c>
      <c r="L337" s="102" t="inlineStr">
        <is>
          <t>A-3</t>
        </is>
      </c>
      <c r="M337" s="102" t="inlineStr">
        <is>
          <t>PON-01</t>
        </is>
      </c>
      <c r="N337" s="102" t="inlineStr">
        <is>
          <t>Chưa lắp</t>
        </is>
      </c>
      <c r="O337" s="151" t="n"/>
      <c r="P337" s="152" t="n"/>
      <c r="Q337" s="13">
        <f>M337&amp;" &gt; P96#"&amp;U337&amp;" &gt; "&amp;K337&amp;" &gt; P96#"&amp;L337&amp;" &gt; "&amp;R337&amp;" "&amp;S337&amp;" "&amp;T337&amp;" &gt; "&amp;H337&amp;"#"&amp;I337&amp;" &gt; "&amp;F337&amp;" p"&amp;G337</f>
        <v/>
      </c>
      <c r="R337" s="9" t="inlineStr">
        <is>
          <t>ODF-02</t>
        </is>
      </c>
      <c r="S337" s="9" t="inlineStr">
        <is>
          <t>Trái</t>
        </is>
      </c>
      <c r="T337" s="9" t="inlineStr">
        <is>
          <t>H1-C3</t>
        </is>
      </c>
      <c r="U337" s="9" t="inlineStr">
        <is>
          <t>A-37</t>
        </is>
      </c>
    </row>
    <row r="338">
      <c r="A338" s="149" t="inlineStr">
        <is>
          <t>A-1-01</t>
        </is>
      </c>
      <c r="B338" s="99" t="inlineStr">
        <is>
          <t>A</t>
        </is>
      </c>
      <c r="C338" s="99" t="inlineStr">
        <is>
          <t>1</t>
        </is>
      </c>
      <c r="D338" s="99" t="n">
        <v>1</v>
      </c>
      <c r="E338" s="99" t="inlineStr">
        <is>
          <t>TU-A2</t>
        </is>
      </c>
      <c r="F338" s="99" t="inlineStr">
        <is>
          <t>TU-A2/S1</t>
        </is>
      </c>
      <c r="G338" s="99" t="n">
        <v>1</v>
      </c>
      <c r="H338" s="99" t="inlineStr">
        <is>
          <t>TR-A1</t>
        </is>
      </c>
      <c r="I338" s="99" t="n">
        <v>1</v>
      </c>
      <c r="J338" s="99" t="inlineStr">
        <is>
          <t>Ống 1 Xanh dương / Xanh dương</t>
        </is>
      </c>
      <c r="K338" s="99" t="inlineStr">
        <is>
          <t>S4-01</t>
        </is>
      </c>
      <c r="L338" s="99" t="inlineStr">
        <is>
          <t>A-1</t>
        </is>
      </c>
      <c r="M338" s="99" t="inlineStr">
        <is>
          <t>PON-01</t>
        </is>
      </c>
      <c r="N338" s="99" t="inlineStr">
        <is>
          <t>Chưa lắp</t>
        </is>
      </c>
      <c r="O338" s="149" t="n"/>
      <c r="P338" s="150" t="n"/>
      <c r="Q338" s="13">
        <f>M338&amp;" &gt; P96#"&amp;U338&amp;" &gt; "&amp;K338&amp;" &gt; P96#"&amp;L338&amp;" &gt; "&amp;R338&amp;" "&amp;S338&amp;" "&amp;T338&amp;" &gt; "&amp;H338&amp;"#"&amp;I338&amp;" &gt; "&amp;F338&amp;" p"&amp;G338</f>
        <v/>
      </c>
      <c r="R338" s="9" t="inlineStr">
        <is>
          <t>ODF-02</t>
        </is>
      </c>
      <c r="S338" s="9" t="inlineStr">
        <is>
          <t>Trái</t>
        </is>
      </c>
      <c r="T338" s="9" t="inlineStr">
        <is>
          <t>H1-C1</t>
        </is>
      </c>
      <c r="U338" s="9" t="inlineStr">
        <is>
          <t>A-37</t>
        </is>
      </c>
    </row>
    <row r="339">
      <c r="A339" s="149" t="inlineStr">
        <is>
          <t>A-1-02</t>
        </is>
      </c>
      <c r="B339" s="99" t="inlineStr">
        <is>
          <t>A</t>
        </is>
      </c>
      <c r="C339" s="99" t="inlineStr">
        <is>
          <t>1</t>
        </is>
      </c>
      <c r="D339" s="99" t="n">
        <v>2</v>
      </c>
      <c r="E339" s="99" t="inlineStr">
        <is>
          <t>TU-A2</t>
        </is>
      </c>
      <c r="F339" s="99" t="inlineStr">
        <is>
          <t>TU-A2/S1</t>
        </is>
      </c>
      <c r="G339" s="99" t="n">
        <v>2</v>
      </c>
      <c r="H339" s="99" t="inlineStr">
        <is>
          <t>TR-A1</t>
        </is>
      </c>
      <c r="I339" s="99" t="n">
        <v>1</v>
      </c>
      <c r="J339" s="99" t="inlineStr">
        <is>
          <t>Ống 1 Xanh dương / Xanh dương</t>
        </is>
      </c>
      <c r="K339" s="99" t="inlineStr">
        <is>
          <t>S4-01</t>
        </is>
      </c>
      <c r="L339" s="99" t="inlineStr">
        <is>
          <t>A-1</t>
        </is>
      </c>
      <c r="M339" s="99" t="inlineStr">
        <is>
          <t>PON-01</t>
        </is>
      </c>
      <c r="N339" s="99" t="inlineStr">
        <is>
          <t>Chưa lắp</t>
        </is>
      </c>
      <c r="O339" s="149" t="n"/>
      <c r="P339" s="150" t="n"/>
      <c r="Q339" s="13">
        <f>M339&amp;" &gt; P96#"&amp;U339&amp;" &gt; "&amp;K339&amp;" &gt; P96#"&amp;L339&amp;" &gt; "&amp;R339&amp;" "&amp;S339&amp;" "&amp;T339&amp;" &gt; "&amp;H339&amp;"#"&amp;I339&amp;" &gt; "&amp;F339&amp;" p"&amp;G339</f>
        <v/>
      </c>
      <c r="R339" s="9" t="inlineStr">
        <is>
          <t>ODF-02</t>
        </is>
      </c>
      <c r="S339" s="9" t="inlineStr">
        <is>
          <t>Trái</t>
        </is>
      </c>
      <c r="T339" s="9" t="inlineStr">
        <is>
          <t>H1-C1</t>
        </is>
      </c>
      <c r="U339" s="9" t="inlineStr">
        <is>
          <t>A-37</t>
        </is>
      </c>
    </row>
    <row r="340">
      <c r="A340" s="149" t="inlineStr">
        <is>
          <t>A-1-03</t>
        </is>
      </c>
      <c r="B340" s="99" t="inlineStr">
        <is>
          <t>A</t>
        </is>
      </c>
      <c r="C340" s="99" t="inlineStr">
        <is>
          <t>1</t>
        </is>
      </c>
      <c r="D340" s="99" t="n">
        <v>3</v>
      </c>
      <c r="E340" s="99" t="inlineStr">
        <is>
          <t>TU-A2</t>
        </is>
      </c>
      <c r="F340" s="99" t="inlineStr">
        <is>
          <t>TU-A2/S1</t>
        </is>
      </c>
      <c r="G340" s="99" t="n">
        <v>3</v>
      </c>
      <c r="H340" s="99" t="inlineStr">
        <is>
          <t>TR-A1</t>
        </is>
      </c>
      <c r="I340" s="99" t="n">
        <v>1</v>
      </c>
      <c r="J340" s="99" t="inlineStr">
        <is>
          <t>Ống 1 Xanh dương / Xanh dương</t>
        </is>
      </c>
      <c r="K340" s="99" t="inlineStr">
        <is>
          <t>S4-01</t>
        </is>
      </c>
      <c r="L340" s="99" t="inlineStr">
        <is>
          <t>A-1</t>
        </is>
      </c>
      <c r="M340" s="99" t="inlineStr">
        <is>
          <t>PON-01</t>
        </is>
      </c>
      <c r="N340" s="99" t="inlineStr">
        <is>
          <t>Chưa lắp</t>
        </is>
      </c>
      <c r="O340" s="149" t="n"/>
      <c r="P340" s="150" t="n"/>
      <c r="Q340" s="13">
        <f>M340&amp;" &gt; P96#"&amp;U340&amp;" &gt; "&amp;K340&amp;" &gt; P96#"&amp;L340&amp;" &gt; "&amp;R340&amp;" "&amp;S340&amp;" "&amp;T340&amp;" &gt; "&amp;H340&amp;"#"&amp;I340&amp;" &gt; "&amp;F340&amp;" p"&amp;G340</f>
        <v/>
      </c>
      <c r="R340" s="9" t="inlineStr">
        <is>
          <t>ODF-02</t>
        </is>
      </c>
      <c r="S340" s="9" t="inlineStr">
        <is>
          <t>Trái</t>
        </is>
      </c>
      <c r="T340" s="9" t="inlineStr">
        <is>
          <t>H1-C1</t>
        </is>
      </c>
      <c r="U340" s="9" t="inlineStr">
        <is>
          <t>A-37</t>
        </is>
      </c>
    </row>
    <row r="341">
      <c r="A341" s="149" t="inlineStr">
        <is>
          <t>A-1-04</t>
        </is>
      </c>
      <c r="B341" s="99" t="inlineStr">
        <is>
          <t>A</t>
        </is>
      </c>
      <c r="C341" s="99" t="inlineStr">
        <is>
          <t>1</t>
        </is>
      </c>
      <c r="D341" s="99" t="n">
        <v>4</v>
      </c>
      <c r="E341" s="99" t="inlineStr">
        <is>
          <t>TU-A2</t>
        </is>
      </c>
      <c r="F341" s="99" t="inlineStr">
        <is>
          <t>TU-A2/S1</t>
        </is>
      </c>
      <c r="G341" s="99" t="n">
        <v>4</v>
      </c>
      <c r="H341" s="99" t="inlineStr">
        <is>
          <t>TR-A1</t>
        </is>
      </c>
      <c r="I341" s="99" t="n">
        <v>1</v>
      </c>
      <c r="J341" s="99" t="inlineStr">
        <is>
          <t>Ống 1 Xanh dương / Xanh dương</t>
        </is>
      </c>
      <c r="K341" s="99" t="inlineStr">
        <is>
          <t>S4-01</t>
        </is>
      </c>
      <c r="L341" s="99" t="inlineStr">
        <is>
          <t>A-1</t>
        </is>
      </c>
      <c r="M341" s="99" t="inlineStr">
        <is>
          <t>PON-01</t>
        </is>
      </c>
      <c r="N341" s="99" t="inlineStr">
        <is>
          <t>Chưa lắp</t>
        </is>
      </c>
      <c r="O341" s="149" t="n"/>
      <c r="P341" s="150" t="n"/>
      <c r="Q341" s="13">
        <f>M341&amp;" &gt; P96#"&amp;U341&amp;" &gt; "&amp;K341&amp;" &gt; P96#"&amp;L341&amp;" &gt; "&amp;R341&amp;" "&amp;S341&amp;" "&amp;T341&amp;" &gt; "&amp;H341&amp;"#"&amp;I341&amp;" &gt; "&amp;F341&amp;" p"&amp;G341</f>
        <v/>
      </c>
      <c r="R341" s="9" t="inlineStr">
        <is>
          <t>ODF-02</t>
        </is>
      </c>
      <c r="S341" s="9" t="inlineStr">
        <is>
          <t>Trái</t>
        </is>
      </c>
      <c r="T341" s="9" t="inlineStr">
        <is>
          <t>H1-C1</t>
        </is>
      </c>
      <c r="U341" s="9" t="inlineStr">
        <is>
          <t>A-37</t>
        </is>
      </c>
    </row>
    <row r="342">
      <c r="A342" s="149" t="inlineStr">
        <is>
          <t>A-1-05</t>
        </is>
      </c>
      <c r="B342" s="99" t="inlineStr">
        <is>
          <t>A</t>
        </is>
      </c>
      <c r="C342" s="99" t="inlineStr">
        <is>
          <t>1</t>
        </is>
      </c>
      <c r="D342" s="99" t="n">
        <v>5</v>
      </c>
      <c r="E342" s="99" t="inlineStr">
        <is>
          <t>TU-A2</t>
        </is>
      </c>
      <c r="F342" s="99" t="inlineStr">
        <is>
          <t>TU-A2/S1</t>
        </is>
      </c>
      <c r="G342" s="99" t="n">
        <v>5</v>
      </c>
      <c r="H342" s="99" t="inlineStr">
        <is>
          <t>TR-A1</t>
        </is>
      </c>
      <c r="I342" s="99" t="n">
        <v>1</v>
      </c>
      <c r="J342" s="99" t="inlineStr">
        <is>
          <t>Ống 1 Xanh dương / Xanh dương</t>
        </is>
      </c>
      <c r="K342" s="99" t="inlineStr">
        <is>
          <t>S4-01</t>
        </is>
      </c>
      <c r="L342" s="99" t="inlineStr">
        <is>
          <t>A-1</t>
        </is>
      </c>
      <c r="M342" s="99" t="inlineStr">
        <is>
          <t>PON-01</t>
        </is>
      </c>
      <c r="N342" s="99" t="inlineStr">
        <is>
          <t>Chưa lắp</t>
        </is>
      </c>
      <c r="O342" s="149" t="n"/>
      <c r="P342" s="150" t="n"/>
      <c r="Q342" s="13">
        <f>M342&amp;" &gt; P96#"&amp;U342&amp;" &gt; "&amp;K342&amp;" &gt; P96#"&amp;L342&amp;" &gt; "&amp;R342&amp;" "&amp;S342&amp;" "&amp;T342&amp;" &gt; "&amp;H342&amp;"#"&amp;I342&amp;" &gt; "&amp;F342&amp;" p"&amp;G342</f>
        <v/>
      </c>
      <c r="R342" s="9" t="inlineStr">
        <is>
          <t>ODF-02</t>
        </is>
      </c>
      <c r="S342" s="9" t="inlineStr">
        <is>
          <t>Trái</t>
        </is>
      </c>
      <c r="T342" s="9" t="inlineStr">
        <is>
          <t>H1-C1</t>
        </is>
      </c>
      <c r="U342" s="9" t="inlineStr">
        <is>
          <t>A-37</t>
        </is>
      </c>
    </row>
    <row r="343">
      <c r="A343" s="149" t="inlineStr">
        <is>
          <t>A-1-06</t>
        </is>
      </c>
      <c r="B343" s="99" t="inlineStr">
        <is>
          <t>A</t>
        </is>
      </c>
      <c r="C343" s="99" t="inlineStr">
        <is>
          <t>1</t>
        </is>
      </c>
      <c r="D343" s="99" t="n">
        <v>6</v>
      </c>
      <c r="E343" s="99" t="inlineStr">
        <is>
          <t>TU-A2</t>
        </is>
      </c>
      <c r="F343" s="99" t="inlineStr">
        <is>
          <t>TU-A2/S1</t>
        </is>
      </c>
      <c r="G343" s="99" t="n">
        <v>6</v>
      </c>
      <c r="H343" s="99" t="inlineStr">
        <is>
          <t>TR-A1</t>
        </is>
      </c>
      <c r="I343" s="99" t="n">
        <v>1</v>
      </c>
      <c r="J343" s="99" t="inlineStr">
        <is>
          <t>Ống 1 Xanh dương / Xanh dương</t>
        </is>
      </c>
      <c r="K343" s="99" t="inlineStr">
        <is>
          <t>S4-01</t>
        </is>
      </c>
      <c r="L343" s="99" t="inlineStr">
        <is>
          <t>A-1</t>
        </is>
      </c>
      <c r="M343" s="99" t="inlineStr">
        <is>
          <t>PON-01</t>
        </is>
      </c>
      <c r="N343" s="99" t="inlineStr">
        <is>
          <t>Chưa lắp</t>
        </is>
      </c>
      <c r="O343" s="149" t="n"/>
      <c r="P343" s="150" t="n"/>
      <c r="Q343" s="13">
        <f>M343&amp;" &gt; P96#"&amp;U343&amp;" &gt; "&amp;K343&amp;" &gt; P96#"&amp;L343&amp;" &gt; "&amp;R343&amp;" "&amp;S343&amp;" "&amp;T343&amp;" &gt; "&amp;H343&amp;"#"&amp;I343&amp;" &gt; "&amp;F343&amp;" p"&amp;G343</f>
        <v/>
      </c>
      <c r="R343" s="9" t="inlineStr">
        <is>
          <t>ODF-02</t>
        </is>
      </c>
      <c r="S343" s="9" t="inlineStr">
        <is>
          <t>Trái</t>
        </is>
      </c>
      <c r="T343" s="9" t="inlineStr">
        <is>
          <t>H1-C1</t>
        </is>
      </c>
      <c r="U343" s="9" t="inlineStr">
        <is>
          <t>A-37</t>
        </is>
      </c>
    </row>
    <row r="344">
      <c r="A344" s="149" t="inlineStr">
        <is>
          <t>A-1-07</t>
        </is>
      </c>
      <c r="B344" s="99" t="inlineStr">
        <is>
          <t>A</t>
        </is>
      </c>
      <c r="C344" s="99" t="inlineStr">
        <is>
          <t>1</t>
        </is>
      </c>
      <c r="D344" s="99" t="n">
        <v>7</v>
      </c>
      <c r="E344" s="99" t="inlineStr">
        <is>
          <t>TU-A2</t>
        </is>
      </c>
      <c r="F344" s="99" t="inlineStr">
        <is>
          <t>TU-A2/S1</t>
        </is>
      </c>
      <c r="G344" s="99" t="n">
        <v>7</v>
      </c>
      <c r="H344" s="99" t="inlineStr">
        <is>
          <t>TR-A1</t>
        </is>
      </c>
      <c r="I344" s="99" t="n">
        <v>1</v>
      </c>
      <c r="J344" s="99" t="inlineStr">
        <is>
          <t>Ống 1 Xanh dương / Xanh dương</t>
        </is>
      </c>
      <c r="K344" s="99" t="inlineStr">
        <is>
          <t>S4-01</t>
        </is>
      </c>
      <c r="L344" s="99" t="inlineStr">
        <is>
          <t>A-1</t>
        </is>
      </c>
      <c r="M344" s="99" t="inlineStr">
        <is>
          <t>PON-01</t>
        </is>
      </c>
      <c r="N344" s="99" t="inlineStr">
        <is>
          <t>Chưa lắp</t>
        </is>
      </c>
      <c r="O344" s="149" t="n"/>
      <c r="P344" s="150" t="n"/>
      <c r="Q344" s="13">
        <f>M344&amp;" &gt; P96#"&amp;U344&amp;" &gt; "&amp;K344&amp;" &gt; P96#"&amp;L344&amp;" &gt; "&amp;R344&amp;" "&amp;S344&amp;" "&amp;T344&amp;" &gt; "&amp;H344&amp;"#"&amp;I344&amp;" &gt; "&amp;F344&amp;" p"&amp;G344</f>
        <v/>
      </c>
      <c r="R344" s="9" t="inlineStr">
        <is>
          <t>ODF-02</t>
        </is>
      </c>
      <c r="S344" s="9" t="inlineStr">
        <is>
          <t>Trái</t>
        </is>
      </c>
      <c r="T344" s="9" t="inlineStr">
        <is>
          <t>H1-C1</t>
        </is>
      </c>
      <c r="U344" s="9" t="inlineStr">
        <is>
          <t>A-37</t>
        </is>
      </c>
    </row>
    <row r="345">
      <c r="A345" s="149" t="inlineStr">
        <is>
          <t>A-1-08</t>
        </is>
      </c>
      <c r="B345" s="99" t="inlineStr">
        <is>
          <t>A</t>
        </is>
      </c>
      <c r="C345" s="99" t="inlineStr">
        <is>
          <t>1</t>
        </is>
      </c>
      <c r="D345" s="99" t="n">
        <v>8</v>
      </c>
      <c r="E345" s="99" t="inlineStr">
        <is>
          <t>TU-A2</t>
        </is>
      </c>
      <c r="F345" s="99" t="inlineStr">
        <is>
          <t>TU-A2/S1</t>
        </is>
      </c>
      <c r="G345" s="99" t="n">
        <v>8</v>
      </c>
      <c r="H345" s="99" t="inlineStr">
        <is>
          <t>TR-A1</t>
        </is>
      </c>
      <c r="I345" s="99" t="n">
        <v>1</v>
      </c>
      <c r="J345" s="99" t="inlineStr">
        <is>
          <t>Ống 1 Xanh dương / Xanh dương</t>
        </is>
      </c>
      <c r="K345" s="99" t="inlineStr">
        <is>
          <t>S4-01</t>
        </is>
      </c>
      <c r="L345" s="99" t="inlineStr">
        <is>
          <t>A-1</t>
        </is>
      </c>
      <c r="M345" s="99" t="inlineStr">
        <is>
          <t>PON-01</t>
        </is>
      </c>
      <c r="N345" s="99" t="inlineStr">
        <is>
          <t>Chưa lắp</t>
        </is>
      </c>
      <c r="O345" s="149" t="n"/>
      <c r="P345" s="150" t="n"/>
      <c r="Q345" s="13">
        <f>M345&amp;" &gt; P96#"&amp;U345&amp;" &gt; "&amp;K345&amp;" &gt; P96#"&amp;L345&amp;" &gt; "&amp;R345&amp;" "&amp;S345&amp;" "&amp;T345&amp;" &gt; "&amp;H345&amp;"#"&amp;I345&amp;" &gt; "&amp;F345&amp;" p"&amp;G345</f>
        <v/>
      </c>
      <c r="R345" s="9" t="inlineStr">
        <is>
          <t>ODF-02</t>
        </is>
      </c>
      <c r="S345" s="9" t="inlineStr">
        <is>
          <t>Trái</t>
        </is>
      </c>
      <c r="T345" s="9" t="inlineStr">
        <is>
          <t>H1-C1</t>
        </is>
      </c>
      <c r="U345" s="9" t="inlineStr">
        <is>
          <t>A-37</t>
        </is>
      </c>
    </row>
    <row r="346">
      <c r="A346" s="149" t="inlineStr">
        <is>
          <t>A-1-09</t>
        </is>
      </c>
      <c r="B346" s="99" t="inlineStr">
        <is>
          <t>A</t>
        </is>
      </c>
      <c r="C346" s="99" t="inlineStr">
        <is>
          <t>1</t>
        </is>
      </c>
      <c r="D346" s="99" t="n">
        <v>9</v>
      </c>
      <c r="E346" s="99" t="inlineStr">
        <is>
          <t>TU-A2</t>
        </is>
      </c>
      <c r="F346" s="99" t="inlineStr">
        <is>
          <t>TU-A2/S1</t>
        </is>
      </c>
      <c r="G346" s="99" t="n">
        <v>9</v>
      </c>
      <c r="H346" s="99" t="inlineStr">
        <is>
          <t>TR-A1</t>
        </is>
      </c>
      <c r="I346" s="99" t="n">
        <v>1</v>
      </c>
      <c r="J346" s="99" t="inlineStr">
        <is>
          <t>Ống 1 Xanh dương / Xanh dương</t>
        </is>
      </c>
      <c r="K346" s="99" t="inlineStr">
        <is>
          <t>S4-01</t>
        </is>
      </c>
      <c r="L346" s="99" t="inlineStr">
        <is>
          <t>A-1</t>
        </is>
      </c>
      <c r="M346" s="99" t="inlineStr">
        <is>
          <t>PON-01</t>
        </is>
      </c>
      <c r="N346" s="99" t="inlineStr">
        <is>
          <t>Chưa lắp</t>
        </is>
      </c>
      <c r="O346" s="149" t="n"/>
      <c r="P346" s="150" t="n"/>
      <c r="Q346" s="13">
        <f>M346&amp;" &gt; P96#"&amp;U346&amp;" &gt; "&amp;K346&amp;" &gt; P96#"&amp;L346&amp;" &gt; "&amp;R346&amp;" "&amp;S346&amp;" "&amp;T346&amp;" &gt; "&amp;H346&amp;"#"&amp;I346&amp;" &gt; "&amp;F346&amp;" p"&amp;G346</f>
        <v/>
      </c>
      <c r="R346" s="9" t="inlineStr">
        <is>
          <t>ODF-02</t>
        </is>
      </c>
      <c r="S346" s="9" t="inlineStr">
        <is>
          <t>Trái</t>
        </is>
      </c>
      <c r="T346" s="9" t="inlineStr">
        <is>
          <t>H1-C1</t>
        </is>
      </c>
      <c r="U346" s="9" t="inlineStr">
        <is>
          <t>A-37</t>
        </is>
      </c>
    </row>
    <row r="347">
      <c r="A347" s="149" t="inlineStr">
        <is>
          <t>A-1-10</t>
        </is>
      </c>
      <c r="B347" s="99" t="inlineStr">
        <is>
          <t>A</t>
        </is>
      </c>
      <c r="C347" s="99" t="inlineStr">
        <is>
          <t>1</t>
        </is>
      </c>
      <c r="D347" s="99" t="n">
        <v>10</v>
      </c>
      <c r="E347" s="99" t="inlineStr">
        <is>
          <t>TU-A2</t>
        </is>
      </c>
      <c r="F347" s="99" t="inlineStr">
        <is>
          <t>TU-A2/S1</t>
        </is>
      </c>
      <c r="G347" s="99" t="n">
        <v>10</v>
      </c>
      <c r="H347" s="99" t="inlineStr">
        <is>
          <t>TR-A1</t>
        </is>
      </c>
      <c r="I347" s="99" t="n">
        <v>1</v>
      </c>
      <c r="J347" s="99" t="inlineStr">
        <is>
          <t>Ống 1 Xanh dương / Xanh dương</t>
        </is>
      </c>
      <c r="K347" s="99" t="inlineStr">
        <is>
          <t>S4-01</t>
        </is>
      </c>
      <c r="L347" s="99" t="inlineStr">
        <is>
          <t>A-1</t>
        </is>
      </c>
      <c r="M347" s="99" t="inlineStr">
        <is>
          <t>PON-01</t>
        </is>
      </c>
      <c r="N347" s="99" t="inlineStr">
        <is>
          <t>Chưa lắp</t>
        </is>
      </c>
      <c r="O347" s="149" t="n"/>
      <c r="P347" s="150" t="n"/>
      <c r="Q347" s="13">
        <f>M347&amp;" &gt; P96#"&amp;U347&amp;" &gt; "&amp;K347&amp;" &gt; P96#"&amp;L347&amp;" &gt; "&amp;R347&amp;" "&amp;S347&amp;" "&amp;T347&amp;" &gt; "&amp;H347&amp;"#"&amp;I347&amp;" &gt; "&amp;F347&amp;" p"&amp;G347</f>
        <v/>
      </c>
      <c r="R347" s="9" t="inlineStr">
        <is>
          <t>ODF-02</t>
        </is>
      </c>
      <c r="S347" s="9" t="inlineStr">
        <is>
          <t>Trái</t>
        </is>
      </c>
      <c r="T347" s="9" t="inlineStr">
        <is>
          <t>H1-C1</t>
        </is>
      </c>
      <c r="U347" s="9" t="inlineStr">
        <is>
          <t>A-37</t>
        </is>
      </c>
    </row>
    <row r="348">
      <c r="A348" s="149" t="inlineStr">
        <is>
          <t>A-1-11</t>
        </is>
      </c>
      <c r="B348" s="99" t="inlineStr">
        <is>
          <t>A</t>
        </is>
      </c>
      <c r="C348" s="99" t="inlineStr">
        <is>
          <t>1</t>
        </is>
      </c>
      <c r="D348" s="99" t="n">
        <v>11</v>
      </c>
      <c r="E348" s="99" t="inlineStr">
        <is>
          <t>TU-A2</t>
        </is>
      </c>
      <c r="F348" s="99" t="inlineStr">
        <is>
          <t>TU-A2/S1</t>
        </is>
      </c>
      <c r="G348" s="99" t="n">
        <v>11</v>
      </c>
      <c r="H348" s="99" t="inlineStr">
        <is>
          <t>TR-A1</t>
        </is>
      </c>
      <c r="I348" s="99" t="n">
        <v>1</v>
      </c>
      <c r="J348" s="99" t="inlineStr">
        <is>
          <t>Ống 1 Xanh dương / Xanh dương</t>
        </is>
      </c>
      <c r="K348" s="99" t="inlineStr">
        <is>
          <t>S4-01</t>
        </is>
      </c>
      <c r="L348" s="99" t="inlineStr">
        <is>
          <t>A-1</t>
        </is>
      </c>
      <c r="M348" s="99" t="inlineStr">
        <is>
          <t>PON-01</t>
        </is>
      </c>
      <c r="N348" s="99" t="inlineStr">
        <is>
          <t>Chưa lắp</t>
        </is>
      </c>
      <c r="O348" s="149" t="n"/>
      <c r="P348" s="150" t="n"/>
      <c r="Q348" s="13">
        <f>M348&amp;" &gt; P96#"&amp;U348&amp;" &gt; "&amp;K348&amp;" &gt; P96#"&amp;L348&amp;" &gt; "&amp;R348&amp;" "&amp;S348&amp;" "&amp;T348&amp;" &gt; "&amp;H348&amp;"#"&amp;I348&amp;" &gt; "&amp;F348&amp;" p"&amp;G348</f>
        <v/>
      </c>
      <c r="R348" s="9" t="inlineStr">
        <is>
          <t>ODF-02</t>
        </is>
      </c>
      <c r="S348" s="9" t="inlineStr">
        <is>
          <t>Trái</t>
        </is>
      </c>
      <c r="T348" s="9" t="inlineStr">
        <is>
          <t>H1-C1</t>
        </is>
      </c>
      <c r="U348" s="9" t="inlineStr">
        <is>
          <t>A-37</t>
        </is>
      </c>
    </row>
    <row r="349">
      <c r="A349" s="149" t="inlineStr">
        <is>
          <t>A-1-12</t>
        </is>
      </c>
      <c r="B349" s="99" t="inlineStr">
        <is>
          <t>A</t>
        </is>
      </c>
      <c r="C349" s="99" t="inlineStr">
        <is>
          <t>1</t>
        </is>
      </c>
      <c r="D349" s="99" t="n">
        <v>12</v>
      </c>
      <c r="E349" s="99" t="inlineStr">
        <is>
          <t>TU-A2</t>
        </is>
      </c>
      <c r="F349" s="99" t="inlineStr">
        <is>
          <t>TU-A2/S1</t>
        </is>
      </c>
      <c r="G349" s="99" t="n">
        <v>12</v>
      </c>
      <c r="H349" s="99" t="inlineStr">
        <is>
          <t>TR-A1</t>
        </is>
      </c>
      <c r="I349" s="99" t="n">
        <v>1</v>
      </c>
      <c r="J349" s="99" t="inlineStr">
        <is>
          <t>Ống 1 Xanh dương / Xanh dương</t>
        </is>
      </c>
      <c r="K349" s="99" t="inlineStr">
        <is>
          <t>S4-01</t>
        </is>
      </c>
      <c r="L349" s="99" t="inlineStr">
        <is>
          <t>A-1</t>
        </is>
      </c>
      <c r="M349" s="99" t="inlineStr">
        <is>
          <t>PON-01</t>
        </is>
      </c>
      <c r="N349" s="99" t="inlineStr">
        <is>
          <t>Chưa lắp</t>
        </is>
      </c>
      <c r="O349" s="149" t="n"/>
      <c r="P349" s="150" t="n"/>
      <c r="Q349" s="13">
        <f>M349&amp;" &gt; P96#"&amp;U349&amp;" &gt; "&amp;K349&amp;" &gt; P96#"&amp;L349&amp;" &gt; "&amp;R349&amp;" "&amp;S349&amp;" "&amp;T349&amp;" &gt; "&amp;H349&amp;"#"&amp;I349&amp;" &gt; "&amp;F349&amp;" p"&amp;G349</f>
        <v/>
      </c>
      <c r="R349" s="9" t="inlineStr">
        <is>
          <t>ODF-02</t>
        </is>
      </c>
      <c r="S349" s="9" t="inlineStr">
        <is>
          <t>Trái</t>
        </is>
      </c>
      <c r="T349" s="9" t="inlineStr">
        <is>
          <t>H1-C1</t>
        </is>
      </c>
      <c r="U349" s="9" t="inlineStr">
        <is>
          <t>A-37</t>
        </is>
      </c>
    </row>
    <row r="350">
      <c r="A350" s="149" t="inlineStr">
        <is>
          <t>B-23-01</t>
        </is>
      </c>
      <c r="B350" s="99" t="inlineStr">
        <is>
          <t>B</t>
        </is>
      </c>
      <c r="C350" s="99" t="inlineStr">
        <is>
          <t>23</t>
        </is>
      </c>
      <c r="D350" s="99" t="n">
        <v>1</v>
      </c>
      <c r="E350" s="99" t="inlineStr">
        <is>
          <t>TU-B23</t>
        </is>
      </c>
      <c r="F350" s="99" t="inlineStr">
        <is>
          <t>TU-B23/S2</t>
        </is>
      </c>
      <c r="G350" s="99" t="n">
        <v>1</v>
      </c>
      <c r="H350" s="99" t="inlineStr">
        <is>
          <t>TR-B3</t>
        </is>
      </c>
      <c r="I350" s="99" t="n">
        <v>18</v>
      </c>
      <c r="J350" s="99" t="inlineStr">
        <is>
          <t>Ống 3 Xanh lá / Trắng</t>
        </is>
      </c>
      <c r="K350" s="99" t="inlineStr">
        <is>
          <t>S4-16</t>
        </is>
      </c>
      <c r="L350" s="99" t="inlineStr">
        <is>
          <t>B-32</t>
        </is>
      </c>
      <c r="M350" s="99" t="inlineStr">
        <is>
          <t>PON-16</t>
        </is>
      </c>
      <c r="N350" s="99" t="inlineStr">
        <is>
          <t>Chưa lắp</t>
        </is>
      </c>
      <c r="O350" s="149" t="n"/>
      <c r="P350" s="150" t="n"/>
      <c r="Q350" s="13">
        <f>M350&amp;" &gt; P96#"&amp;U350&amp;" &gt; "&amp;K350&amp;" &gt; P96#"&amp;L350&amp;" &gt; "&amp;R350&amp;" "&amp;S350&amp;" "&amp;T350&amp;" &gt; "&amp;H350&amp;"#"&amp;I350&amp;" &gt; "&amp;F350&amp;" p"&amp;G350</f>
        <v/>
      </c>
      <c r="R350" s="9" t="inlineStr">
        <is>
          <t>ODF-17/18</t>
        </is>
      </c>
      <c r="S350" s="9" t="inlineStr">
        <is>
          <t>Phải</t>
        </is>
      </c>
      <c r="T350" s="9" t="inlineStr">
        <is>
          <t>H3-C6</t>
        </is>
      </c>
      <c r="U350" s="9" t="inlineStr">
        <is>
          <t>B-44</t>
        </is>
      </c>
    </row>
    <row r="351">
      <c r="A351" s="149" t="inlineStr">
        <is>
          <t>B-23-02</t>
        </is>
      </c>
      <c r="B351" s="99" t="inlineStr">
        <is>
          <t>B</t>
        </is>
      </c>
      <c r="C351" s="99" t="inlineStr">
        <is>
          <t>23</t>
        </is>
      </c>
      <c r="D351" s="99" t="n">
        <v>2</v>
      </c>
      <c r="E351" s="99" t="inlineStr">
        <is>
          <t>TU-B23</t>
        </is>
      </c>
      <c r="F351" s="99" t="inlineStr">
        <is>
          <t>TU-B23/S2</t>
        </is>
      </c>
      <c r="G351" s="99" t="n">
        <v>2</v>
      </c>
      <c r="H351" s="99" t="inlineStr">
        <is>
          <t>TR-B3</t>
        </is>
      </c>
      <c r="I351" s="99" t="n">
        <v>18</v>
      </c>
      <c r="J351" s="99" t="inlineStr">
        <is>
          <t>Ống 3 Xanh lá / Trắng</t>
        </is>
      </c>
      <c r="K351" s="99" t="inlineStr">
        <is>
          <t>S4-16</t>
        </is>
      </c>
      <c r="L351" s="99" t="inlineStr">
        <is>
          <t>B-32</t>
        </is>
      </c>
      <c r="M351" s="99" t="inlineStr">
        <is>
          <t>PON-16</t>
        </is>
      </c>
      <c r="N351" s="99" t="inlineStr">
        <is>
          <t>Chưa lắp</t>
        </is>
      </c>
      <c r="O351" s="149" t="n"/>
      <c r="P351" s="150" t="n"/>
      <c r="Q351" s="13">
        <f>M351&amp;" &gt; P96#"&amp;U351&amp;" &gt; "&amp;K351&amp;" &gt; P96#"&amp;L351&amp;" &gt; "&amp;R351&amp;" "&amp;S351&amp;" "&amp;T351&amp;" &gt; "&amp;H351&amp;"#"&amp;I351&amp;" &gt; "&amp;F351&amp;" p"&amp;G351</f>
        <v/>
      </c>
      <c r="R351" s="9" t="inlineStr">
        <is>
          <t>ODF-17/18</t>
        </is>
      </c>
      <c r="S351" s="9" t="inlineStr">
        <is>
          <t>Phải</t>
        </is>
      </c>
      <c r="T351" s="9" t="inlineStr">
        <is>
          <t>H3-C6</t>
        </is>
      </c>
      <c r="U351" s="9" t="inlineStr">
        <is>
          <t>B-44</t>
        </is>
      </c>
    </row>
    <row r="352">
      <c r="A352" s="151" t="inlineStr">
        <is>
          <t>B-23-03</t>
        </is>
      </c>
      <c r="B352" s="102" t="inlineStr">
        <is>
          <t>B</t>
        </is>
      </c>
      <c r="C352" s="102" t="inlineStr">
        <is>
          <t>23</t>
        </is>
      </c>
      <c r="D352" s="102" t="n">
        <v>3</v>
      </c>
      <c r="E352" s="102" t="inlineStr">
        <is>
          <t>TU-B23</t>
        </is>
      </c>
      <c r="F352" s="102" t="inlineStr">
        <is>
          <t>TU-B23/S2</t>
        </is>
      </c>
      <c r="G352" s="102" t="n">
        <v>3</v>
      </c>
      <c r="H352" s="102" t="inlineStr">
        <is>
          <t>TR-B3</t>
        </is>
      </c>
      <c r="I352" s="102" t="n">
        <v>18</v>
      </c>
      <c r="J352" s="102" t="inlineStr">
        <is>
          <t>Ống 3 Xanh lá / Trắng</t>
        </is>
      </c>
      <c r="K352" s="102" t="inlineStr">
        <is>
          <t>S4-16</t>
        </is>
      </c>
      <c r="L352" s="102" t="inlineStr">
        <is>
          <t>B-32</t>
        </is>
      </c>
      <c r="M352" s="102" t="inlineStr">
        <is>
          <t>PON-16</t>
        </is>
      </c>
      <c r="N352" s="102" t="inlineStr">
        <is>
          <t>Chưa lắp</t>
        </is>
      </c>
      <c r="O352" s="151" t="n"/>
      <c r="P352" s="152" t="n"/>
      <c r="Q352" s="13">
        <f>M352&amp;" &gt; P96#"&amp;U352&amp;" &gt; "&amp;K352&amp;" &gt; P96#"&amp;L352&amp;" &gt; "&amp;R352&amp;" "&amp;S352&amp;" "&amp;T352&amp;" &gt; "&amp;H352&amp;"#"&amp;I352&amp;" &gt; "&amp;F352&amp;" p"&amp;G352</f>
        <v/>
      </c>
      <c r="R352" s="9" t="inlineStr">
        <is>
          <t>ODF-17/18</t>
        </is>
      </c>
      <c r="S352" s="9" t="inlineStr">
        <is>
          <t>Phải</t>
        </is>
      </c>
      <c r="T352" s="9" t="inlineStr">
        <is>
          <t>H3-C6</t>
        </is>
      </c>
      <c r="U352" s="9" t="inlineStr">
        <is>
          <t>B-44</t>
        </is>
      </c>
    </row>
    <row r="353">
      <c r="A353" s="151" t="inlineStr">
        <is>
          <t>B-23-04</t>
        </is>
      </c>
      <c r="B353" s="102" t="inlineStr">
        <is>
          <t>B</t>
        </is>
      </c>
      <c r="C353" s="102" t="inlineStr">
        <is>
          <t>23</t>
        </is>
      </c>
      <c r="D353" s="102" t="n">
        <v>4</v>
      </c>
      <c r="E353" s="102" t="inlineStr">
        <is>
          <t>TU-B23</t>
        </is>
      </c>
      <c r="F353" s="102" t="inlineStr">
        <is>
          <t>TU-B23/S2</t>
        </is>
      </c>
      <c r="G353" s="102" t="n">
        <v>4</v>
      </c>
      <c r="H353" s="102" t="inlineStr">
        <is>
          <t>TR-B3</t>
        </is>
      </c>
      <c r="I353" s="102" t="n">
        <v>18</v>
      </c>
      <c r="J353" s="102" t="inlineStr">
        <is>
          <t>Ống 3 Xanh lá / Trắng</t>
        </is>
      </c>
      <c r="K353" s="102" t="inlineStr">
        <is>
          <t>S4-16</t>
        </is>
      </c>
      <c r="L353" s="102" t="inlineStr">
        <is>
          <t>B-32</t>
        </is>
      </c>
      <c r="M353" s="102" t="inlineStr">
        <is>
          <t>PON-16</t>
        </is>
      </c>
      <c r="N353" s="102" t="inlineStr">
        <is>
          <t>Chưa lắp</t>
        </is>
      </c>
      <c r="O353" s="151" t="n"/>
      <c r="P353" s="152" t="n"/>
      <c r="Q353" s="13">
        <f>M353&amp;" &gt; P96#"&amp;U353&amp;" &gt; "&amp;K353&amp;" &gt; P96#"&amp;L353&amp;" &gt; "&amp;R353&amp;" "&amp;S353&amp;" "&amp;T353&amp;" &gt; "&amp;H353&amp;"#"&amp;I353&amp;" &gt; "&amp;F353&amp;" p"&amp;G353</f>
        <v/>
      </c>
      <c r="R353" s="9" t="inlineStr">
        <is>
          <t>ODF-17/18</t>
        </is>
      </c>
      <c r="S353" s="9" t="inlineStr">
        <is>
          <t>Phải</t>
        </is>
      </c>
      <c r="T353" s="9" t="inlineStr">
        <is>
          <t>H3-C6</t>
        </is>
      </c>
      <c r="U353" s="9" t="inlineStr">
        <is>
          <t>B-44</t>
        </is>
      </c>
    </row>
    <row r="354">
      <c r="A354" s="151" t="inlineStr">
        <is>
          <t>B-23-05</t>
        </is>
      </c>
      <c r="B354" s="102" t="inlineStr">
        <is>
          <t>B</t>
        </is>
      </c>
      <c r="C354" s="102" t="inlineStr">
        <is>
          <t>23</t>
        </is>
      </c>
      <c r="D354" s="102" t="n">
        <v>5</v>
      </c>
      <c r="E354" s="102" t="inlineStr">
        <is>
          <t>TU-B23</t>
        </is>
      </c>
      <c r="F354" s="102" t="inlineStr">
        <is>
          <t>TU-B23/S2</t>
        </is>
      </c>
      <c r="G354" s="102" t="n">
        <v>5</v>
      </c>
      <c r="H354" s="102" t="inlineStr">
        <is>
          <t>TR-B3</t>
        </is>
      </c>
      <c r="I354" s="102" t="n">
        <v>18</v>
      </c>
      <c r="J354" s="102" t="inlineStr">
        <is>
          <t>Ống 3 Xanh lá / Trắng</t>
        </is>
      </c>
      <c r="K354" s="102" t="inlineStr">
        <is>
          <t>S4-16</t>
        </is>
      </c>
      <c r="L354" s="102" t="inlineStr">
        <is>
          <t>B-32</t>
        </is>
      </c>
      <c r="M354" s="102" t="inlineStr">
        <is>
          <t>PON-16</t>
        </is>
      </c>
      <c r="N354" s="102" t="inlineStr">
        <is>
          <t>Chưa lắp</t>
        </is>
      </c>
      <c r="O354" s="151" t="n"/>
      <c r="P354" s="152" t="n"/>
      <c r="Q354" s="13">
        <f>M354&amp;" &gt; P96#"&amp;U354&amp;" &gt; "&amp;K354&amp;" &gt; P96#"&amp;L354&amp;" &gt; "&amp;R354&amp;" "&amp;S354&amp;" "&amp;T354&amp;" &gt; "&amp;H354&amp;"#"&amp;I354&amp;" &gt; "&amp;F354&amp;" p"&amp;G354</f>
        <v/>
      </c>
      <c r="R354" s="9" t="inlineStr">
        <is>
          <t>ODF-17/18</t>
        </is>
      </c>
      <c r="S354" s="9" t="inlineStr">
        <is>
          <t>Phải</t>
        </is>
      </c>
      <c r="T354" s="9" t="inlineStr">
        <is>
          <t>H3-C6</t>
        </is>
      </c>
      <c r="U354" s="9" t="inlineStr">
        <is>
          <t>B-44</t>
        </is>
      </c>
    </row>
    <row r="355">
      <c r="A355" s="151" t="inlineStr">
        <is>
          <t>B-23-06</t>
        </is>
      </c>
      <c r="B355" s="102" t="inlineStr">
        <is>
          <t>B</t>
        </is>
      </c>
      <c r="C355" s="102" t="inlineStr">
        <is>
          <t>23</t>
        </is>
      </c>
      <c r="D355" s="102" t="n">
        <v>6</v>
      </c>
      <c r="E355" s="102" t="inlineStr">
        <is>
          <t>TU-B23</t>
        </is>
      </c>
      <c r="F355" s="102" t="inlineStr">
        <is>
          <t>TU-B23/S2</t>
        </is>
      </c>
      <c r="G355" s="102" t="n">
        <v>6</v>
      </c>
      <c r="H355" s="102" t="inlineStr">
        <is>
          <t>TR-B3</t>
        </is>
      </c>
      <c r="I355" s="102" t="n">
        <v>18</v>
      </c>
      <c r="J355" s="102" t="inlineStr">
        <is>
          <t>Ống 3 Xanh lá / Trắng</t>
        </is>
      </c>
      <c r="K355" s="102" t="inlineStr">
        <is>
          <t>S4-16</t>
        </is>
      </c>
      <c r="L355" s="102" t="inlineStr">
        <is>
          <t>B-32</t>
        </is>
      </c>
      <c r="M355" s="102" t="inlineStr">
        <is>
          <t>PON-16</t>
        </is>
      </c>
      <c r="N355" s="102" t="inlineStr">
        <is>
          <t>Chưa lắp</t>
        </is>
      </c>
      <c r="O355" s="151" t="n"/>
      <c r="P355" s="152" t="n"/>
      <c r="Q355" s="13">
        <f>M355&amp;" &gt; P96#"&amp;U355&amp;" &gt; "&amp;K355&amp;" &gt; P96#"&amp;L355&amp;" &gt; "&amp;R355&amp;" "&amp;S355&amp;" "&amp;T355&amp;" &gt; "&amp;H355&amp;"#"&amp;I355&amp;" &gt; "&amp;F355&amp;" p"&amp;G355</f>
        <v/>
      </c>
      <c r="R355" s="9" t="inlineStr">
        <is>
          <t>ODF-17/18</t>
        </is>
      </c>
      <c r="S355" s="9" t="inlineStr">
        <is>
          <t>Phải</t>
        </is>
      </c>
      <c r="T355" s="9" t="inlineStr">
        <is>
          <t>H3-C6</t>
        </is>
      </c>
      <c r="U355" s="9" t="inlineStr">
        <is>
          <t>B-44</t>
        </is>
      </c>
    </row>
    <row r="356">
      <c r="A356" s="151" t="inlineStr">
        <is>
          <t>B-23-07</t>
        </is>
      </c>
      <c r="B356" s="102" t="inlineStr">
        <is>
          <t>B</t>
        </is>
      </c>
      <c r="C356" s="102" t="inlineStr">
        <is>
          <t>23</t>
        </is>
      </c>
      <c r="D356" s="102" t="n">
        <v>7</v>
      </c>
      <c r="E356" s="102" t="inlineStr">
        <is>
          <t>TU-B23</t>
        </is>
      </c>
      <c r="F356" s="102" t="inlineStr">
        <is>
          <t>TU-B23/S2</t>
        </is>
      </c>
      <c r="G356" s="102" t="n">
        <v>7</v>
      </c>
      <c r="H356" s="102" t="inlineStr">
        <is>
          <t>TR-B3</t>
        </is>
      </c>
      <c r="I356" s="102" t="n">
        <v>18</v>
      </c>
      <c r="J356" s="102" t="inlineStr">
        <is>
          <t>Ống 3 Xanh lá / Trắng</t>
        </is>
      </c>
      <c r="K356" s="102" t="inlineStr">
        <is>
          <t>S4-16</t>
        </is>
      </c>
      <c r="L356" s="102" t="inlineStr">
        <is>
          <t>B-32</t>
        </is>
      </c>
      <c r="M356" s="102" t="inlineStr">
        <is>
          <t>PON-16</t>
        </is>
      </c>
      <c r="N356" s="102" t="inlineStr">
        <is>
          <t>Chưa lắp</t>
        </is>
      </c>
      <c r="O356" s="151" t="n"/>
      <c r="P356" s="152" t="n"/>
      <c r="Q356" s="13">
        <f>M356&amp;" &gt; P96#"&amp;U356&amp;" &gt; "&amp;K356&amp;" &gt; P96#"&amp;L356&amp;" &gt; "&amp;R356&amp;" "&amp;S356&amp;" "&amp;T356&amp;" &gt; "&amp;H356&amp;"#"&amp;I356&amp;" &gt; "&amp;F356&amp;" p"&amp;G356</f>
        <v/>
      </c>
      <c r="R356" s="9" t="inlineStr">
        <is>
          <t>ODF-17/18</t>
        </is>
      </c>
      <c r="S356" s="9" t="inlineStr">
        <is>
          <t>Phải</t>
        </is>
      </c>
      <c r="T356" s="9" t="inlineStr">
        <is>
          <t>H3-C6</t>
        </is>
      </c>
      <c r="U356" s="9" t="inlineStr">
        <is>
          <t>B-44</t>
        </is>
      </c>
    </row>
    <row r="357">
      <c r="A357" s="151" t="inlineStr">
        <is>
          <t>B-23-08</t>
        </is>
      </c>
      <c r="B357" s="102" t="inlineStr">
        <is>
          <t>B</t>
        </is>
      </c>
      <c r="C357" s="102" t="inlineStr">
        <is>
          <t>23</t>
        </is>
      </c>
      <c r="D357" s="102" t="n">
        <v>8</v>
      </c>
      <c r="E357" s="102" t="inlineStr">
        <is>
          <t>TU-B23</t>
        </is>
      </c>
      <c r="F357" s="102" t="inlineStr">
        <is>
          <t>TU-B23/S2</t>
        </is>
      </c>
      <c r="G357" s="102" t="n">
        <v>8</v>
      </c>
      <c r="H357" s="102" t="inlineStr">
        <is>
          <t>TR-B3</t>
        </is>
      </c>
      <c r="I357" s="102" t="n">
        <v>18</v>
      </c>
      <c r="J357" s="102" t="inlineStr">
        <is>
          <t>Ống 3 Xanh lá / Trắng</t>
        </is>
      </c>
      <c r="K357" s="102" t="inlineStr">
        <is>
          <t>S4-16</t>
        </is>
      </c>
      <c r="L357" s="102" t="inlineStr">
        <is>
          <t>B-32</t>
        </is>
      </c>
      <c r="M357" s="102" t="inlineStr">
        <is>
          <t>PON-16</t>
        </is>
      </c>
      <c r="N357" s="102" t="inlineStr">
        <is>
          <t>Chưa lắp</t>
        </is>
      </c>
      <c r="O357" s="151" t="n"/>
      <c r="P357" s="152" t="n"/>
      <c r="Q357" s="13">
        <f>M357&amp;" &gt; P96#"&amp;U357&amp;" &gt; "&amp;K357&amp;" &gt; P96#"&amp;L357&amp;" &gt; "&amp;R357&amp;" "&amp;S357&amp;" "&amp;T357&amp;" &gt; "&amp;H357&amp;"#"&amp;I357&amp;" &gt; "&amp;F357&amp;" p"&amp;G357</f>
        <v/>
      </c>
      <c r="R357" s="9" t="inlineStr">
        <is>
          <t>ODF-17/18</t>
        </is>
      </c>
      <c r="S357" s="9" t="inlineStr">
        <is>
          <t>Phải</t>
        </is>
      </c>
      <c r="T357" s="9" t="inlineStr">
        <is>
          <t>H3-C6</t>
        </is>
      </c>
      <c r="U357" s="9" t="inlineStr">
        <is>
          <t>B-44</t>
        </is>
      </c>
    </row>
    <row r="358">
      <c r="A358" s="151" t="inlineStr">
        <is>
          <t>B-23-09</t>
        </is>
      </c>
      <c r="B358" s="102" t="inlineStr">
        <is>
          <t>B</t>
        </is>
      </c>
      <c r="C358" s="102" t="inlineStr">
        <is>
          <t>23</t>
        </is>
      </c>
      <c r="D358" s="102" t="n">
        <v>9</v>
      </c>
      <c r="E358" s="102" t="inlineStr">
        <is>
          <t>TU-B23</t>
        </is>
      </c>
      <c r="F358" s="102" t="inlineStr">
        <is>
          <t>TU-B23/S2</t>
        </is>
      </c>
      <c r="G358" s="102" t="n">
        <v>9</v>
      </c>
      <c r="H358" s="102" t="inlineStr">
        <is>
          <t>TR-B3</t>
        </is>
      </c>
      <c r="I358" s="102" t="n">
        <v>18</v>
      </c>
      <c r="J358" s="102" t="inlineStr">
        <is>
          <t>Ống 3 Xanh lá / Trắng</t>
        </is>
      </c>
      <c r="K358" s="102" t="inlineStr">
        <is>
          <t>S4-16</t>
        </is>
      </c>
      <c r="L358" s="102" t="inlineStr">
        <is>
          <t>B-32</t>
        </is>
      </c>
      <c r="M358" s="102" t="inlineStr">
        <is>
          <t>PON-16</t>
        </is>
      </c>
      <c r="N358" s="102" t="inlineStr">
        <is>
          <t>Chưa lắp</t>
        </is>
      </c>
      <c r="O358" s="151" t="n"/>
      <c r="P358" s="152" t="n"/>
      <c r="Q358" s="13">
        <f>M358&amp;" &gt; P96#"&amp;U358&amp;" &gt; "&amp;K358&amp;" &gt; P96#"&amp;L358&amp;" &gt; "&amp;R358&amp;" "&amp;S358&amp;" "&amp;T358&amp;" &gt; "&amp;H358&amp;"#"&amp;I358&amp;" &gt; "&amp;F358&amp;" p"&amp;G358</f>
        <v/>
      </c>
      <c r="R358" s="9" t="inlineStr">
        <is>
          <t>ODF-17/18</t>
        </is>
      </c>
      <c r="S358" s="9" t="inlineStr">
        <is>
          <t>Phải</t>
        </is>
      </c>
      <c r="T358" s="9" t="inlineStr">
        <is>
          <t>H3-C6</t>
        </is>
      </c>
      <c r="U358" s="9" t="inlineStr">
        <is>
          <t>B-44</t>
        </is>
      </c>
    </row>
    <row r="359">
      <c r="A359" s="151" t="inlineStr">
        <is>
          <t>B-23-10</t>
        </is>
      </c>
      <c r="B359" s="102" t="inlineStr">
        <is>
          <t>B</t>
        </is>
      </c>
      <c r="C359" s="102" t="inlineStr">
        <is>
          <t>23</t>
        </is>
      </c>
      <c r="D359" s="102" t="n">
        <v>10</v>
      </c>
      <c r="E359" s="102" t="inlineStr">
        <is>
          <t>TU-B23</t>
        </is>
      </c>
      <c r="F359" s="102" t="inlineStr">
        <is>
          <t>TU-B23/S2</t>
        </is>
      </c>
      <c r="G359" s="102" t="n">
        <v>10</v>
      </c>
      <c r="H359" s="102" t="inlineStr">
        <is>
          <t>TR-B3</t>
        </is>
      </c>
      <c r="I359" s="102" t="n">
        <v>18</v>
      </c>
      <c r="J359" s="102" t="inlineStr">
        <is>
          <t>Ống 3 Xanh lá / Trắng</t>
        </is>
      </c>
      <c r="K359" s="102" t="inlineStr">
        <is>
          <t>S4-16</t>
        </is>
      </c>
      <c r="L359" s="102" t="inlineStr">
        <is>
          <t>B-32</t>
        </is>
      </c>
      <c r="M359" s="102" t="inlineStr">
        <is>
          <t>PON-16</t>
        </is>
      </c>
      <c r="N359" s="102" t="inlineStr">
        <is>
          <t>Chưa lắp</t>
        </is>
      </c>
      <c r="O359" s="151" t="n"/>
      <c r="P359" s="152" t="n"/>
      <c r="Q359" s="13">
        <f>M359&amp;" &gt; P96#"&amp;U359&amp;" &gt; "&amp;K359&amp;" &gt; P96#"&amp;L359&amp;" &gt; "&amp;R359&amp;" "&amp;S359&amp;" "&amp;T359&amp;" &gt; "&amp;H359&amp;"#"&amp;I359&amp;" &gt; "&amp;F359&amp;" p"&amp;G359</f>
        <v/>
      </c>
      <c r="R359" s="9" t="inlineStr">
        <is>
          <t>ODF-17/18</t>
        </is>
      </c>
      <c r="S359" s="9" t="inlineStr">
        <is>
          <t>Phải</t>
        </is>
      </c>
      <c r="T359" s="9" t="inlineStr">
        <is>
          <t>H3-C6</t>
        </is>
      </c>
      <c r="U359" s="9" t="inlineStr">
        <is>
          <t>B-44</t>
        </is>
      </c>
    </row>
    <row r="360">
      <c r="A360" s="151" t="inlineStr">
        <is>
          <t>B-23-11</t>
        </is>
      </c>
      <c r="B360" s="102" t="inlineStr">
        <is>
          <t>B</t>
        </is>
      </c>
      <c r="C360" s="102" t="inlineStr">
        <is>
          <t>23</t>
        </is>
      </c>
      <c r="D360" s="102" t="n">
        <v>11</v>
      </c>
      <c r="E360" s="102" t="inlineStr">
        <is>
          <t>TU-B23</t>
        </is>
      </c>
      <c r="F360" s="102" t="inlineStr">
        <is>
          <t>TU-B23/S2</t>
        </is>
      </c>
      <c r="G360" s="102" t="n">
        <v>11</v>
      </c>
      <c r="H360" s="102" t="inlineStr">
        <is>
          <t>TR-B3</t>
        </is>
      </c>
      <c r="I360" s="102" t="n">
        <v>18</v>
      </c>
      <c r="J360" s="102" t="inlineStr">
        <is>
          <t>Ống 3 Xanh lá / Trắng</t>
        </is>
      </c>
      <c r="K360" s="102" t="inlineStr">
        <is>
          <t>S4-16</t>
        </is>
      </c>
      <c r="L360" s="102" t="inlineStr">
        <is>
          <t>B-32</t>
        </is>
      </c>
      <c r="M360" s="102" t="inlineStr">
        <is>
          <t>PON-16</t>
        </is>
      </c>
      <c r="N360" s="102" t="inlineStr">
        <is>
          <t>Chưa lắp</t>
        </is>
      </c>
      <c r="O360" s="151" t="n"/>
      <c r="P360" s="152" t="n"/>
      <c r="Q360" s="13">
        <f>M360&amp;" &gt; P96#"&amp;U360&amp;" &gt; "&amp;K360&amp;" &gt; P96#"&amp;L360&amp;" &gt; "&amp;R360&amp;" "&amp;S360&amp;" "&amp;T360&amp;" &gt; "&amp;H360&amp;"#"&amp;I360&amp;" &gt; "&amp;F360&amp;" p"&amp;G360</f>
        <v/>
      </c>
      <c r="R360" s="9" t="inlineStr">
        <is>
          <t>ODF-17/18</t>
        </is>
      </c>
      <c r="S360" s="9" t="inlineStr">
        <is>
          <t>Phải</t>
        </is>
      </c>
      <c r="T360" s="9" t="inlineStr">
        <is>
          <t>H3-C6</t>
        </is>
      </c>
      <c r="U360" s="9" t="inlineStr">
        <is>
          <t>B-44</t>
        </is>
      </c>
    </row>
    <row r="361">
      <c r="A361" s="151" t="inlineStr">
        <is>
          <t>B-23-12</t>
        </is>
      </c>
      <c r="B361" s="102" t="inlineStr">
        <is>
          <t>B</t>
        </is>
      </c>
      <c r="C361" s="102" t="inlineStr">
        <is>
          <t>23</t>
        </is>
      </c>
      <c r="D361" s="102" t="n">
        <v>12</v>
      </c>
      <c r="E361" s="102" t="inlineStr">
        <is>
          <t>TU-B23</t>
        </is>
      </c>
      <c r="F361" s="102" t="inlineStr">
        <is>
          <t>TU-B23/S2</t>
        </is>
      </c>
      <c r="G361" s="102" t="n">
        <v>12</v>
      </c>
      <c r="H361" s="102" t="inlineStr">
        <is>
          <t>TR-B3</t>
        </is>
      </c>
      <c r="I361" s="102" t="n">
        <v>18</v>
      </c>
      <c r="J361" s="102" t="inlineStr">
        <is>
          <t>Ống 3 Xanh lá / Trắng</t>
        </is>
      </c>
      <c r="K361" s="102" t="inlineStr">
        <is>
          <t>S4-16</t>
        </is>
      </c>
      <c r="L361" s="102" t="inlineStr">
        <is>
          <t>B-32</t>
        </is>
      </c>
      <c r="M361" s="102" t="inlineStr">
        <is>
          <t>PON-16</t>
        </is>
      </c>
      <c r="N361" s="102" t="inlineStr">
        <is>
          <t>Chưa lắp</t>
        </is>
      </c>
      <c r="O361" s="151" t="n"/>
      <c r="P361" s="152" t="n"/>
      <c r="Q361" s="13">
        <f>M361&amp;" &gt; P96#"&amp;U361&amp;" &gt; "&amp;K361&amp;" &gt; P96#"&amp;L361&amp;" &gt; "&amp;R361&amp;" "&amp;S361&amp;" "&amp;T361&amp;" &gt; "&amp;H361&amp;"#"&amp;I361&amp;" &gt; "&amp;F361&amp;" p"&amp;G361</f>
        <v/>
      </c>
      <c r="R361" s="9" t="inlineStr">
        <is>
          <t>ODF-17/18</t>
        </is>
      </c>
      <c r="S361" s="9" t="inlineStr">
        <is>
          <t>Phải</t>
        </is>
      </c>
      <c r="T361" s="9" t="inlineStr">
        <is>
          <t>H3-C6</t>
        </is>
      </c>
      <c r="U361" s="9" t="inlineStr">
        <is>
          <t>B-44</t>
        </is>
      </c>
    </row>
    <row r="362">
      <c r="A362" s="151" t="inlineStr">
        <is>
          <t>B-23-13</t>
        </is>
      </c>
      <c r="B362" s="102" t="inlineStr">
        <is>
          <t>B</t>
        </is>
      </c>
      <c r="C362" s="102" t="inlineStr">
        <is>
          <t>23</t>
        </is>
      </c>
      <c r="D362" s="102" t="n">
        <v>13</v>
      </c>
      <c r="E362" s="102" t="inlineStr">
        <is>
          <t>TU-B23</t>
        </is>
      </c>
      <c r="F362" s="102" t="inlineStr">
        <is>
          <t>TU-B23/S2</t>
        </is>
      </c>
      <c r="G362" s="102" t="n">
        <v>13</v>
      </c>
      <c r="H362" s="102" t="inlineStr">
        <is>
          <t>TR-B3</t>
        </is>
      </c>
      <c r="I362" s="102" t="n">
        <v>18</v>
      </c>
      <c r="J362" s="102" t="inlineStr">
        <is>
          <t>Ống 3 Xanh lá / Trắng</t>
        </is>
      </c>
      <c r="K362" s="102" t="inlineStr">
        <is>
          <t>S4-16</t>
        </is>
      </c>
      <c r="L362" s="102" t="inlineStr">
        <is>
          <t>B-32</t>
        </is>
      </c>
      <c r="M362" s="102" t="inlineStr">
        <is>
          <t>PON-16</t>
        </is>
      </c>
      <c r="N362" s="102" t="inlineStr">
        <is>
          <t>Chưa lắp</t>
        </is>
      </c>
      <c r="O362" s="151" t="n"/>
      <c r="P362" s="152" t="n"/>
      <c r="Q362" s="13">
        <f>M362&amp;" &gt; P96#"&amp;U362&amp;" &gt; "&amp;K362&amp;" &gt; P96#"&amp;L362&amp;" &gt; "&amp;R362&amp;" "&amp;S362&amp;" "&amp;T362&amp;" &gt; "&amp;H362&amp;"#"&amp;I362&amp;" &gt; "&amp;F362&amp;" p"&amp;G362</f>
        <v/>
      </c>
      <c r="R362" s="9" t="inlineStr">
        <is>
          <t>ODF-17/18</t>
        </is>
      </c>
      <c r="S362" s="9" t="inlineStr">
        <is>
          <t>Phải</t>
        </is>
      </c>
      <c r="T362" s="9" t="inlineStr">
        <is>
          <t>H3-C6</t>
        </is>
      </c>
      <c r="U362" s="9" t="inlineStr">
        <is>
          <t>B-44</t>
        </is>
      </c>
    </row>
    <row r="363">
      <c r="A363" s="151" t="inlineStr">
        <is>
          <t>B-23-14</t>
        </is>
      </c>
      <c r="B363" s="102" t="inlineStr">
        <is>
          <t>B</t>
        </is>
      </c>
      <c r="C363" s="102" t="inlineStr">
        <is>
          <t>23</t>
        </is>
      </c>
      <c r="D363" s="102" t="n">
        <v>14</v>
      </c>
      <c r="E363" s="102" t="inlineStr">
        <is>
          <t>TU-B23</t>
        </is>
      </c>
      <c r="F363" s="102" t="inlineStr">
        <is>
          <t>TU-B23/S2</t>
        </is>
      </c>
      <c r="G363" s="102" t="n">
        <v>14</v>
      </c>
      <c r="H363" s="102" t="inlineStr">
        <is>
          <t>TR-B3</t>
        </is>
      </c>
      <c r="I363" s="102" t="n">
        <v>18</v>
      </c>
      <c r="J363" s="102" t="inlineStr">
        <is>
          <t>Ống 3 Xanh lá / Trắng</t>
        </is>
      </c>
      <c r="K363" s="102" t="inlineStr">
        <is>
          <t>S4-16</t>
        </is>
      </c>
      <c r="L363" s="102" t="inlineStr">
        <is>
          <t>B-32</t>
        </is>
      </c>
      <c r="M363" s="102" t="inlineStr">
        <is>
          <t>PON-16</t>
        </is>
      </c>
      <c r="N363" s="102" t="inlineStr">
        <is>
          <t>Chưa lắp</t>
        </is>
      </c>
      <c r="O363" s="151" t="n"/>
      <c r="P363" s="152" t="n"/>
      <c r="Q363" s="13">
        <f>M363&amp;" &gt; P96#"&amp;U363&amp;" &gt; "&amp;K363&amp;" &gt; P96#"&amp;L363&amp;" &gt; "&amp;R363&amp;" "&amp;S363&amp;" "&amp;T363&amp;" &gt; "&amp;H363&amp;"#"&amp;I363&amp;" &gt; "&amp;F363&amp;" p"&amp;G363</f>
        <v/>
      </c>
      <c r="R363" s="9" t="inlineStr">
        <is>
          <t>ODF-17/18</t>
        </is>
      </c>
      <c r="S363" s="9" t="inlineStr">
        <is>
          <t>Phải</t>
        </is>
      </c>
      <c r="T363" s="9" t="inlineStr">
        <is>
          <t>H3-C6</t>
        </is>
      </c>
      <c r="U363" s="9" t="inlineStr">
        <is>
          <t>B-44</t>
        </is>
      </c>
    </row>
    <row r="364">
      <c r="A364" s="151" t="inlineStr">
        <is>
          <t>B-22-01</t>
        </is>
      </c>
      <c r="B364" s="102" t="inlineStr">
        <is>
          <t>B</t>
        </is>
      </c>
      <c r="C364" s="102" t="inlineStr">
        <is>
          <t>22</t>
        </is>
      </c>
      <c r="D364" s="102" t="n">
        <v>1</v>
      </c>
      <c r="E364" s="102" t="inlineStr">
        <is>
          <t>TU-B23</t>
        </is>
      </c>
      <c r="F364" s="102" t="inlineStr">
        <is>
          <t>TU-B23/S1</t>
        </is>
      </c>
      <c r="G364" s="102" t="n">
        <v>1</v>
      </c>
      <c r="H364" s="102" t="inlineStr">
        <is>
          <t>TR-B3</t>
        </is>
      </c>
      <c r="I364" s="102" t="n">
        <v>17</v>
      </c>
      <c r="J364" s="102" t="inlineStr">
        <is>
          <t>Ống 3 Xanh lá / Xám</t>
        </is>
      </c>
      <c r="K364" s="102" t="inlineStr">
        <is>
          <t>S4-16</t>
        </is>
      </c>
      <c r="L364" s="102" t="inlineStr">
        <is>
          <t>B-31</t>
        </is>
      </c>
      <c r="M364" s="102" t="inlineStr">
        <is>
          <t>PON-16</t>
        </is>
      </c>
      <c r="N364" s="102" t="inlineStr">
        <is>
          <t>Chưa lắp</t>
        </is>
      </c>
      <c r="O364" s="151" t="n"/>
      <c r="P364" s="152" t="n"/>
      <c r="Q364" s="13">
        <f>M364&amp;" &gt; P96#"&amp;U364&amp;" &gt; "&amp;K364&amp;" &gt; P96#"&amp;L364&amp;" &gt; "&amp;R364&amp;" "&amp;S364&amp;" "&amp;T364&amp;" &gt; "&amp;H364&amp;"#"&amp;I364&amp;" &gt; "&amp;F364&amp;" p"&amp;G364</f>
        <v/>
      </c>
      <c r="R364" s="9" t="inlineStr">
        <is>
          <t>ODF-17/18</t>
        </is>
      </c>
      <c r="S364" s="9" t="inlineStr">
        <is>
          <t>Phải</t>
        </is>
      </c>
      <c r="T364" s="9" t="inlineStr">
        <is>
          <t>H3-C5</t>
        </is>
      </c>
      <c r="U364" s="9" t="inlineStr">
        <is>
          <t>B-44</t>
        </is>
      </c>
    </row>
    <row r="365">
      <c r="A365" s="151" t="inlineStr">
        <is>
          <t>B-22-02</t>
        </is>
      </c>
      <c r="B365" s="102" t="inlineStr">
        <is>
          <t>B</t>
        </is>
      </c>
      <c r="C365" s="102" t="inlineStr">
        <is>
          <t>22</t>
        </is>
      </c>
      <c r="D365" s="102" t="n">
        <v>2</v>
      </c>
      <c r="E365" s="102" t="inlineStr">
        <is>
          <t>TU-B23</t>
        </is>
      </c>
      <c r="F365" s="102" t="inlineStr">
        <is>
          <t>TU-B23/S1</t>
        </is>
      </c>
      <c r="G365" s="102" t="n">
        <v>2</v>
      </c>
      <c r="H365" s="102" t="inlineStr">
        <is>
          <t>TR-B3</t>
        </is>
      </c>
      <c r="I365" s="102" t="n">
        <v>17</v>
      </c>
      <c r="J365" s="102" t="inlineStr">
        <is>
          <t>Ống 3 Xanh lá / Xám</t>
        </is>
      </c>
      <c r="K365" s="102" t="inlineStr">
        <is>
          <t>S4-16</t>
        </is>
      </c>
      <c r="L365" s="102" t="inlineStr">
        <is>
          <t>B-31</t>
        </is>
      </c>
      <c r="M365" s="102" t="inlineStr">
        <is>
          <t>PON-16</t>
        </is>
      </c>
      <c r="N365" s="102" t="inlineStr">
        <is>
          <t>Chưa lắp</t>
        </is>
      </c>
      <c r="O365" s="151" t="n"/>
      <c r="P365" s="152" t="n"/>
      <c r="Q365" s="13">
        <f>M365&amp;" &gt; P96#"&amp;U365&amp;" &gt; "&amp;K365&amp;" &gt; P96#"&amp;L365&amp;" &gt; "&amp;R365&amp;" "&amp;S365&amp;" "&amp;T365&amp;" &gt; "&amp;H365&amp;"#"&amp;I365&amp;" &gt; "&amp;F365&amp;" p"&amp;G365</f>
        <v/>
      </c>
      <c r="R365" s="9" t="inlineStr">
        <is>
          <t>ODF-17/18</t>
        </is>
      </c>
      <c r="S365" s="9" t="inlineStr">
        <is>
          <t>Phải</t>
        </is>
      </c>
      <c r="T365" s="9" t="inlineStr">
        <is>
          <t>H3-C5</t>
        </is>
      </c>
      <c r="U365" s="9" t="inlineStr">
        <is>
          <t>B-44</t>
        </is>
      </c>
    </row>
    <row r="366">
      <c r="A366" s="149" t="inlineStr">
        <is>
          <t>B-22-03</t>
        </is>
      </c>
      <c r="B366" s="99" t="inlineStr">
        <is>
          <t>B</t>
        </is>
      </c>
      <c r="C366" s="99" t="inlineStr">
        <is>
          <t>22</t>
        </is>
      </c>
      <c r="D366" s="99" t="n">
        <v>3</v>
      </c>
      <c r="E366" s="99" t="inlineStr">
        <is>
          <t>TU-B23</t>
        </is>
      </c>
      <c r="F366" s="99" t="inlineStr">
        <is>
          <t>TU-B23/S1</t>
        </is>
      </c>
      <c r="G366" s="99" t="n">
        <v>3</v>
      </c>
      <c r="H366" s="99" t="inlineStr">
        <is>
          <t>TR-B3</t>
        </is>
      </c>
      <c r="I366" s="99" t="n">
        <v>17</v>
      </c>
      <c r="J366" s="99" t="inlineStr">
        <is>
          <t>Ống 3 Xanh lá / Xám</t>
        </is>
      </c>
      <c r="K366" s="99" t="inlineStr">
        <is>
          <t>S4-16</t>
        </is>
      </c>
      <c r="L366" s="99" t="inlineStr">
        <is>
          <t>B-31</t>
        </is>
      </c>
      <c r="M366" s="99" t="inlineStr">
        <is>
          <t>PON-16</t>
        </is>
      </c>
      <c r="N366" s="99" t="inlineStr">
        <is>
          <t>Chưa lắp</t>
        </is>
      </c>
      <c r="O366" s="149" t="n"/>
      <c r="P366" s="150" t="n"/>
      <c r="Q366" s="13">
        <f>M366&amp;" &gt; P96#"&amp;U366&amp;" &gt; "&amp;K366&amp;" &gt; P96#"&amp;L366&amp;" &gt; "&amp;R366&amp;" "&amp;S366&amp;" "&amp;T366&amp;" &gt; "&amp;H366&amp;"#"&amp;I366&amp;" &gt; "&amp;F366&amp;" p"&amp;G366</f>
        <v/>
      </c>
      <c r="R366" s="9" t="inlineStr">
        <is>
          <t>ODF-17/18</t>
        </is>
      </c>
      <c r="S366" s="9" t="inlineStr">
        <is>
          <t>Phải</t>
        </is>
      </c>
      <c r="T366" s="9" t="inlineStr">
        <is>
          <t>H3-C5</t>
        </is>
      </c>
      <c r="U366" s="9" t="inlineStr">
        <is>
          <t>B-44</t>
        </is>
      </c>
    </row>
    <row r="367">
      <c r="A367" s="149" t="inlineStr">
        <is>
          <t>B-22-04</t>
        </is>
      </c>
      <c r="B367" s="99" t="inlineStr">
        <is>
          <t>B</t>
        </is>
      </c>
      <c r="C367" s="99" t="inlineStr">
        <is>
          <t>22</t>
        </is>
      </c>
      <c r="D367" s="99" t="n">
        <v>4</v>
      </c>
      <c r="E367" s="99" t="inlineStr">
        <is>
          <t>TU-B23</t>
        </is>
      </c>
      <c r="F367" s="99" t="inlineStr">
        <is>
          <t>TU-B23/S1</t>
        </is>
      </c>
      <c r="G367" s="99" t="n">
        <v>4</v>
      </c>
      <c r="H367" s="99" t="inlineStr">
        <is>
          <t>TR-B3</t>
        </is>
      </c>
      <c r="I367" s="99" t="n">
        <v>17</v>
      </c>
      <c r="J367" s="99" t="inlineStr">
        <is>
          <t>Ống 3 Xanh lá / Xám</t>
        </is>
      </c>
      <c r="K367" s="99" t="inlineStr">
        <is>
          <t>S4-16</t>
        </is>
      </c>
      <c r="L367" s="99" t="inlineStr">
        <is>
          <t>B-31</t>
        </is>
      </c>
      <c r="M367" s="99" t="inlineStr">
        <is>
          <t>PON-16</t>
        </is>
      </c>
      <c r="N367" s="99" t="inlineStr">
        <is>
          <t>Chưa lắp</t>
        </is>
      </c>
      <c r="O367" s="149" t="n"/>
      <c r="P367" s="150" t="n"/>
      <c r="Q367" s="13">
        <f>M367&amp;" &gt; P96#"&amp;U367&amp;" &gt; "&amp;K367&amp;" &gt; P96#"&amp;L367&amp;" &gt; "&amp;R367&amp;" "&amp;S367&amp;" "&amp;T367&amp;" &gt; "&amp;H367&amp;"#"&amp;I367&amp;" &gt; "&amp;F367&amp;" p"&amp;G367</f>
        <v/>
      </c>
      <c r="R367" s="9" t="inlineStr">
        <is>
          <t>ODF-17/18</t>
        </is>
      </c>
      <c r="S367" s="9" t="inlineStr">
        <is>
          <t>Phải</t>
        </is>
      </c>
      <c r="T367" s="9" t="inlineStr">
        <is>
          <t>H3-C5</t>
        </is>
      </c>
      <c r="U367" s="9" t="inlineStr">
        <is>
          <t>B-44</t>
        </is>
      </c>
    </row>
    <row r="368">
      <c r="A368" s="149" t="inlineStr">
        <is>
          <t>B-22-05</t>
        </is>
      </c>
      <c r="B368" s="99" t="inlineStr">
        <is>
          <t>B</t>
        </is>
      </c>
      <c r="C368" s="99" t="inlineStr">
        <is>
          <t>22</t>
        </is>
      </c>
      <c r="D368" s="99" t="n">
        <v>5</v>
      </c>
      <c r="E368" s="99" t="inlineStr">
        <is>
          <t>TU-B23</t>
        </is>
      </c>
      <c r="F368" s="99" t="inlineStr">
        <is>
          <t>TU-B23/S1</t>
        </is>
      </c>
      <c r="G368" s="99" t="n">
        <v>5</v>
      </c>
      <c r="H368" s="99" t="inlineStr">
        <is>
          <t>TR-B3</t>
        </is>
      </c>
      <c r="I368" s="99" t="n">
        <v>17</v>
      </c>
      <c r="J368" s="99" t="inlineStr">
        <is>
          <t>Ống 3 Xanh lá / Xám</t>
        </is>
      </c>
      <c r="K368" s="99" t="inlineStr">
        <is>
          <t>S4-16</t>
        </is>
      </c>
      <c r="L368" s="99" t="inlineStr">
        <is>
          <t>B-31</t>
        </is>
      </c>
      <c r="M368" s="99" t="inlineStr">
        <is>
          <t>PON-16</t>
        </is>
      </c>
      <c r="N368" s="99" t="inlineStr">
        <is>
          <t>Chưa lắp</t>
        </is>
      </c>
      <c r="O368" s="149" t="n"/>
      <c r="P368" s="150" t="n"/>
      <c r="Q368" s="13">
        <f>M368&amp;" &gt; P96#"&amp;U368&amp;" &gt; "&amp;K368&amp;" &gt; P96#"&amp;L368&amp;" &gt; "&amp;R368&amp;" "&amp;S368&amp;" "&amp;T368&amp;" &gt; "&amp;H368&amp;"#"&amp;I368&amp;" &gt; "&amp;F368&amp;" p"&amp;G368</f>
        <v/>
      </c>
      <c r="R368" s="9" t="inlineStr">
        <is>
          <t>ODF-17/18</t>
        </is>
      </c>
      <c r="S368" s="9" t="inlineStr">
        <is>
          <t>Phải</t>
        </is>
      </c>
      <c r="T368" s="9" t="inlineStr">
        <is>
          <t>H3-C5</t>
        </is>
      </c>
      <c r="U368" s="9" t="inlineStr">
        <is>
          <t>B-44</t>
        </is>
      </c>
    </row>
    <row r="369">
      <c r="A369" s="149" t="inlineStr">
        <is>
          <t>B-22-06</t>
        </is>
      </c>
      <c r="B369" s="99" t="inlineStr">
        <is>
          <t>B</t>
        </is>
      </c>
      <c r="C369" s="99" t="inlineStr">
        <is>
          <t>22</t>
        </is>
      </c>
      <c r="D369" s="99" t="n">
        <v>6</v>
      </c>
      <c r="E369" s="99" t="inlineStr">
        <is>
          <t>TU-B23</t>
        </is>
      </c>
      <c r="F369" s="99" t="inlineStr">
        <is>
          <t>TU-B23/S1</t>
        </is>
      </c>
      <c r="G369" s="99" t="n">
        <v>6</v>
      </c>
      <c r="H369" s="99" t="inlineStr">
        <is>
          <t>TR-B3</t>
        </is>
      </c>
      <c r="I369" s="99" t="n">
        <v>17</v>
      </c>
      <c r="J369" s="99" t="inlineStr">
        <is>
          <t>Ống 3 Xanh lá / Xám</t>
        </is>
      </c>
      <c r="K369" s="99" t="inlineStr">
        <is>
          <t>S4-16</t>
        </is>
      </c>
      <c r="L369" s="99" t="inlineStr">
        <is>
          <t>B-31</t>
        </is>
      </c>
      <c r="M369" s="99" t="inlineStr">
        <is>
          <t>PON-16</t>
        </is>
      </c>
      <c r="N369" s="99" t="inlineStr">
        <is>
          <t>Chưa lắp</t>
        </is>
      </c>
      <c r="O369" s="149" t="n"/>
      <c r="P369" s="150" t="n"/>
      <c r="Q369" s="13">
        <f>M369&amp;" &gt; P96#"&amp;U369&amp;" &gt; "&amp;K369&amp;" &gt; P96#"&amp;L369&amp;" &gt; "&amp;R369&amp;" "&amp;S369&amp;" "&amp;T369&amp;" &gt; "&amp;H369&amp;"#"&amp;I369&amp;" &gt; "&amp;F369&amp;" p"&amp;G369</f>
        <v/>
      </c>
      <c r="R369" s="9" t="inlineStr">
        <is>
          <t>ODF-17/18</t>
        </is>
      </c>
      <c r="S369" s="9" t="inlineStr">
        <is>
          <t>Phải</t>
        </is>
      </c>
      <c r="T369" s="9" t="inlineStr">
        <is>
          <t>H3-C5</t>
        </is>
      </c>
      <c r="U369" s="9" t="inlineStr">
        <is>
          <t>B-44</t>
        </is>
      </c>
    </row>
    <row r="370">
      <c r="A370" s="149" t="inlineStr">
        <is>
          <t>B-22-07</t>
        </is>
      </c>
      <c r="B370" s="99" t="inlineStr">
        <is>
          <t>B</t>
        </is>
      </c>
      <c r="C370" s="99" t="inlineStr">
        <is>
          <t>22</t>
        </is>
      </c>
      <c r="D370" s="99" t="n">
        <v>7</v>
      </c>
      <c r="E370" s="99" t="inlineStr">
        <is>
          <t>TU-B23</t>
        </is>
      </c>
      <c r="F370" s="99" t="inlineStr">
        <is>
          <t>TU-B23/S1</t>
        </is>
      </c>
      <c r="G370" s="99" t="n">
        <v>7</v>
      </c>
      <c r="H370" s="99" t="inlineStr">
        <is>
          <t>TR-B3</t>
        </is>
      </c>
      <c r="I370" s="99" t="n">
        <v>17</v>
      </c>
      <c r="J370" s="99" t="inlineStr">
        <is>
          <t>Ống 3 Xanh lá / Xám</t>
        </is>
      </c>
      <c r="K370" s="99" t="inlineStr">
        <is>
          <t>S4-16</t>
        </is>
      </c>
      <c r="L370" s="99" t="inlineStr">
        <is>
          <t>B-31</t>
        </is>
      </c>
      <c r="M370" s="99" t="inlineStr">
        <is>
          <t>PON-16</t>
        </is>
      </c>
      <c r="N370" s="99" t="inlineStr">
        <is>
          <t>Chưa lắp</t>
        </is>
      </c>
      <c r="O370" s="149" t="n"/>
      <c r="P370" s="150" t="n"/>
      <c r="Q370" s="13">
        <f>M370&amp;" &gt; P96#"&amp;U370&amp;" &gt; "&amp;K370&amp;" &gt; P96#"&amp;L370&amp;" &gt; "&amp;R370&amp;" "&amp;S370&amp;" "&amp;T370&amp;" &gt; "&amp;H370&amp;"#"&amp;I370&amp;" &gt; "&amp;F370&amp;" p"&amp;G370</f>
        <v/>
      </c>
      <c r="R370" s="9" t="inlineStr">
        <is>
          <t>ODF-17/18</t>
        </is>
      </c>
      <c r="S370" s="9" t="inlineStr">
        <is>
          <t>Phải</t>
        </is>
      </c>
      <c r="T370" s="9" t="inlineStr">
        <is>
          <t>H3-C5</t>
        </is>
      </c>
      <c r="U370" s="9" t="inlineStr">
        <is>
          <t>B-44</t>
        </is>
      </c>
    </row>
    <row r="371">
      <c r="A371" s="149" t="inlineStr">
        <is>
          <t>B-22-08</t>
        </is>
      </c>
      <c r="B371" s="99" t="inlineStr">
        <is>
          <t>B</t>
        </is>
      </c>
      <c r="C371" s="99" t="inlineStr">
        <is>
          <t>22</t>
        </is>
      </c>
      <c r="D371" s="99" t="n">
        <v>8</v>
      </c>
      <c r="E371" s="99" t="inlineStr">
        <is>
          <t>TU-B23</t>
        </is>
      </c>
      <c r="F371" s="99" t="inlineStr">
        <is>
          <t>TU-B23/S1</t>
        </is>
      </c>
      <c r="G371" s="99" t="n">
        <v>8</v>
      </c>
      <c r="H371" s="99" t="inlineStr">
        <is>
          <t>TR-B3</t>
        </is>
      </c>
      <c r="I371" s="99" t="n">
        <v>17</v>
      </c>
      <c r="J371" s="99" t="inlineStr">
        <is>
          <t>Ống 3 Xanh lá / Xám</t>
        </is>
      </c>
      <c r="K371" s="99" t="inlineStr">
        <is>
          <t>S4-16</t>
        </is>
      </c>
      <c r="L371" s="99" t="inlineStr">
        <is>
          <t>B-31</t>
        </is>
      </c>
      <c r="M371" s="99" t="inlineStr">
        <is>
          <t>PON-16</t>
        </is>
      </c>
      <c r="N371" s="99" t="inlineStr">
        <is>
          <t>Chưa lắp</t>
        </is>
      </c>
      <c r="O371" s="149" t="n"/>
      <c r="P371" s="150" t="n"/>
      <c r="Q371" s="13">
        <f>M371&amp;" &gt; P96#"&amp;U371&amp;" &gt; "&amp;K371&amp;" &gt; P96#"&amp;L371&amp;" &gt; "&amp;R371&amp;" "&amp;S371&amp;" "&amp;T371&amp;" &gt; "&amp;H371&amp;"#"&amp;I371&amp;" &gt; "&amp;F371&amp;" p"&amp;G371</f>
        <v/>
      </c>
      <c r="R371" s="9" t="inlineStr">
        <is>
          <t>ODF-17/18</t>
        </is>
      </c>
      <c r="S371" s="9" t="inlineStr">
        <is>
          <t>Phải</t>
        </is>
      </c>
      <c r="T371" s="9" t="inlineStr">
        <is>
          <t>H3-C5</t>
        </is>
      </c>
      <c r="U371" s="9" t="inlineStr">
        <is>
          <t>B-44</t>
        </is>
      </c>
    </row>
    <row r="372">
      <c r="A372" s="149" t="inlineStr">
        <is>
          <t>B-22-09</t>
        </is>
      </c>
      <c r="B372" s="99" t="inlineStr">
        <is>
          <t>B</t>
        </is>
      </c>
      <c r="C372" s="99" t="inlineStr">
        <is>
          <t>22</t>
        </is>
      </c>
      <c r="D372" s="99" t="n">
        <v>9</v>
      </c>
      <c r="E372" s="99" t="inlineStr">
        <is>
          <t>TU-B23</t>
        </is>
      </c>
      <c r="F372" s="99" t="inlineStr">
        <is>
          <t>TU-B23/S1</t>
        </is>
      </c>
      <c r="G372" s="99" t="n">
        <v>9</v>
      </c>
      <c r="H372" s="99" t="inlineStr">
        <is>
          <t>TR-B3</t>
        </is>
      </c>
      <c r="I372" s="99" t="n">
        <v>17</v>
      </c>
      <c r="J372" s="99" t="inlineStr">
        <is>
          <t>Ống 3 Xanh lá / Xám</t>
        </is>
      </c>
      <c r="K372" s="99" t="inlineStr">
        <is>
          <t>S4-16</t>
        </is>
      </c>
      <c r="L372" s="99" t="inlineStr">
        <is>
          <t>B-31</t>
        </is>
      </c>
      <c r="M372" s="99" t="inlineStr">
        <is>
          <t>PON-16</t>
        </is>
      </c>
      <c r="N372" s="99" t="inlineStr">
        <is>
          <t>Chưa lắp</t>
        </is>
      </c>
      <c r="O372" s="149" t="n"/>
      <c r="P372" s="150" t="n"/>
      <c r="Q372" s="13">
        <f>M372&amp;" &gt; P96#"&amp;U372&amp;" &gt; "&amp;K372&amp;" &gt; P96#"&amp;L372&amp;" &gt; "&amp;R372&amp;" "&amp;S372&amp;" "&amp;T372&amp;" &gt; "&amp;H372&amp;"#"&amp;I372&amp;" &gt; "&amp;F372&amp;" p"&amp;G372</f>
        <v/>
      </c>
      <c r="R372" s="9" t="inlineStr">
        <is>
          <t>ODF-17/18</t>
        </is>
      </c>
      <c r="S372" s="9" t="inlineStr">
        <is>
          <t>Phải</t>
        </is>
      </c>
      <c r="T372" s="9" t="inlineStr">
        <is>
          <t>H3-C5</t>
        </is>
      </c>
      <c r="U372" s="9" t="inlineStr">
        <is>
          <t>B-44</t>
        </is>
      </c>
    </row>
    <row r="373">
      <c r="A373" s="149" t="inlineStr">
        <is>
          <t>B-22-10</t>
        </is>
      </c>
      <c r="B373" s="99" t="inlineStr">
        <is>
          <t>B</t>
        </is>
      </c>
      <c r="C373" s="99" t="inlineStr">
        <is>
          <t>22</t>
        </is>
      </c>
      <c r="D373" s="99" t="n">
        <v>10</v>
      </c>
      <c r="E373" s="99" t="inlineStr">
        <is>
          <t>TU-B23</t>
        </is>
      </c>
      <c r="F373" s="99" t="inlineStr">
        <is>
          <t>TU-B23/S1</t>
        </is>
      </c>
      <c r="G373" s="99" t="n">
        <v>10</v>
      </c>
      <c r="H373" s="99" t="inlineStr">
        <is>
          <t>TR-B3</t>
        </is>
      </c>
      <c r="I373" s="99" t="n">
        <v>17</v>
      </c>
      <c r="J373" s="99" t="inlineStr">
        <is>
          <t>Ống 3 Xanh lá / Xám</t>
        </is>
      </c>
      <c r="K373" s="99" t="inlineStr">
        <is>
          <t>S4-16</t>
        </is>
      </c>
      <c r="L373" s="99" t="inlineStr">
        <is>
          <t>B-31</t>
        </is>
      </c>
      <c r="M373" s="99" t="inlineStr">
        <is>
          <t>PON-16</t>
        </is>
      </c>
      <c r="N373" s="99" t="inlineStr">
        <is>
          <t>Chưa lắp</t>
        </is>
      </c>
      <c r="O373" s="149" t="n"/>
      <c r="P373" s="150" t="n"/>
      <c r="Q373" s="13">
        <f>M373&amp;" &gt; P96#"&amp;U373&amp;" &gt; "&amp;K373&amp;" &gt; P96#"&amp;L373&amp;" &gt; "&amp;R373&amp;" "&amp;S373&amp;" "&amp;T373&amp;" &gt; "&amp;H373&amp;"#"&amp;I373&amp;" &gt; "&amp;F373&amp;" p"&amp;G373</f>
        <v/>
      </c>
      <c r="R373" s="9" t="inlineStr">
        <is>
          <t>ODF-17/18</t>
        </is>
      </c>
      <c r="S373" s="9" t="inlineStr">
        <is>
          <t>Phải</t>
        </is>
      </c>
      <c r="T373" s="9" t="inlineStr">
        <is>
          <t>H3-C5</t>
        </is>
      </c>
      <c r="U373" s="9" t="inlineStr">
        <is>
          <t>B-44</t>
        </is>
      </c>
    </row>
    <row r="374">
      <c r="A374" s="149" t="inlineStr">
        <is>
          <t>B-22-11</t>
        </is>
      </c>
      <c r="B374" s="99" t="inlineStr">
        <is>
          <t>B</t>
        </is>
      </c>
      <c r="C374" s="99" t="inlineStr">
        <is>
          <t>22</t>
        </is>
      </c>
      <c r="D374" s="99" t="n">
        <v>11</v>
      </c>
      <c r="E374" s="99" t="inlineStr">
        <is>
          <t>TU-B23</t>
        </is>
      </c>
      <c r="F374" s="99" t="inlineStr">
        <is>
          <t>TU-B23/S1</t>
        </is>
      </c>
      <c r="G374" s="99" t="n">
        <v>11</v>
      </c>
      <c r="H374" s="99" t="inlineStr">
        <is>
          <t>TR-B3</t>
        </is>
      </c>
      <c r="I374" s="99" t="n">
        <v>17</v>
      </c>
      <c r="J374" s="99" t="inlineStr">
        <is>
          <t>Ống 3 Xanh lá / Xám</t>
        </is>
      </c>
      <c r="K374" s="99" t="inlineStr">
        <is>
          <t>S4-16</t>
        </is>
      </c>
      <c r="L374" s="99" t="inlineStr">
        <is>
          <t>B-31</t>
        </is>
      </c>
      <c r="M374" s="99" t="inlineStr">
        <is>
          <t>PON-16</t>
        </is>
      </c>
      <c r="N374" s="99" t="inlineStr">
        <is>
          <t>Chưa lắp</t>
        </is>
      </c>
      <c r="O374" s="149" t="n"/>
      <c r="P374" s="150" t="n"/>
      <c r="Q374" s="13">
        <f>M374&amp;" &gt; P96#"&amp;U374&amp;" &gt; "&amp;K374&amp;" &gt; P96#"&amp;L374&amp;" &gt; "&amp;R374&amp;" "&amp;S374&amp;" "&amp;T374&amp;" &gt; "&amp;H374&amp;"#"&amp;I374&amp;" &gt; "&amp;F374&amp;" p"&amp;G374</f>
        <v/>
      </c>
      <c r="R374" s="9" t="inlineStr">
        <is>
          <t>ODF-17/18</t>
        </is>
      </c>
      <c r="S374" s="9" t="inlineStr">
        <is>
          <t>Phải</t>
        </is>
      </c>
      <c r="T374" s="9" t="inlineStr">
        <is>
          <t>H3-C5</t>
        </is>
      </c>
      <c r="U374" s="9" t="inlineStr">
        <is>
          <t>B-44</t>
        </is>
      </c>
    </row>
    <row r="375">
      <c r="A375" s="149" t="inlineStr">
        <is>
          <t>B-22-12</t>
        </is>
      </c>
      <c r="B375" s="99" t="inlineStr">
        <is>
          <t>B</t>
        </is>
      </c>
      <c r="C375" s="99" t="inlineStr">
        <is>
          <t>22</t>
        </is>
      </c>
      <c r="D375" s="99" t="n">
        <v>12</v>
      </c>
      <c r="E375" s="99" t="inlineStr">
        <is>
          <t>TU-B23</t>
        </is>
      </c>
      <c r="F375" s="99" t="inlineStr">
        <is>
          <t>TU-B23/S1</t>
        </is>
      </c>
      <c r="G375" s="99" t="n">
        <v>12</v>
      </c>
      <c r="H375" s="99" t="inlineStr">
        <is>
          <t>TR-B3</t>
        </is>
      </c>
      <c r="I375" s="99" t="n">
        <v>17</v>
      </c>
      <c r="J375" s="99" t="inlineStr">
        <is>
          <t>Ống 3 Xanh lá / Xám</t>
        </is>
      </c>
      <c r="K375" s="99" t="inlineStr">
        <is>
          <t>S4-16</t>
        </is>
      </c>
      <c r="L375" s="99" t="inlineStr">
        <is>
          <t>B-31</t>
        </is>
      </c>
      <c r="M375" s="99" t="inlineStr">
        <is>
          <t>PON-16</t>
        </is>
      </c>
      <c r="N375" s="99" t="inlineStr">
        <is>
          <t>Chưa lắp</t>
        </is>
      </c>
      <c r="O375" s="149" t="n"/>
      <c r="P375" s="150" t="n"/>
      <c r="Q375" s="13">
        <f>M375&amp;" &gt; P96#"&amp;U375&amp;" &gt; "&amp;K375&amp;" &gt; P96#"&amp;L375&amp;" &gt; "&amp;R375&amp;" "&amp;S375&amp;" "&amp;T375&amp;" &gt; "&amp;H375&amp;"#"&amp;I375&amp;" &gt; "&amp;F375&amp;" p"&amp;G375</f>
        <v/>
      </c>
      <c r="R375" s="9" t="inlineStr">
        <is>
          <t>ODF-17/18</t>
        </is>
      </c>
      <c r="S375" s="9" t="inlineStr">
        <is>
          <t>Phải</t>
        </is>
      </c>
      <c r="T375" s="9" t="inlineStr">
        <is>
          <t>H3-C5</t>
        </is>
      </c>
      <c r="U375" s="9" t="inlineStr">
        <is>
          <t>B-44</t>
        </is>
      </c>
    </row>
    <row r="376">
      <c r="A376" s="149" t="inlineStr">
        <is>
          <t>B-22-13</t>
        </is>
      </c>
      <c r="B376" s="99" t="inlineStr">
        <is>
          <t>B</t>
        </is>
      </c>
      <c r="C376" s="99" t="inlineStr">
        <is>
          <t>22</t>
        </is>
      </c>
      <c r="D376" s="99" t="n">
        <v>13</v>
      </c>
      <c r="E376" s="99" t="inlineStr">
        <is>
          <t>TU-B23</t>
        </is>
      </c>
      <c r="F376" s="99" t="inlineStr">
        <is>
          <t>TU-B23/S1</t>
        </is>
      </c>
      <c r="G376" s="99" t="n">
        <v>13</v>
      </c>
      <c r="H376" s="99" t="inlineStr">
        <is>
          <t>TR-B3</t>
        </is>
      </c>
      <c r="I376" s="99" t="n">
        <v>17</v>
      </c>
      <c r="J376" s="99" t="inlineStr">
        <is>
          <t>Ống 3 Xanh lá / Xám</t>
        </is>
      </c>
      <c r="K376" s="99" t="inlineStr">
        <is>
          <t>S4-16</t>
        </is>
      </c>
      <c r="L376" s="99" t="inlineStr">
        <is>
          <t>B-31</t>
        </is>
      </c>
      <c r="M376" s="99" t="inlineStr">
        <is>
          <t>PON-16</t>
        </is>
      </c>
      <c r="N376" s="99" t="inlineStr">
        <is>
          <t>Chưa lắp</t>
        </is>
      </c>
      <c r="O376" s="149" t="n"/>
      <c r="P376" s="150" t="n"/>
      <c r="Q376" s="13">
        <f>M376&amp;" &gt; P96#"&amp;U376&amp;" &gt; "&amp;K376&amp;" &gt; P96#"&amp;L376&amp;" &gt; "&amp;R376&amp;" "&amp;S376&amp;" "&amp;T376&amp;" &gt; "&amp;H376&amp;"#"&amp;I376&amp;" &gt; "&amp;F376&amp;" p"&amp;G376</f>
        <v/>
      </c>
      <c r="R376" s="9" t="inlineStr">
        <is>
          <t>ODF-17/18</t>
        </is>
      </c>
      <c r="S376" s="9" t="inlineStr">
        <is>
          <t>Phải</t>
        </is>
      </c>
      <c r="T376" s="9" t="inlineStr">
        <is>
          <t>H3-C5</t>
        </is>
      </c>
      <c r="U376" s="9" t="inlineStr">
        <is>
          <t>B-44</t>
        </is>
      </c>
    </row>
    <row r="377">
      <c r="A377" s="149" t="inlineStr">
        <is>
          <t>B-22-14</t>
        </is>
      </c>
      <c r="B377" s="99" t="inlineStr">
        <is>
          <t>B</t>
        </is>
      </c>
      <c r="C377" s="99" t="inlineStr">
        <is>
          <t>22</t>
        </is>
      </c>
      <c r="D377" s="99" t="n">
        <v>14</v>
      </c>
      <c r="E377" s="99" t="inlineStr">
        <is>
          <t>TU-B23</t>
        </is>
      </c>
      <c r="F377" s="99" t="inlineStr">
        <is>
          <t>TU-B23/S1</t>
        </is>
      </c>
      <c r="G377" s="99" t="n">
        <v>14</v>
      </c>
      <c r="H377" s="99" t="inlineStr">
        <is>
          <t>TR-B3</t>
        </is>
      </c>
      <c r="I377" s="99" t="n">
        <v>17</v>
      </c>
      <c r="J377" s="99" t="inlineStr">
        <is>
          <t>Ống 3 Xanh lá / Xám</t>
        </is>
      </c>
      <c r="K377" s="99" t="inlineStr">
        <is>
          <t>S4-16</t>
        </is>
      </c>
      <c r="L377" s="99" t="inlineStr">
        <is>
          <t>B-31</t>
        </is>
      </c>
      <c r="M377" s="99" t="inlineStr">
        <is>
          <t>PON-16</t>
        </is>
      </c>
      <c r="N377" s="99" t="inlineStr">
        <is>
          <t>Chưa lắp</t>
        </is>
      </c>
      <c r="O377" s="149" t="n"/>
      <c r="P377" s="150" t="n"/>
      <c r="Q377" s="13">
        <f>M377&amp;" &gt; P96#"&amp;U377&amp;" &gt; "&amp;K377&amp;" &gt; P96#"&amp;L377&amp;" &gt; "&amp;R377&amp;" "&amp;S377&amp;" "&amp;T377&amp;" &gt; "&amp;H377&amp;"#"&amp;I377&amp;" &gt; "&amp;F377&amp;" p"&amp;G377</f>
        <v/>
      </c>
      <c r="R377" s="9" t="inlineStr">
        <is>
          <t>ODF-17/18</t>
        </is>
      </c>
      <c r="S377" s="9" t="inlineStr">
        <is>
          <t>Phải</t>
        </is>
      </c>
      <c r="T377" s="9" t="inlineStr">
        <is>
          <t>H3-C5</t>
        </is>
      </c>
      <c r="U377" s="9" t="inlineStr">
        <is>
          <t>B-44</t>
        </is>
      </c>
    </row>
    <row r="378">
      <c r="A378" s="149" t="inlineStr">
        <is>
          <t>B-21-01</t>
        </is>
      </c>
      <c r="B378" s="99" t="inlineStr">
        <is>
          <t>B</t>
        </is>
      </c>
      <c r="C378" s="99" t="inlineStr">
        <is>
          <t>21</t>
        </is>
      </c>
      <c r="D378" s="99" t="n">
        <v>1</v>
      </c>
      <c r="E378" s="99" t="inlineStr">
        <is>
          <t>TU-B20</t>
        </is>
      </c>
      <c r="F378" s="99" t="inlineStr">
        <is>
          <t>TU-B20/S3</t>
        </is>
      </c>
      <c r="G378" s="99" t="n">
        <v>1</v>
      </c>
      <c r="H378" s="99" t="inlineStr">
        <is>
          <t>TR-B3</t>
        </is>
      </c>
      <c r="I378" s="99" t="n">
        <v>11</v>
      </c>
      <c r="J378" s="99" t="inlineStr">
        <is>
          <t>Ống 2 Cam / Xám</t>
        </is>
      </c>
      <c r="K378" s="99" t="inlineStr">
        <is>
          <t>S4-16</t>
        </is>
      </c>
      <c r="L378" s="99" t="inlineStr">
        <is>
          <t>B-30</t>
        </is>
      </c>
      <c r="M378" s="99" t="inlineStr">
        <is>
          <t>PON-16</t>
        </is>
      </c>
      <c r="N378" s="99" t="inlineStr">
        <is>
          <t>Chưa lắp</t>
        </is>
      </c>
      <c r="O378" s="149" t="n"/>
      <c r="P378" s="150" t="n"/>
      <c r="Q378" s="13">
        <f>M378&amp;" &gt; P96#"&amp;U378&amp;" &gt; "&amp;K378&amp;" &gt; P96#"&amp;L378&amp;" &gt; "&amp;R378&amp;" "&amp;S378&amp;" "&amp;T378&amp;" &gt; "&amp;H378&amp;"#"&amp;I378&amp;" &gt; "&amp;F378&amp;" p"&amp;G378</f>
        <v/>
      </c>
      <c r="R378" s="9" t="inlineStr">
        <is>
          <t>ODF-17/18</t>
        </is>
      </c>
      <c r="S378" s="9" t="inlineStr">
        <is>
          <t>Phải</t>
        </is>
      </c>
      <c r="T378" s="9" t="inlineStr">
        <is>
          <t>H2-C5</t>
        </is>
      </c>
      <c r="U378" s="9" t="inlineStr">
        <is>
          <t>B-44</t>
        </is>
      </c>
    </row>
    <row r="379">
      <c r="A379" s="149" t="inlineStr">
        <is>
          <t>B-21-02</t>
        </is>
      </c>
      <c r="B379" s="99" t="inlineStr">
        <is>
          <t>B</t>
        </is>
      </c>
      <c r="C379" s="99" t="inlineStr">
        <is>
          <t>21</t>
        </is>
      </c>
      <c r="D379" s="99" t="n">
        <v>2</v>
      </c>
      <c r="E379" s="99" t="inlineStr">
        <is>
          <t>TU-B20</t>
        </is>
      </c>
      <c r="F379" s="99" t="inlineStr">
        <is>
          <t>TU-B20/S3</t>
        </is>
      </c>
      <c r="G379" s="99" t="n">
        <v>2</v>
      </c>
      <c r="H379" s="99" t="inlineStr">
        <is>
          <t>TR-B3</t>
        </is>
      </c>
      <c r="I379" s="99" t="n">
        <v>11</v>
      </c>
      <c r="J379" s="99" t="inlineStr">
        <is>
          <t>Ống 2 Cam / Xám</t>
        </is>
      </c>
      <c r="K379" s="99" t="inlineStr">
        <is>
          <t>S4-16</t>
        </is>
      </c>
      <c r="L379" s="99" t="inlineStr">
        <is>
          <t>B-30</t>
        </is>
      </c>
      <c r="M379" s="99" t="inlineStr">
        <is>
          <t>PON-16</t>
        </is>
      </c>
      <c r="N379" s="99" t="inlineStr">
        <is>
          <t>Chưa lắp</t>
        </is>
      </c>
      <c r="O379" s="149" t="n"/>
      <c r="P379" s="150" t="n"/>
      <c r="Q379" s="13">
        <f>M379&amp;" &gt; P96#"&amp;U379&amp;" &gt; "&amp;K379&amp;" &gt; P96#"&amp;L379&amp;" &gt; "&amp;R379&amp;" "&amp;S379&amp;" "&amp;T379&amp;" &gt; "&amp;H379&amp;"#"&amp;I379&amp;" &gt; "&amp;F379&amp;" p"&amp;G379</f>
        <v/>
      </c>
      <c r="R379" s="9" t="inlineStr">
        <is>
          <t>ODF-17/18</t>
        </is>
      </c>
      <c r="S379" s="9" t="inlineStr">
        <is>
          <t>Phải</t>
        </is>
      </c>
      <c r="T379" s="9" t="inlineStr">
        <is>
          <t>H2-C5</t>
        </is>
      </c>
      <c r="U379" s="9" t="inlineStr">
        <is>
          <t>B-44</t>
        </is>
      </c>
    </row>
    <row r="380">
      <c r="A380" s="151" t="inlineStr">
        <is>
          <t>B-21-03</t>
        </is>
      </c>
      <c r="B380" s="102" t="inlineStr">
        <is>
          <t>B</t>
        </is>
      </c>
      <c r="C380" s="102" t="inlineStr">
        <is>
          <t>21</t>
        </is>
      </c>
      <c r="D380" s="102" t="n">
        <v>3</v>
      </c>
      <c r="E380" s="102" t="inlineStr">
        <is>
          <t>TU-B20</t>
        </is>
      </c>
      <c r="F380" s="102" t="inlineStr">
        <is>
          <t>TU-B20/S3</t>
        </is>
      </c>
      <c r="G380" s="102" t="n">
        <v>3</v>
      </c>
      <c r="H380" s="102" t="inlineStr">
        <is>
          <t>TR-B3</t>
        </is>
      </c>
      <c r="I380" s="102" t="n">
        <v>11</v>
      </c>
      <c r="J380" s="102" t="inlineStr">
        <is>
          <t>Ống 2 Cam / Xám</t>
        </is>
      </c>
      <c r="K380" s="102" t="inlineStr">
        <is>
          <t>S4-16</t>
        </is>
      </c>
      <c r="L380" s="102" t="inlineStr">
        <is>
          <t>B-30</t>
        </is>
      </c>
      <c r="M380" s="102" t="inlineStr">
        <is>
          <t>PON-16</t>
        </is>
      </c>
      <c r="N380" s="102" t="inlineStr">
        <is>
          <t>Chưa lắp</t>
        </is>
      </c>
      <c r="O380" s="151" t="n"/>
      <c r="P380" s="152" t="n"/>
      <c r="Q380" s="13">
        <f>M380&amp;" &gt; P96#"&amp;U380&amp;" &gt; "&amp;K380&amp;" &gt; P96#"&amp;L380&amp;" &gt; "&amp;R380&amp;" "&amp;S380&amp;" "&amp;T380&amp;" &gt; "&amp;H380&amp;"#"&amp;I380&amp;" &gt; "&amp;F380&amp;" p"&amp;G380</f>
        <v/>
      </c>
      <c r="R380" s="9" t="inlineStr">
        <is>
          <t>ODF-17/18</t>
        </is>
      </c>
      <c r="S380" s="9" t="inlineStr">
        <is>
          <t>Phải</t>
        </is>
      </c>
      <c r="T380" s="9" t="inlineStr">
        <is>
          <t>H2-C5</t>
        </is>
      </c>
      <c r="U380" s="9" t="inlineStr">
        <is>
          <t>B-44</t>
        </is>
      </c>
    </row>
    <row r="381">
      <c r="A381" s="151" t="inlineStr">
        <is>
          <t>B-21-04</t>
        </is>
      </c>
      <c r="B381" s="102" t="inlineStr">
        <is>
          <t>B</t>
        </is>
      </c>
      <c r="C381" s="102" t="inlineStr">
        <is>
          <t>21</t>
        </is>
      </c>
      <c r="D381" s="102" t="n">
        <v>4</v>
      </c>
      <c r="E381" s="102" t="inlineStr">
        <is>
          <t>TU-B20</t>
        </is>
      </c>
      <c r="F381" s="102" t="inlineStr">
        <is>
          <t>TU-B20/S3</t>
        </is>
      </c>
      <c r="G381" s="102" t="n">
        <v>4</v>
      </c>
      <c r="H381" s="102" t="inlineStr">
        <is>
          <t>TR-B3</t>
        </is>
      </c>
      <c r="I381" s="102" t="n">
        <v>11</v>
      </c>
      <c r="J381" s="102" t="inlineStr">
        <is>
          <t>Ống 2 Cam / Xám</t>
        </is>
      </c>
      <c r="K381" s="102" t="inlineStr">
        <is>
          <t>S4-16</t>
        </is>
      </c>
      <c r="L381" s="102" t="inlineStr">
        <is>
          <t>B-30</t>
        </is>
      </c>
      <c r="M381" s="102" t="inlineStr">
        <is>
          <t>PON-16</t>
        </is>
      </c>
      <c r="N381" s="102" t="inlineStr">
        <is>
          <t>Chưa lắp</t>
        </is>
      </c>
      <c r="O381" s="151" t="n"/>
      <c r="P381" s="152" t="n"/>
      <c r="Q381" s="13">
        <f>M381&amp;" &gt; P96#"&amp;U381&amp;" &gt; "&amp;K381&amp;" &gt; P96#"&amp;L381&amp;" &gt; "&amp;R381&amp;" "&amp;S381&amp;" "&amp;T381&amp;" &gt; "&amp;H381&amp;"#"&amp;I381&amp;" &gt; "&amp;F381&amp;" p"&amp;G381</f>
        <v/>
      </c>
      <c r="R381" s="9" t="inlineStr">
        <is>
          <t>ODF-17/18</t>
        </is>
      </c>
      <c r="S381" s="9" t="inlineStr">
        <is>
          <t>Phải</t>
        </is>
      </c>
      <c r="T381" s="9" t="inlineStr">
        <is>
          <t>H2-C5</t>
        </is>
      </c>
      <c r="U381" s="9" t="inlineStr">
        <is>
          <t>B-44</t>
        </is>
      </c>
    </row>
    <row r="382">
      <c r="A382" s="151" t="inlineStr">
        <is>
          <t>B-21-05</t>
        </is>
      </c>
      <c r="B382" s="102" t="inlineStr">
        <is>
          <t>B</t>
        </is>
      </c>
      <c r="C382" s="102" t="inlineStr">
        <is>
          <t>21</t>
        </is>
      </c>
      <c r="D382" s="102" t="n">
        <v>5</v>
      </c>
      <c r="E382" s="102" t="inlineStr">
        <is>
          <t>TU-B20</t>
        </is>
      </c>
      <c r="F382" s="102" t="inlineStr">
        <is>
          <t>TU-B20/S3</t>
        </is>
      </c>
      <c r="G382" s="102" t="n">
        <v>5</v>
      </c>
      <c r="H382" s="102" t="inlineStr">
        <is>
          <t>TR-B3</t>
        </is>
      </c>
      <c r="I382" s="102" t="n">
        <v>11</v>
      </c>
      <c r="J382" s="102" t="inlineStr">
        <is>
          <t>Ống 2 Cam / Xám</t>
        </is>
      </c>
      <c r="K382" s="102" t="inlineStr">
        <is>
          <t>S4-16</t>
        </is>
      </c>
      <c r="L382" s="102" t="inlineStr">
        <is>
          <t>B-30</t>
        </is>
      </c>
      <c r="M382" s="102" t="inlineStr">
        <is>
          <t>PON-16</t>
        </is>
      </c>
      <c r="N382" s="102" t="inlineStr">
        <is>
          <t>Chưa lắp</t>
        </is>
      </c>
      <c r="O382" s="151" t="n"/>
      <c r="P382" s="152" t="n"/>
      <c r="Q382" s="13">
        <f>M382&amp;" &gt; P96#"&amp;U382&amp;" &gt; "&amp;K382&amp;" &gt; P96#"&amp;L382&amp;" &gt; "&amp;R382&amp;" "&amp;S382&amp;" "&amp;T382&amp;" &gt; "&amp;H382&amp;"#"&amp;I382&amp;" &gt; "&amp;F382&amp;" p"&amp;G382</f>
        <v/>
      </c>
      <c r="R382" s="9" t="inlineStr">
        <is>
          <t>ODF-17/18</t>
        </is>
      </c>
      <c r="S382" s="9" t="inlineStr">
        <is>
          <t>Phải</t>
        </is>
      </c>
      <c r="T382" s="9" t="inlineStr">
        <is>
          <t>H2-C5</t>
        </is>
      </c>
      <c r="U382" s="9" t="inlineStr">
        <is>
          <t>B-44</t>
        </is>
      </c>
    </row>
    <row r="383">
      <c r="A383" s="151" t="inlineStr">
        <is>
          <t>B-21-06</t>
        </is>
      </c>
      <c r="B383" s="102" t="inlineStr">
        <is>
          <t>B</t>
        </is>
      </c>
      <c r="C383" s="102" t="inlineStr">
        <is>
          <t>21</t>
        </is>
      </c>
      <c r="D383" s="102" t="n">
        <v>6</v>
      </c>
      <c r="E383" s="102" t="inlineStr">
        <is>
          <t>TU-B20</t>
        </is>
      </c>
      <c r="F383" s="102" t="inlineStr">
        <is>
          <t>TU-B20/S3</t>
        </is>
      </c>
      <c r="G383" s="102" t="n">
        <v>6</v>
      </c>
      <c r="H383" s="102" t="inlineStr">
        <is>
          <t>TR-B3</t>
        </is>
      </c>
      <c r="I383" s="102" t="n">
        <v>11</v>
      </c>
      <c r="J383" s="102" t="inlineStr">
        <is>
          <t>Ống 2 Cam / Xám</t>
        </is>
      </c>
      <c r="K383" s="102" t="inlineStr">
        <is>
          <t>S4-16</t>
        </is>
      </c>
      <c r="L383" s="102" t="inlineStr">
        <is>
          <t>B-30</t>
        </is>
      </c>
      <c r="M383" s="102" t="inlineStr">
        <is>
          <t>PON-16</t>
        </is>
      </c>
      <c r="N383" s="102" t="inlineStr">
        <is>
          <t>Chưa lắp</t>
        </is>
      </c>
      <c r="O383" s="151" t="n"/>
      <c r="P383" s="152" t="n"/>
      <c r="Q383" s="13">
        <f>M383&amp;" &gt; P96#"&amp;U383&amp;" &gt; "&amp;K383&amp;" &gt; P96#"&amp;L383&amp;" &gt; "&amp;R383&amp;" "&amp;S383&amp;" "&amp;T383&amp;" &gt; "&amp;H383&amp;"#"&amp;I383&amp;" &gt; "&amp;F383&amp;" p"&amp;G383</f>
        <v/>
      </c>
      <c r="R383" s="9" t="inlineStr">
        <is>
          <t>ODF-17/18</t>
        </is>
      </c>
      <c r="S383" s="9" t="inlineStr">
        <is>
          <t>Phải</t>
        </is>
      </c>
      <c r="T383" s="9" t="inlineStr">
        <is>
          <t>H2-C5</t>
        </is>
      </c>
      <c r="U383" s="9" t="inlineStr">
        <is>
          <t>B-44</t>
        </is>
      </c>
    </row>
    <row r="384">
      <c r="A384" s="151" t="inlineStr">
        <is>
          <t>B-21-07</t>
        </is>
      </c>
      <c r="B384" s="102" t="inlineStr">
        <is>
          <t>B</t>
        </is>
      </c>
      <c r="C384" s="102" t="inlineStr">
        <is>
          <t>21</t>
        </is>
      </c>
      <c r="D384" s="102" t="n">
        <v>7</v>
      </c>
      <c r="E384" s="102" t="inlineStr">
        <is>
          <t>TU-B20</t>
        </is>
      </c>
      <c r="F384" s="102" t="inlineStr">
        <is>
          <t>TU-B20/S3</t>
        </is>
      </c>
      <c r="G384" s="102" t="n">
        <v>7</v>
      </c>
      <c r="H384" s="102" t="inlineStr">
        <is>
          <t>TR-B3</t>
        </is>
      </c>
      <c r="I384" s="102" t="n">
        <v>11</v>
      </c>
      <c r="J384" s="102" t="inlineStr">
        <is>
          <t>Ống 2 Cam / Xám</t>
        </is>
      </c>
      <c r="K384" s="102" t="inlineStr">
        <is>
          <t>S4-16</t>
        </is>
      </c>
      <c r="L384" s="102" t="inlineStr">
        <is>
          <t>B-30</t>
        </is>
      </c>
      <c r="M384" s="102" t="inlineStr">
        <is>
          <t>PON-16</t>
        </is>
      </c>
      <c r="N384" s="102" t="inlineStr">
        <is>
          <t>Chưa lắp</t>
        </is>
      </c>
      <c r="O384" s="151" t="n"/>
      <c r="P384" s="152" t="n"/>
      <c r="Q384" s="13">
        <f>M384&amp;" &gt; P96#"&amp;U384&amp;" &gt; "&amp;K384&amp;" &gt; P96#"&amp;L384&amp;" &gt; "&amp;R384&amp;" "&amp;S384&amp;" "&amp;T384&amp;" &gt; "&amp;H384&amp;"#"&amp;I384&amp;" &gt; "&amp;F384&amp;" p"&amp;G384</f>
        <v/>
      </c>
      <c r="R384" s="9" t="inlineStr">
        <is>
          <t>ODF-17/18</t>
        </is>
      </c>
      <c r="S384" s="9" t="inlineStr">
        <is>
          <t>Phải</t>
        </is>
      </c>
      <c r="T384" s="9" t="inlineStr">
        <is>
          <t>H2-C5</t>
        </is>
      </c>
      <c r="U384" s="9" t="inlineStr">
        <is>
          <t>B-44</t>
        </is>
      </c>
    </row>
    <row r="385">
      <c r="A385" s="151" t="inlineStr">
        <is>
          <t>B-21-08</t>
        </is>
      </c>
      <c r="B385" s="102" t="inlineStr">
        <is>
          <t>B</t>
        </is>
      </c>
      <c r="C385" s="102" t="inlineStr">
        <is>
          <t>21</t>
        </is>
      </c>
      <c r="D385" s="102" t="n">
        <v>8</v>
      </c>
      <c r="E385" s="102" t="inlineStr">
        <is>
          <t>TU-B20</t>
        </is>
      </c>
      <c r="F385" s="102" t="inlineStr">
        <is>
          <t>TU-B20/S3</t>
        </is>
      </c>
      <c r="G385" s="102" t="n">
        <v>8</v>
      </c>
      <c r="H385" s="102" t="inlineStr">
        <is>
          <t>TR-B3</t>
        </is>
      </c>
      <c r="I385" s="102" t="n">
        <v>11</v>
      </c>
      <c r="J385" s="102" t="inlineStr">
        <is>
          <t>Ống 2 Cam / Xám</t>
        </is>
      </c>
      <c r="K385" s="102" t="inlineStr">
        <is>
          <t>S4-16</t>
        </is>
      </c>
      <c r="L385" s="102" t="inlineStr">
        <is>
          <t>B-30</t>
        </is>
      </c>
      <c r="M385" s="102" t="inlineStr">
        <is>
          <t>PON-16</t>
        </is>
      </c>
      <c r="N385" s="102" t="inlineStr">
        <is>
          <t>Chưa lắp</t>
        </is>
      </c>
      <c r="O385" s="151" t="n"/>
      <c r="P385" s="152" t="n"/>
      <c r="Q385" s="13">
        <f>M385&amp;" &gt; P96#"&amp;U385&amp;" &gt; "&amp;K385&amp;" &gt; P96#"&amp;L385&amp;" &gt; "&amp;R385&amp;" "&amp;S385&amp;" "&amp;T385&amp;" &gt; "&amp;H385&amp;"#"&amp;I385&amp;" &gt; "&amp;F385&amp;" p"&amp;G385</f>
        <v/>
      </c>
      <c r="R385" s="9" t="inlineStr">
        <is>
          <t>ODF-17/18</t>
        </is>
      </c>
      <c r="S385" s="9" t="inlineStr">
        <is>
          <t>Phải</t>
        </is>
      </c>
      <c r="T385" s="9" t="inlineStr">
        <is>
          <t>H2-C5</t>
        </is>
      </c>
      <c r="U385" s="9" t="inlineStr">
        <is>
          <t>B-44</t>
        </is>
      </c>
    </row>
    <row r="386">
      <c r="A386" s="151" t="inlineStr">
        <is>
          <t>B-21-09</t>
        </is>
      </c>
      <c r="B386" s="102" t="inlineStr">
        <is>
          <t>B</t>
        </is>
      </c>
      <c r="C386" s="102" t="inlineStr">
        <is>
          <t>21</t>
        </is>
      </c>
      <c r="D386" s="102" t="n">
        <v>9</v>
      </c>
      <c r="E386" s="102" t="inlineStr">
        <is>
          <t>TU-B20</t>
        </is>
      </c>
      <c r="F386" s="102" t="inlineStr">
        <is>
          <t>TU-B20/S3</t>
        </is>
      </c>
      <c r="G386" s="102" t="n">
        <v>9</v>
      </c>
      <c r="H386" s="102" t="inlineStr">
        <is>
          <t>TR-B3</t>
        </is>
      </c>
      <c r="I386" s="102" t="n">
        <v>11</v>
      </c>
      <c r="J386" s="102" t="inlineStr">
        <is>
          <t>Ống 2 Cam / Xám</t>
        </is>
      </c>
      <c r="K386" s="102" t="inlineStr">
        <is>
          <t>S4-16</t>
        </is>
      </c>
      <c r="L386" s="102" t="inlineStr">
        <is>
          <t>B-30</t>
        </is>
      </c>
      <c r="M386" s="102" t="inlineStr">
        <is>
          <t>PON-16</t>
        </is>
      </c>
      <c r="N386" s="102" t="inlineStr">
        <is>
          <t>Chưa lắp</t>
        </is>
      </c>
      <c r="O386" s="151" t="n"/>
      <c r="P386" s="152" t="n"/>
      <c r="Q386" s="13">
        <f>M386&amp;" &gt; P96#"&amp;U386&amp;" &gt; "&amp;K386&amp;" &gt; P96#"&amp;L386&amp;" &gt; "&amp;R386&amp;" "&amp;S386&amp;" "&amp;T386&amp;" &gt; "&amp;H386&amp;"#"&amp;I386&amp;" &gt; "&amp;F386&amp;" p"&amp;G386</f>
        <v/>
      </c>
      <c r="R386" s="9" t="inlineStr">
        <is>
          <t>ODF-17/18</t>
        </is>
      </c>
      <c r="S386" s="9" t="inlineStr">
        <is>
          <t>Phải</t>
        </is>
      </c>
      <c r="T386" s="9" t="inlineStr">
        <is>
          <t>H2-C5</t>
        </is>
      </c>
      <c r="U386" s="9" t="inlineStr">
        <is>
          <t>B-44</t>
        </is>
      </c>
    </row>
    <row r="387">
      <c r="A387" s="151" t="inlineStr">
        <is>
          <t>B-21-10</t>
        </is>
      </c>
      <c r="B387" s="102" t="inlineStr">
        <is>
          <t>B</t>
        </is>
      </c>
      <c r="C387" s="102" t="inlineStr">
        <is>
          <t>21</t>
        </is>
      </c>
      <c r="D387" s="102" t="n">
        <v>10</v>
      </c>
      <c r="E387" s="102" t="inlineStr">
        <is>
          <t>TU-B20</t>
        </is>
      </c>
      <c r="F387" s="102" t="inlineStr">
        <is>
          <t>TU-B20/S3</t>
        </is>
      </c>
      <c r="G387" s="102" t="n">
        <v>10</v>
      </c>
      <c r="H387" s="102" t="inlineStr">
        <is>
          <t>TR-B3</t>
        </is>
      </c>
      <c r="I387" s="102" t="n">
        <v>11</v>
      </c>
      <c r="J387" s="102" t="inlineStr">
        <is>
          <t>Ống 2 Cam / Xám</t>
        </is>
      </c>
      <c r="K387" s="102" t="inlineStr">
        <is>
          <t>S4-16</t>
        </is>
      </c>
      <c r="L387" s="102" t="inlineStr">
        <is>
          <t>B-30</t>
        </is>
      </c>
      <c r="M387" s="102" t="inlineStr">
        <is>
          <t>PON-16</t>
        </is>
      </c>
      <c r="N387" s="102" t="inlineStr">
        <is>
          <t>Chưa lắp</t>
        </is>
      </c>
      <c r="O387" s="151" t="n"/>
      <c r="P387" s="152" t="n"/>
      <c r="Q387" s="13">
        <f>M387&amp;" &gt; P96#"&amp;U387&amp;" &gt; "&amp;K387&amp;" &gt; P96#"&amp;L387&amp;" &gt; "&amp;R387&amp;" "&amp;S387&amp;" "&amp;T387&amp;" &gt; "&amp;H387&amp;"#"&amp;I387&amp;" &gt; "&amp;F387&amp;" p"&amp;G387</f>
        <v/>
      </c>
      <c r="R387" s="9" t="inlineStr">
        <is>
          <t>ODF-17/18</t>
        </is>
      </c>
      <c r="S387" s="9" t="inlineStr">
        <is>
          <t>Phải</t>
        </is>
      </c>
      <c r="T387" s="9" t="inlineStr">
        <is>
          <t>H2-C5</t>
        </is>
      </c>
      <c r="U387" s="9" t="inlineStr">
        <is>
          <t>B-44</t>
        </is>
      </c>
    </row>
    <row r="388">
      <c r="A388" s="151" t="inlineStr">
        <is>
          <t>B-21-11</t>
        </is>
      </c>
      <c r="B388" s="102" t="inlineStr">
        <is>
          <t>B</t>
        </is>
      </c>
      <c r="C388" s="102" t="inlineStr">
        <is>
          <t>21</t>
        </is>
      </c>
      <c r="D388" s="102" t="n">
        <v>11</v>
      </c>
      <c r="E388" s="102" t="inlineStr">
        <is>
          <t>TU-B20</t>
        </is>
      </c>
      <c r="F388" s="102" t="inlineStr">
        <is>
          <t>TU-B20/S3</t>
        </is>
      </c>
      <c r="G388" s="102" t="n">
        <v>11</v>
      </c>
      <c r="H388" s="102" t="inlineStr">
        <is>
          <t>TR-B3</t>
        </is>
      </c>
      <c r="I388" s="102" t="n">
        <v>11</v>
      </c>
      <c r="J388" s="102" t="inlineStr">
        <is>
          <t>Ống 2 Cam / Xám</t>
        </is>
      </c>
      <c r="K388" s="102" t="inlineStr">
        <is>
          <t>S4-16</t>
        </is>
      </c>
      <c r="L388" s="102" t="inlineStr">
        <is>
          <t>B-30</t>
        </is>
      </c>
      <c r="M388" s="102" t="inlineStr">
        <is>
          <t>PON-16</t>
        </is>
      </c>
      <c r="N388" s="102" t="inlineStr">
        <is>
          <t>Chưa lắp</t>
        </is>
      </c>
      <c r="O388" s="151" t="n"/>
      <c r="P388" s="152" t="n"/>
      <c r="Q388" s="13">
        <f>M388&amp;" &gt; P96#"&amp;U388&amp;" &gt; "&amp;K388&amp;" &gt; P96#"&amp;L388&amp;" &gt; "&amp;R388&amp;" "&amp;S388&amp;" "&amp;T388&amp;" &gt; "&amp;H388&amp;"#"&amp;I388&amp;" &gt; "&amp;F388&amp;" p"&amp;G388</f>
        <v/>
      </c>
      <c r="R388" s="9" t="inlineStr">
        <is>
          <t>ODF-17/18</t>
        </is>
      </c>
      <c r="S388" s="9" t="inlineStr">
        <is>
          <t>Phải</t>
        </is>
      </c>
      <c r="T388" s="9" t="inlineStr">
        <is>
          <t>H2-C5</t>
        </is>
      </c>
      <c r="U388" s="9" t="inlineStr">
        <is>
          <t>B-44</t>
        </is>
      </c>
    </row>
    <row r="389">
      <c r="A389" s="151" t="inlineStr">
        <is>
          <t>B-21-12</t>
        </is>
      </c>
      <c r="B389" s="102" t="inlineStr">
        <is>
          <t>B</t>
        </is>
      </c>
      <c r="C389" s="102" t="inlineStr">
        <is>
          <t>21</t>
        </is>
      </c>
      <c r="D389" s="102" t="n">
        <v>12</v>
      </c>
      <c r="E389" s="102" t="inlineStr">
        <is>
          <t>TU-B20</t>
        </is>
      </c>
      <c r="F389" s="102" t="inlineStr">
        <is>
          <t>TU-B20/S3</t>
        </is>
      </c>
      <c r="G389" s="102" t="n">
        <v>12</v>
      </c>
      <c r="H389" s="102" t="inlineStr">
        <is>
          <t>TR-B3</t>
        </is>
      </c>
      <c r="I389" s="102" t="n">
        <v>11</v>
      </c>
      <c r="J389" s="102" t="inlineStr">
        <is>
          <t>Ống 2 Cam / Xám</t>
        </is>
      </c>
      <c r="K389" s="102" t="inlineStr">
        <is>
          <t>S4-16</t>
        </is>
      </c>
      <c r="L389" s="102" t="inlineStr">
        <is>
          <t>B-30</t>
        </is>
      </c>
      <c r="M389" s="102" t="inlineStr">
        <is>
          <t>PON-16</t>
        </is>
      </c>
      <c r="N389" s="102" t="inlineStr">
        <is>
          <t>Chưa lắp</t>
        </is>
      </c>
      <c r="O389" s="151" t="n"/>
      <c r="P389" s="152" t="n"/>
      <c r="Q389" s="13">
        <f>M389&amp;" &gt; P96#"&amp;U389&amp;" &gt; "&amp;K389&amp;" &gt; P96#"&amp;L389&amp;" &gt; "&amp;R389&amp;" "&amp;S389&amp;" "&amp;T389&amp;" &gt; "&amp;H389&amp;"#"&amp;I389&amp;" &gt; "&amp;F389&amp;" p"&amp;G389</f>
        <v/>
      </c>
      <c r="R389" s="9" t="inlineStr">
        <is>
          <t>ODF-17/18</t>
        </is>
      </c>
      <c r="S389" s="9" t="inlineStr">
        <is>
          <t>Phải</t>
        </is>
      </c>
      <c r="T389" s="9" t="inlineStr">
        <is>
          <t>H2-C5</t>
        </is>
      </c>
      <c r="U389" s="9" t="inlineStr">
        <is>
          <t>B-44</t>
        </is>
      </c>
    </row>
    <row r="390">
      <c r="A390" s="151" t="inlineStr">
        <is>
          <t>B-21-13</t>
        </is>
      </c>
      <c r="B390" s="102" t="inlineStr">
        <is>
          <t>B</t>
        </is>
      </c>
      <c r="C390" s="102" t="inlineStr">
        <is>
          <t>21</t>
        </is>
      </c>
      <c r="D390" s="102" t="n">
        <v>13</v>
      </c>
      <c r="E390" s="102" t="inlineStr">
        <is>
          <t>TU-B20</t>
        </is>
      </c>
      <c r="F390" s="102" t="inlineStr">
        <is>
          <t>TU-B20/S3</t>
        </is>
      </c>
      <c r="G390" s="102" t="n">
        <v>13</v>
      </c>
      <c r="H390" s="102" t="inlineStr">
        <is>
          <t>TR-B3</t>
        </is>
      </c>
      <c r="I390" s="102" t="n">
        <v>11</v>
      </c>
      <c r="J390" s="102" t="inlineStr">
        <is>
          <t>Ống 2 Cam / Xám</t>
        </is>
      </c>
      <c r="K390" s="102" t="inlineStr">
        <is>
          <t>S4-16</t>
        </is>
      </c>
      <c r="L390" s="102" t="inlineStr">
        <is>
          <t>B-30</t>
        </is>
      </c>
      <c r="M390" s="102" t="inlineStr">
        <is>
          <t>PON-16</t>
        </is>
      </c>
      <c r="N390" s="102" t="inlineStr">
        <is>
          <t>Chưa lắp</t>
        </is>
      </c>
      <c r="O390" s="151" t="n"/>
      <c r="P390" s="152" t="n"/>
      <c r="Q390" s="13">
        <f>M390&amp;" &gt; P96#"&amp;U390&amp;" &gt; "&amp;K390&amp;" &gt; P96#"&amp;L390&amp;" &gt; "&amp;R390&amp;" "&amp;S390&amp;" "&amp;T390&amp;" &gt; "&amp;H390&amp;"#"&amp;I390&amp;" &gt; "&amp;F390&amp;" p"&amp;G390</f>
        <v/>
      </c>
      <c r="R390" s="9" t="inlineStr">
        <is>
          <t>ODF-17/18</t>
        </is>
      </c>
      <c r="S390" s="9" t="inlineStr">
        <is>
          <t>Phải</t>
        </is>
      </c>
      <c r="T390" s="9" t="inlineStr">
        <is>
          <t>H2-C5</t>
        </is>
      </c>
      <c r="U390" s="9" t="inlineStr">
        <is>
          <t>B-44</t>
        </is>
      </c>
    </row>
    <row r="391">
      <c r="A391" s="151" t="inlineStr">
        <is>
          <t>B-21-14</t>
        </is>
      </c>
      <c r="B391" s="102" t="inlineStr">
        <is>
          <t>B</t>
        </is>
      </c>
      <c r="C391" s="102" t="inlineStr">
        <is>
          <t>21</t>
        </is>
      </c>
      <c r="D391" s="102" t="n">
        <v>14</v>
      </c>
      <c r="E391" s="102" t="inlineStr">
        <is>
          <t>TU-B20</t>
        </is>
      </c>
      <c r="F391" s="102" t="inlineStr">
        <is>
          <t>TU-B20/S3</t>
        </is>
      </c>
      <c r="G391" s="102" t="n">
        <v>14</v>
      </c>
      <c r="H391" s="102" t="inlineStr">
        <is>
          <t>TR-B3</t>
        </is>
      </c>
      <c r="I391" s="102" t="n">
        <v>11</v>
      </c>
      <c r="J391" s="102" t="inlineStr">
        <is>
          <t>Ống 2 Cam / Xám</t>
        </is>
      </c>
      <c r="K391" s="102" t="inlineStr">
        <is>
          <t>S4-16</t>
        </is>
      </c>
      <c r="L391" s="102" t="inlineStr">
        <is>
          <t>B-30</t>
        </is>
      </c>
      <c r="M391" s="102" t="inlineStr">
        <is>
          <t>PON-16</t>
        </is>
      </c>
      <c r="N391" s="102" t="inlineStr">
        <is>
          <t>Chưa lắp</t>
        </is>
      </c>
      <c r="O391" s="151" t="n"/>
      <c r="P391" s="152" t="n"/>
      <c r="Q391" s="13">
        <f>M391&amp;" &gt; P96#"&amp;U391&amp;" &gt; "&amp;K391&amp;" &gt; P96#"&amp;L391&amp;" &gt; "&amp;R391&amp;" "&amp;S391&amp;" "&amp;T391&amp;" &gt; "&amp;H391&amp;"#"&amp;I391&amp;" &gt; "&amp;F391&amp;" p"&amp;G391</f>
        <v/>
      </c>
      <c r="R391" s="9" t="inlineStr">
        <is>
          <t>ODF-17/18</t>
        </is>
      </c>
      <c r="S391" s="9" t="inlineStr">
        <is>
          <t>Phải</t>
        </is>
      </c>
      <c r="T391" s="9" t="inlineStr">
        <is>
          <t>H2-C5</t>
        </is>
      </c>
      <c r="U391" s="9" t="inlineStr">
        <is>
          <t>B-44</t>
        </is>
      </c>
    </row>
    <row r="392">
      <c r="A392" s="151" t="inlineStr">
        <is>
          <t>B-20-01</t>
        </is>
      </c>
      <c r="B392" s="102" t="inlineStr">
        <is>
          <t>B</t>
        </is>
      </c>
      <c r="C392" s="102" t="inlineStr">
        <is>
          <t>20</t>
        </is>
      </c>
      <c r="D392" s="102" t="n">
        <v>1</v>
      </c>
      <c r="E392" s="102" t="inlineStr">
        <is>
          <t>TU-B20</t>
        </is>
      </c>
      <c r="F392" s="102" t="inlineStr">
        <is>
          <t>TU-B20/S2</t>
        </is>
      </c>
      <c r="G392" s="102" t="n">
        <v>1</v>
      </c>
      <c r="H392" s="102" t="inlineStr">
        <is>
          <t>TR-B3</t>
        </is>
      </c>
      <c r="I392" s="102" t="n">
        <v>10</v>
      </c>
      <c r="J392" s="102" t="inlineStr">
        <is>
          <t>Ống 2 Cam / Nâu</t>
        </is>
      </c>
      <c r="K392" s="102" t="inlineStr">
        <is>
          <t>S4-16</t>
        </is>
      </c>
      <c r="L392" s="102" t="inlineStr">
        <is>
          <t>B-29</t>
        </is>
      </c>
      <c r="M392" s="102" t="inlineStr">
        <is>
          <t>PON-16</t>
        </is>
      </c>
      <c r="N392" s="102" t="inlineStr">
        <is>
          <t>Chưa lắp</t>
        </is>
      </c>
      <c r="O392" s="151" t="n"/>
      <c r="P392" s="152" t="n"/>
      <c r="Q392" s="13">
        <f>M392&amp;" &gt; P96#"&amp;U392&amp;" &gt; "&amp;K392&amp;" &gt; P96#"&amp;L392&amp;" &gt; "&amp;R392&amp;" "&amp;S392&amp;" "&amp;T392&amp;" &gt; "&amp;H392&amp;"#"&amp;I392&amp;" &gt; "&amp;F392&amp;" p"&amp;G392</f>
        <v/>
      </c>
      <c r="R392" s="9" t="inlineStr">
        <is>
          <t>ODF-17/18</t>
        </is>
      </c>
      <c r="S392" s="9" t="inlineStr">
        <is>
          <t>Phải</t>
        </is>
      </c>
      <c r="T392" s="9" t="inlineStr">
        <is>
          <t>H2-C4</t>
        </is>
      </c>
      <c r="U392" s="9" t="inlineStr">
        <is>
          <t>B-44</t>
        </is>
      </c>
    </row>
    <row r="393">
      <c r="A393" s="151" t="inlineStr">
        <is>
          <t>B-20-02</t>
        </is>
      </c>
      <c r="B393" s="102" t="inlineStr">
        <is>
          <t>B</t>
        </is>
      </c>
      <c r="C393" s="102" t="inlineStr">
        <is>
          <t>20</t>
        </is>
      </c>
      <c r="D393" s="102" t="n">
        <v>2</v>
      </c>
      <c r="E393" s="102" t="inlineStr">
        <is>
          <t>TU-B20</t>
        </is>
      </c>
      <c r="F393" s="102" t="inlineStr">
        <is>
          <t>TU-B20/S2</t>
        </is>
      </c>
      <c r="G393" s="102" t="n">
        <v>2</v>
      </c>
      <c r="H393" s="102" t="inlineStr">
        <is>
          <t>TR-B3</t>
        </is>
      </c>
      <c r="I393" s="102" t="n">
        <v>10</v>
      </c>
      <c r="J393" s="102" t="inlineStr">
        <is>
          <t>Ống 2 Cam / Nâu</t>
        </is>
      </c>
      <c r="K393" s="102" t="inlineStr">
        <is>
          <t>S4-16</t>
        </is>
      </c>
      <c r="L393" s="102" t="inlineStr">
        <is>
          <t>B-29</t>
        </is>
      </c>
      <c r="M393" s="102" t="inlineStr">
        <is>
          <t>PON-16</t>
        </is>
      </c>
      <c r="N393" s="102" t="inlineStr">
        <is>
          <t>Chưa lắp</t>
        </is>
      </c>
      <c r="O393" s="151" t="n"/>
      <c r="P393" s="152" t="n"/>
      <c r="Q393" s="13">
        <f>M393&amp;" &gt; P96#"&amp;U393&amp;" &gt; "&amp;K393&amp;" &gt; P96#"&amp;L393&amp;" &gt; "&amp;R393&amp;" "&amp;S393&amp;" "&amp;T393&amp;" &gt; "&amp;H393&amp;"#"&amp;I393&amp;" &gt; "&amp;F393&amp;" p"&amp;G393</f>
        <v/>
      </c>
      <c r="R393" s="9" t="inlineStr">
        <is>
          <t>ODF-17/18</t>
        </is>
      </c>
      <c r="S393" s="9" t="inlineStr">
        <is>
          <t>Phải</t>
        </is>
      </c>
      <c r="T393" s="9" t="inlineStr">
        <is>
          <t>H2-C4</t>
        </is>
      </c>
      <c r="U393" s="9" t="inlineStr">
        <is>
          <t>B-44</t>
        </is>
      </c>
    </row>
    <row r="394">
      <c r="A394" s="149" t="inlineStr">
        <is>
          <t>B-20-03</t>
        </is>
      </c>
      <c r="B394" s="99" t="inlineStr">
        <is>
          <t>B</t>
        </is>
      </c>
      <c r="C394" s="99" t="inlineStr">
        <is>
          <t>20</t>
        </is>
      </c>
      <c r="D394" s="99" t="n">
        <v>3</v>
      </c>
      <c r="E394" s="99" t="inlineStr">
        <is>
          <t>TU-B20</t>
        </is>
      </c>
      <c r="F394" s="99" t="inlineStr">
        <is>
          <t>TU-B20/S2</t>
        </is>
      </c>
      <c r="G394" s="99" t="n">
        <v>3</v>
      </c>
      <c r="H394" s="99" t="inlineStr">
        <is>
          <t>TR-B3</t>
        </is>
      </c>
      <c r="I394" s="99" t="n">
        <v>10</v>
      </c>
      <c r="J394" s="99" t="inlineStr">
        <is>
          <t>Ống 2 Cam / Nâu</t>
        </is>
      </c>
      <c r="K394" s="99" t="inlineStr">
        <is>
          <t>S4-16</t>
        </is>
      </c>
      <c r="L394" s="99" t="inlineStr">
        <is>
          <t>B-29</t>
        </is>
      </c>
      <c r="M394" s="99" t="inlineStr">
        <is>
          <t>PON-16</t>
        </is>
      </c>
      <c r="N394" s="99" t="inlineStr">
        <is>
          <t>Chưa lắp</t>
        </is>
      </c>
      <c r="O394" s="149" t="n"/>
      <c r="P394" s="150" t="n"/>
      <c r="Q394" s="13">
        <f>M394&amp;" &gt; P96#"&amp;U394&amp;" &gt; "&amp;K394&amp;" &gt; P96#"&amp;L394&amp;" &gt; "&amp;R394&amp;" "&amp;S394&amp;" "&amp;T394&amp;" &gt; "&amp;H394&amp;"#"&amp;I394&amp;" &gt; "&amp;F394&amp;" p"&amp;G394</f>
        <v/>
      </c>
      <c r="R394" s="9" t="inlineStr">
        <is>
          <t>ODF-17/18</t>
        </is>
      </c>
      <c r="S394" s="9" t="inlineStr">
        <is>
          <t>Phải</t>
        </is>
      </c>
      <c r="T394" s="9" t="inlineStr">
        <is>
          <t>H2-C4</t>
        </is>
      </c>
      <c r="U394" s="9" t="inlineStr">
        <is>
          <t>B-44</t>
        </is>
      </c>
    </row>
    <row r="395">
      <c r="A395" s="149" t="inlineStr">
        <is>
          <t>B-20-04</t>
        </is>
      </c>
      <c r="B395" s="99" t="inlineStr">
        <is>
          <t>B</t>
        </is>
      </c>
      <c r="C395" s="99" t="inlineStr">
        <is>
          <t>20</t>
        </is>
      </c>
      <c r="D395" s="99" t="n">
        <v>4</v>
      </c>
      <c r="E395" s="99" t="inlineStr">
        <is>
          <t>TU-B20</t>
        </is>
      </c>
      <c r="F395" s="99" t="inlineStr">
        <is>
          <t>TU-B20/S2</t>
        </is>
      </c>
      <c r="G395" s="99" t="n">
        <v>4</v>
      </c>
      <c r="H395" s="99" t="inlineStr">
        <is>
          <t>TR-B3</t>
        </is>
      </c>
      <c r="I395" s="99" t="n">
        <v>10</v>
      </c>
      <c r="J395" s="99" t="inlineStr">
        <is>
          <t>Ống 2 Cam / Nâu</t>
        </is>
      </c>
      <c r="K395" s="99" t="inlineStr">
        <is>
          <t>S4-16</t>
        </is>
      </c>
      <c r="L395" s="99" t="inlineStr">
        <is>
          <t>B-29</t>
        </is>
      </c>
      <c r="M395" s="99" t="inlineStr">
        <is>
          <t>PON-16</t>
        </is>
      </c>
      <c r="N395" s="99" t="inlineStr">
        <is>
          <t>Chưa lắp</t>
        </is>
      </c>
      <c r="O395" s="149" t="n"/>
      <c r="P395" s="150" t="n"/>
      <c r="Q395" s="13">
        <f>M395&amp;" &gt; P96#"&amp;U395&amp;" &gt; "&amp;K395&amp;" &gt; P96#"&amp;L395&amp;" &gt; "&amp;R395&amp;" "&amp;S395&amp;" "&amp;T395&amp;" &gt; "&amp;H395&amp;"#"&amp;I395&amp;" &gt; "&amp;F395&amp;" p"&amp;G395</f>
        <v/>
      </c>
      <c r="R395" s="9" t="inlineStr">
        <is>
          <t>ODF-17/18</t>
        </is>
      </c>
      <c r="S395" s="9" t="inlineStr">
        <is>
          <t>Phải</t>
        </is>
      </c>
      <c r="T395" s="9" t="inlineStr">
        <is>
          <t>H2-C4</t>
        </is>
      </c>
      <c r="U395" s="9" t="inlineStr">
        <is>
          <t>B-44</t>
        </is>
      </c>
    </row>
    <row r="396">
      <c r="A396" s="149" t="inlineStr">
        <is>
          <t>B-20-05</t>
        </is>
      </c>
      <c r="B396" s="99" t="inlineStr">
        <is>
          <t>B</t>
        </is>
      </c>
      <c r="C396" s="99" t="inlineStr">
        <is>
          <t>20</t>
        </is>
      </c>
      <c r="D396" s="99" t="n">
        <v>5</v>
      </c>
      <c r="E396" s="99" t="inlineStr">
        <is>
          <t>TU-B20</t>
        </is>
      </c>
      <c r="F396" s="99" t="inlineStr">
        <is>
          <t>TU-B20/S2</t>
        </is>
      </c>
      <c r="G396" s="99" t="n">
        <v>5</v>
      </c>
      <c r="H396" s="99" t="inlineStr">
        <is>
          <t>TR-B3</t>
        </is>
      </c>
      <c r="I396" s="99" t="n">
        <v>10</v>
      </c>
      <c r="J396" s="99" t="inlineStr">
        <is>
          <t>Ống 2 Cam / Nâu</t>
        </is>
      </c>
      <c r="K396" s="99" t="inlineStr">
        <is>
          <t>S4-16</t>
        </is>
      </c>
      <c r="L396" s="99" t="inlineStr">
        <is>
          <t>B-29</t>
        </is>
      </c>
      <c r="M396" s="99" t="inlineStr">
        <is>
          <t>PON-16</t>
        </is>
      </c>
      <c r="N396" s="99" t="inlineStr">
        <is>
          <t>Chưa lắp</t>
        </is>
      </c>
      <c r="O396" s="149" t="n"/>
      <c r="P396" s="150" t="n"/>
      <c r="Q396" s="13">
        <f>M396&amp;" &gt; P96#"&amp;U396&amp;" &gt; "&amp;K396&amp;" &gt; P96#"&amp;L396&amp;" &gt; "&amp;R396&amp;" "&amp;S396&amp;" "&amp;T396&amp;" &gt; "&amp;H396&amp;"#"&amp;I396&amp;" &gt; "&amp;F396&amp;" p"&amp;G396</f>
        <v/>
      </c>
      <c r="R396" s="9" t="inlineStr">
        <is>
          <t>ODF-17/18</t>
        </is>
      </c>
      <c r="S396" s="9" t="inlineStr">
        <is>
          <t>Phải</t>
        </is>
      </c>
      <c r="T396" s="9" t="inlineStr">
        <is>
          <t>H2-C4</t>
        </is>
      </c>
      <c r="U396" s="9" t="inlineStr">
        <is>
          <t>B-44</t>
        </is>
      </c>
    </row>
    <row r="397">
      <c r="A397" s="149" t="inlineStr">
        <is>
          <t>B-20-06</t>
        </is>
      </c>
      <c r="B397" s="99" t="inlineStr">
        <is>
          <t>B</t>
        </is>
      </c>
      <c r="C397" s="99" t="inlineStr">
        <is>
          <t>20</t>
        </is>
      </c>
      <c r="D397" s="99" t="n">
        <v>6</v>
      </c>
      <c r="E397" s="99" t="inlineStr">
        <is>
          <t>TU-B20</t>
        </is>
      </c>
      <c r="F397" s="99" t="inlineStr">
        <is>
          <t>TU-B20/S2</t>
        </is>
      </c>
      <c r="G397" s="99" t="n">
        <v>6</v>
      </c>
      <c r="H397" s="99" t="inlineStr">
        <is>
          <t>TR-B3</t>
        </is>
      </c>
      <c r="I397" s="99" t="n">
        <v>10</v>
      </c>
      <c r="J397" s="99" t="inlineStr">
        <is>
          <t>Ống 2 Cam / Nâu</t>
        </is>
      </c>
      <c r="K397" s="99" t="inlineStr">
        <is>
          <t>S4-16</t>
        </is>
      </c>
      <c r="L397" s="99" t="inlineStr">
        <is>
          <t>B-29</t>
        </is>
      </c>
      <c r="M397" s="99" t="inlineStr">
        <is>
          <t>PON-16</t>
        </is>
      </c>
      <c r="N397" s="99" t="inlineStr">
        <is>
          <t>Chưa lắp</t>
        </is>
      </c>
      <c r="O397" s="149" t="n"/>
      <c r="P397" s="150" t="n"/>
      <c r="Q397" s="13">
        <f>M397&amp;" &gt; P96#"&amp;U397&amp;" &gt; "&amp;K397&amp;" &gt; P96#"&amp;L397&amp;" &gt; "&amp;R397&amp;" "&amp;S397&amp;" "&amp;T397&amp;" &gt; "&amp;H397&amp;"#"&amp;I397&amp;" &gt; "&amp;F397&amp;" p"&amp;G397</f>
        <v/>
      </c>
      <c r="R397" s="9" t="inlineStr">
        <is>
          <t>ODF-17/18</t>
        </is>
      </c>
      <c r="S397" s="9" t="inlineStr">
        <is>
          <t>Phải</t>
        </is>
      </c>
      <c r="T397" s="9" t="inlineStr">
        <is>
          <t>H2-C4</t>
        </is>
      </c>
      <c r="U397" s="9" t="inlineStr">
        <is>
          <t>B-44</t>
        </is>
      </c>
    </row>
    <row r="398">
      <c r="A398" s="149" t="inlineStr">
        <is>
          <t>B-20-07</t>
        </is>
      </c>
      <c r="B398" s="99" t="inlineStr">
        <is>
          <t>B</t>
        </is>
      </c>
      <c r="C398" s="99" t="inlineStr">
        <is>
          <t>20</t>
        </is>
      </c>
      <c r="D398" s="99" t="n">
        <v>7</v>
      </c>
      <c r="E398" s="99" t="inlineStr">
        <is>
          <t>TU-B20</t>
        </is>
      </c>
      <c r="F398" s="99" t="inlineStr">
        <is>
          <t>TU-B20/S2</t>
        </is>
      </c>
      <c r="G398" s="99" t="n">
        <v>7</v>
      </c>
      <c r="H398" s="99" t="inlineStr">
        <is>
          <t>TR-B3</t>
        </is>
      </c>
      <c r="I398" s="99" t="n">
        <v>10</v>
      </c>
      <c r="J398" s="99" t="inlineStr">
        <is>
          <t>Ống 2 Cam / Nâu</t>
        </is>
      </c>
      <c r="K398" s="99" t="inlineStr">
        <is>
          <t>S4-16</t>
        </is>
      </c>
      <c r="L398" s="99" t="inlineStr">
        <is>
          <t>B-29</t>
        </is>
      </c>
      <c r="M398" s="99" t="inlineStr">
        <is>
          <t>PON-16</t>
        </is>
      </c>
      <c r="N398" s="99" t="inlineStr">
        <is>
          <t>Chưa lắp</t>
        </is>
      </c>
      <c r="O398" s="149" t="n"/>
      <c r="P398" s="150" t="n"/>
      <c r="Q398" s="13">
        <f>M398&amp;" &gt; P96#"&amp;U398&amp;" &gt; "&amp;K398&amp;" &gt; P96#"&amp;L398&amp;" &gt; "&amp;R398&amp;" "&amp;S398&amp;" "&amp;T398&amp;" &gt; "&amp;H398&amp;"#"&amp;I398&amp;" &gt; "&amp;F398&amp;" p"&amp;G398</f>
        <v/>
      </c>
      <c r="R398" s="9" t="inlineStr">
        <is>
          <t>ODF-17/18</t>
        </is>
      </c>
      <c r="S398" s="9" t="inlineStr">
        <is>
          <t>Phải</t>
        </is>
      </c>
      <c r="T398" s="9" t="inlineStr">
        <is>
          <t>H2-C4</t>
        </is>
      </c>
      <c r="U398" s="9" t="inlineStr">
        <is>
          <t>B-44</t>
        </is>
      </c>
    </row>
    <row r="399">
      <c r="A399" s="149" t="inlineStr">
        <is>
          <t>B-20-08</t>
        </is>
      </c>
      <c r="B399" s="99" t="inlineStr">
        <is>
          <t>B</t>
        </is>
      </c>
      <c r="C399" s="99" t="inlineStr">
        <is>
          <t>20</t>
        </is>
      </c>
      <c r="D399" s="99" t="n">
        <v>8</v>
      </c>
      <c r="E399" s="99" t="inlineStr">
        <is>
          <t>TU-B20</t>
        </is>
      </c>
      <c r="F399" s="99" t="inlineStr">
        <is>
          <t>TU-B20/S2</t>
        </is>
      </c>
      <c r="G399" s="99" t="n">
        <v>8</v>
      </c>
      <c r="H399" s="99" t="inlineStr">
        <is>
          <t>TR-B3</t>
        </is>
      </c>
      <c r="I399" s="99" t="n">
        <v>10</v>
      </c>
      <c r="J399" s="99" t="inlineStr">
        <is>
          <t>Ống 2 Cam / Nâu</t>
        </is>
      </c>
      <c r="K399" s="99" t="inlineStr">
        <is>
          <t>S4-16</t>
        </is>
      </c>
      <c r="L399" s="99" t="inlineStr">
        <is>
          <t>B-29</t>
        </is>
      </c>
      <c r="M399" s="99" t="inlineStr">
        <is>
          <t>PON-16</t>
        </is>
      </c>
      <c r="N399" s="99" t="inlineStr">
        <is>
          <t>Chưa lắp</t>
        </is>
      </c>
      <c r="O399" s="149" t="n"/>
      <c r="P399" s="150" t="n"/>
      <c r="Q399" s="13">
        <f>M399&amp;" &gt; P96#"&amp;U399&amp;" &gt; "&amp;K399&amp;" &gt; P96#"&amp;L399&amp;" &gt; "&amp;R399&amp;" "&amp;S399&amp;" "&amp;T399&amp;" &gt; "&amp;H399&amp;"#"&amp;I399&amp;" &gt; "&amp;F399&amp;" p"&amp;G399</f>
        <v/>
      </c>
      <c r="R399" s="9" t="inlineStr">
        <is>
          <t>ODF-17/18</t>
        </is>
      </c>
      <c r="S399" s="9" t="inlineStr">
        <is>
          <t>Phải</t>
        </is>
      </c>
      <c r="T399" s="9" t="inlineStr">
        <is>
          <t>H2-C4</t>
        </is>
      </c>
      <c r="U399" s="9" t="inlineStr">
        <is>
          <t>B-44</t>
        </is>
      </c>
    </row>
    <row r="400">
      <c r="A400" s="149" t="inlineStr">
        <is>
          <t>B-20-09</t>
        </is>
      </c>
      <c r="B400" s="99" t="inlineStr">
        <is>
          <t>B</t>
        </is>
      </c>
      <c r="C400" s="99" t="inlineStr">
        <is>
          <t>20</t>
        </is>
      </c>
      <c r="D400" s="99" t="n">
        <v>9</v>
      </c>
      <c r="E400" s="99" t="inlineStr">
        <is>
          <t>TU-B20</t>
        </is>
      </c>
      <c r="F400" s="99" t="inlineStr">
        <is>
          <t>TU-B20/S2</t>
        </is>
      </c>
      <c r="G400" s="99" t="n">
        <v>9</v>
      </c>
      <c r="H400" s="99" t="inlineStr">
        <is>
          <t>TR-B3</t>
        </is>
      </c>
      <c r="I400" s="99" t="n">
        <v>10</v>
      </c>
      <c r="J400" s="99" t="inlineStr">
        <is>
          <t>Ống 2 Cam / Nâu</t>
        </is>
      </c>
      <c r="K400" s="99" t="inlineStr">
        <is>
          <t>S4-16</t>
        </is>
      </c>
      <c r="L400" s="99" t="inlineStr">
        <is>
          <t>B-29</t>
        </is>
      </c>
      <c r="M400" s="99" t="inlineStr">
        <is>
          <t>PON-16</t>
        </is>
      </c>
      <c r="N400" s="99" t="inlineStr">
        <is>
          <t>Chưa lắp</t>
        </is>
      </c>
      <c r="O400" s="149" t="n"/>
      <c r="P400" s="150" t="n"/>
      <c r="Q400" s="13">
        <f>M400&amp;" &gt; P96#"&amp;U400&amp;" &gt; "&amp;K400&amp;" &gt; P96#"&amp;L400&amp;" &gt; "&amp;R400&amp;" "&amp;S400&amp;" "&amp;T400&amp;" &gt; "&amp;H400&amp;"#"&amp;I400&amp;" &gt; "&amp;F400&amp;" p"&amp;G400</f>
        <v/>
      </c>
      <c r="R400" s="9" t="inlineStr">
        <is>
          <t>ODF-17/18</t>
        </is>
      </c>
      <c r="S400" s="9" t="inlineStr">
        <is>
          <t>Phải</t>
        </is>
      </c>
      <c r="T400" s="9" t="inlineStr">
        <is>
          <t>H2-C4</t>
        </is>
      </c>
      <c r="U400" s="9" t="inlineStr">
        <is>
          <t>B-44</t>
        </is>
      </c>
    </row>
    <row r="401">
      <c r="A401" s="149" t="inlineStr">
        <is>
          <t>B-20-10</t>
        </is>
      </c>
      <c r="B401" s="99" t="inlineStr">
        <is>
          <t>B</t>
        </is>
      </c>
      <c r="C401" s="99" t="inlineStr">
        <is>
          <t>20</t>
        </is>
      </c>
      <c r="D401" s="99" t="n">
        <v>10</v>
      </c>
      <c r="E401" s="99" t="inlineStr">
        <is>
          <t>TU-B20</t>
        </is>
      </c>
      <c r="F401" s="99" t="inlineStr">
        <is>
          <t>TU-B20/S2</t>
        </is>
      </c>
      <c r="G401" s="99" t="n">
        <v>10</v>
      </c>
      <c r="H401" s="99" t="inlineStr">
        <is>
          <t>TR-B3</t>
        </is>
      </c>
      <c r="I401" s="99" t="n">
        <v>10</v>
      </c>
      <c r="J401" s="99" t="inlineStr">
        <is>
          <t>Ống 2 Cam / Nâu</t>
        </is>
      </c>
      <c r="K401" s="99" t="inlineStr">
        <is>
          <t>S4-16</t>
        </is>
      </c>
      <c r="L401" s="99" t="inlineStr">
        <is>
          <t>B-29</t>
        </is>
      </c>
      <c r="M401" s="99" t="inlineStr">
        <is>
          <t>PON-16</t>
        </is>
      </c>
      <c r="N401" s="99" t="inlineStr">
        <is>
          <t>Chưa lắp</t>
        </is>
      </c>
      <c r="O401" s="149" t="n"/>
      <c r="P401" s="150" t="n"/>
      <c r="Q401" s="13">
        <f>M401&amp;" &gt; P96#"&amp;U401&amp;" &gt; "&amp;K401&amp;" &gt; P96#"&amp;L401&amp;" &gt; "&amp;R401&amp;" "&amp;S401&amp;" "&amp;T401&amp;" &gt; "&amp;H401&amp;"#"&amp;I401&amp;" &gt; "&amp;F401&amp;" p"&amp;G401</f>
        <v/>
      </c>
      <c r="R401" s="9" t="inlineStr">
        <is>
          <t>ODF-17/18</t>
        </is>
      </c>
      <c r="S401" s="9" t="inlineStr">
        <is>
          <t>Phải</t>
        </is>
      </c>
      <c r="T401" s="9" t="inlineStr">
        <is>
          <t>H2-C4</t>
        </is>
      </c>
      <c r="U401" s="9" t="inlineStr">
        <is>
          <t>B-44</t>
        </is>
      </c>
    </row>
    <row r="402">
      <c r="A402" s="149" t="inlineStr">
        <is>
          <t>B-20-11</t>
        </is>
      </c>
      <c r="B402" s="99" t="inlineStr">
        <is>
          <t>B</t>
        </is>
      </c>
      <c r="C402" s="99" t="inlineStr">
        <is>
          <t>20</t>
        </is>
      </c>
      <c r="D402" s="99" t="n">
        <v>11</v>
      </c>
      <c r="E402" s="99" t="inlineStr">
        <is>
          <t>TU-B20</t>
        </is>
      </c>
      <c r="F402" s="99" t="inlineStr">
        <is>
          <t>TU-B20/S2</t>
        </is>
      </c>
      <c r="G402" s="99" t="n">
        <v>11</v>
      </c>
      <c r="H402" s="99" t="inlineStr">
        <is>
          <t>TR-B3</t>
        </is>
      </c>
      <c r="I402" s="99" t="n">
        <v>10</v>
      </c>
      <c r="J402" s="99" t="inlineStr">
        <is>
          <t>Ống 2 Cam / Nâu</t>
        </is>
      </c>
      <c r="K402" s="99" t="inlineStr">
        <is>
          <t>S4-16</t>
        </is>
      </c>
      <c r="L402" s="99" t="inlineStr">
        <is>
          <t>B-29</t>
        </is>
      </c>
      <c r="M402" s="99" t="inlineStr">
        <is>
          <t>PON-16</t>
        </is>
      </c>
      <c r="N402" s="99" t="inlineStr">
        <is>
          <t>Chưa lắp</t>
        </is>
      </c>
      <c r="O402" s="149" t="n"/>
      <c r="P402" s="150" t="n"/>
      <c r="Q402" s="13">
        <f>M402&amp;" &gt; P96#"&amp;U402&amp;" &gt; "&amp;K402&amp;" &gt; P96#"&amp;L402&amp;" &gt; "&amp;R402&amp;" "&amp;S402&amp;" "&amp;T402&amp;" &gt; "&amp;H402&amp;"#"&amp;I402&amp;" &gt; "&amp;F402&amp;" p"&amp;G402</f>
        <v/>
      </c>
      <c r="R402" s="9" t="inlineStr">
        <is>
          <t>ODF-17/18</t>
        </is>
      </c>
      <c r="S402" s="9" t="inlineStr">
        <is>
          <t>Phải</t>
        </is>
      </c>
      <c r="T402" s="9" t="inlineStr">
        <is>
          <t>H2-C4</t>
        </is>
      </c>
      <c r="U402" s="9" t="inlineStr">
        <is>
          <t>B-44</t>
        </is>
      </c>
    </row>
    <row r="403">
      <c r="A403" s="149" t="inlineStr">
        <is>
          <t>B-20-12</t>
        </is>
      </c>
      <c r="B403" s="99" t="inlineStr">
        <is>
          <t>B</t>
        </is>
      </c>
      <c r="C403" s="99" t="inlineStr">
        <is>
          <t>20</t>
        </is>
      </c>
      <c r="D403" s="99" t="n">
        <v>12</v>
      </c>
      <c r="E403" s="99" t="inlineStr">
        <is>
          <t>TU-B20</t>
        </is>
      </c>
      <c r="F403" s="99" t="inlineStr">
        <is>
          <t>TU-B20/S2</t>
        </is>
      </c>
      <c r="G403" s="99" t="n">
        <v>12</v>
      </c>
      <c r="H403" s="99" t="inlineStr">
        <is>
          <t>TR-B3</t>
        </is>
      </c>
      <c r="I403" s="99" t="n">
        <v>10</v>
      </c>
      <c r="J403" s="99" t="inlineStr">
        <is>
          <t>Ống 2 Cam / Nâu</t>
        </is>
      </c>
      <c r="K403" s="99" t="inlineStr">
        <is>
          <t>S4-16</t>
        </is>
      </c>
      <c r="L403" s="99" t="inlineStr">
        <is>
          <t>B-29</t>
        </is>
      </c>
      <c r="M403" s="99" t="inlineStr">
        <is>
          <t>PON-16</t>
        </is>
      </c>
      <c r="N403" s="99" t="inlineStr">
        <is>
          <t>Chưa lắp</t>
        </is>
      </c>
      <c r="O403" s="149" t="n"/>
      <c r="P403" s="150" t="n"/>
      <c r="Q403" s="13">
        <f>M403&amp;" &gt; P96#"&amp;U403&amp;" &gt; "&amp;K403&amp;" &gt; P96#"&amp;L403&amp;" &gt; "&amp;R403&amp;" "&amp;S403&amp;" "&amp;T403&amp;" &gt; "&amp;H403&amp;"#"&amp;I403&amp;" &gt; "&amp;F403&amp;" p"&amp;G403</f>
        <v/>
      </c>
      <c r="R403" s="9" t="inlineStr">
        <is>
          <t>ODF-17/18</t>
        </is>
      </c>
      <c r="S403" s="9" t="inlineStr">
        <is>
          <t>Phải</t>
        </is>
      </c>
      <c r="T403" s="9" t="inlineStr">
        <is>
          <t>H2-C4</t>
        </is>
      </c>
      <c r="U403" s="9" t="inlineStr">
        <is>
          <t>B-44</t>
        </is>
      </c>
    </row>
    <row r="404">
      <c r="A404" s="149" t="inlineStr">
        <is>
          <t>B-20-13</t>
        </is>
      </c>
      <c r="B404" s="99" t="inlineStr">
        <is>
          <t>B</t>
        </is>
      </c>
      <c r="C404" s="99" t="inlineStr">
        <is>
          <t>20</t>
        </is>
      </c>
      <c r="D404" s="99" t="n">
        <v>13</v>
      </c>
      <c r="E404" s="99" t="inlineStr">
        <is>
          <t>TU-B20</t>
        </is>
      </c>
      <c r="F404" s="99" t="inlineStr">
        <is>
          <t>TU-B20/S2</t>
        </is>
      </c>
      <c r="G404" s="99" t="n">
        <v>13</v>
      </c>
      <c r="H404" s="99" t="inlineStr">
        <is>
          <t>TR-B3</t>
        </is>
      </c>
      <c r="I404" s="99" t="n">
        <v>10</v>
      </c>
      <c r="J404" s="99" t="inlineStr">
        <is>
          <t>Ống 2 Cam / Nâu</t>
        </is>
      </c>
      <c r="K404" s="99" t="inlineStr">
        <is>
          <t>S4-16</t>
        </is>
      </c>
      <c r="L404" s="99" t="inlineStr">
        <is>
          <t>B-29</t>
        </is>
      </c>
      <c r="M404" s="99" t="inlineStr">
        <is>
          <t>PON-16</t>
        </is>
      </c>
      <c r="N404" s="99" t="inlineStr">
        <is>
          <t>Chưa lắp</t>
        </is>
      </c>
      <c r="O404" s="149" t="n"/>
      <c r="P404" s="150" t="n"/>
      <c r="Q404" s="13">
        <f>M404&amp;" &gt; P96#"&amp;U404&amp;" &gt; "&amp;K404&amp;" &gt; P96#"&amp;L404&amp;" &gt; "&amp;R404&amp;" "&amp;S404&amp;" "&amp;T404&amp;" &gt; "&amp;H404&amp;"#"&amp;I404&amp;" &gt; "&amp;F404&amp;" p"&amp;G404</f>
        <v/>
      </c>
      <c r="R404" s="9" t="inlineStr">
        <is>
          <t>ODF-17/18</t>
        </is>
      </c>
      <c r="S404" s="9" t="inlineStr">
        <is>
          <t>Phải</t>
        </is>
      </c>
      <c r="T404" s="9" t="inlineStr">
        <is>
          <t>H2-C4</t>
        </is>
      </c>
      <c r="U404" s="9" t="inlineStr">
        <is>
          <t>B-44</t>
        </is>
      </c>
    </row>
    <row r="405">
      <c r="A405" s="149" t="inlineStr">
        <is>
          <t>B-20-14</t>
        </is>
      </c>
      <c r="B405" s="99" t="inlineStr">
        <is>
          <t>B</t>
        </is>
      </c>
      <c r="C405" s="99" t="inlineStr">
        <is>
          <t>20</t>
        </is>
      </c>
      <c r="D405" s="99" t="n">
        <v>14</v>
      </c>
      <c r="E405" s="99" t="inlineStr">
        <is>
          <t>TU-B20</t>
        </is>
      </c>
      <c r="F405" s="99" t="inlineStr">
        <is>
          <t>TU-B20/S2</t>
        </is>
      </c>
      <c r="G405" s="99" t="n">
        <v>14</v>
      </c>
      <c r="H405" s="99" t="inlineStr">
        <is>
          <t>TR-B3</t>
        </is>
      </c>
      <c r="I405" s="99" t="n">
        <v>10</v>
      </c>
      <c r="J405" s="99" t="inlineStr">
        <is>
          <t>Ống 2 Cam / Nâu</t>
        </is>
      </c>
      <c r="K405" s="99" t="inlineStr">
        <is>
          <t>S4-16</t>
        </is>
      </c>
      <c r="L405" s="99" t="inlineStr">
        <is>
          <t>B-29</t>
        </is>
      </c>
      <c r="M405" s="99" t="inlineStr">
        <is>
          <t>PON-16</t>
        </is>
      </c>
      <c r="N405" s="99" t="inlineStr">
        <is>
          <t>Chưa lắp</t>
        </is>
      </c>
      <c r="O405" s="149" t="n"/>
      <c r="P405" s="150" t="n"/>
      <c r="Q405" s="13">
        <f>M405&amp;" &gt; P96#"&amp;U405&amp;" &gt; "&amp;K405&amp;" &gt; P96#"&amp;L405&amp;" &gt; "&amp;R405&amp;" "&amp;S405&amp;" "&amp;T405&amp;" &gt; "&amp;H405&amp;"#"&amp;I405&amp;" &gt; "&amp;F405&amp;" p"&amp;G405</f>
        <v/>
      </c>
      <c r="R405" s="9" t="inlineStr">
        <is>
          <t>ODF-17/18</t>
        </is>
      </c>
      <c r="S405" s="9" t="inlineStr">
        <is>
          <t>Phải</t>
        </is>
      </c>
      <c r="T405" s="9" t="inlineStr">
        <is>
          <t>H2-C4</t>
        </is>
      </c>
      <c r="U405" s="9" t="inlineStr">
        <is>
          <t>B-44</t>
        </is>
      </c>
    </row>
    <row r="406">
      <c r="A406" s="149" t="inlineStr">
        <is>
          <t>B-19-01</t>
        </is>
      </c>
      <c r="B406" s="99" t="inlineStr">
        <is>
          <t>B</t>
        </is>
      </c>
      <c r="C406" s="99" t="inlineStr">
        <is>
          <t>19</t>
        </is>
      </c>
      <c r="D406" s="99" t="n">
        <v>1</v>
      </c>
      <c r="E406" s="99" t="inlineStr">
        <is>
          <t>TU-B20</t>
        </is>
      </c>
      <c r="F406" s="99" t="inlineStr">
        <is>
          <t>TU-B20/S1</t>
        </is>
      </c>
      <c r="G406" s="99" t="n">
        <v>1</v>
      </c>
      <c r="H406" s="99" t="inlineStr">
        <is>
          <t>TR-B3</t>
        </is>
      </c>
      <c r="I406" s="99" t="n">
        <v>9</v>
      </c>
      <c r="J406" s="99" t="inlineStr">
        <is>
          <t>Ống 2 Cam / Xanh lá</t>
        </is>
      </c>
      <c r="K406" s="99" t="inlineStr">
        <is>
          <t>S4-15</t>
        </is>
      </c>
      <c r="L406" s="99" t="inlineStr">
        <is>
          <t>B-27</t>
        </is>
      </c>
      <c r="M406" s="99" t="inlineStr">
        <is>
          <t>PON-15</t>
        </is>
      </c>
      <c r="N406" s="99" t="inlineStr">
        <is>
          <t>Chưa lắp</t>
        </is>
      </c>
      <c r="O406" s="149" t="n"/>
      <c r="P406" s="150" t="n"/>
      <c r="Q406" s="13">
        <f>M406&amp;" &gt; P96#"&amp;U406&amp;" &gt; "&amp;K406&amp;" &gt; P96#"&amp;L406&amp;" &gt; "&amp;R406&amp;" "&amp;S406&amp;" "&amp;T406&amp;" &gt; "&amp;H406&amp;"#"&amp;I406&amp;" &gt; "&amp;F406&amp;" p"&amp;G406</f>
        <v/>
      </c>
      <c r="R406" s="9" t="inlineStr">
        <is>
          <t>ODF-17/18</t>
        </is>
      </c>
      <c r="S406" s="9" t="inlineStr">
        <is>
          <t>Phải</t>
        </is>
      </c>
      <c r="T406" s="9" t="inlineStr">
        <is>
          <t>H2-C3</t>
        </is>
      </c>
      <c r="U406" s="9" t="inlineStr">
        <is>
          <t>B-43</t>
        </is>
      </c>
    </row>
    <row r="407">
      <c r="A407" s="149" t="inlineStr">
        <is>
          <t>B-19-02</t>
        </is>
      </c>
      <c r="B407" s="99" t="inlineStr">
        <is>
          <t>B</t>
        </is>
      </c>
      <c r="C407" s="99" t="inlineStr">
        <is>
          <t>19</t>
        </is>
      </c>
      <c r="D407" s="99" t="n">
        <v>2</v>
      </c>
      <c r="E407" s="99" t="inlineStr">
        <is>
          <t>TU-B20</t>
        </is>
      </c>
      <c r="F407" s="99" t="inlineStr">
        <is>
          <t>TU-B20/S1</t>
        </is>
      </c>
      <c r="G407" s="99" t="n">
        <v>2</v>
      </c>
      <c r="H407" s="99" t="inlineStr">
        <is>
          <t>TR-B3</t>
        </is>
      </c>
      <c r="I407" s="99" t="n">
        <v>9</v>
      </c>
      <c r="J407" s="99" t="inlineStr">
        <is>
          <t>Ống 2 Cam / Xanh lá</t>
        </is>
      </c>
      <c r="K407" s="99" t="inlineStr">
        <is>
          <t>S4-15</t>
        </is>
      </c>
      <c r="L407" s="99" t="inlineStr">
        <is>
          <t>B-27</t>
        </is>
      </c>
      <c r="M407" s="99" t="inlineStr">
        <is>
          <t>PON-15</t>
        </is>
      </c>
      <c r="N407" s="99" t="inlineStr">
        <is>
          <t>Chưa lắp</t>
        </is>
      </c>
      <c r="O407" s="149" t="n"/>
      <c r="P407" s="150" t="n"/>
      <c r="Q407" s="13">
        <f>M407&amp;" &gt; P96#"&amp;U407&amp;" &gt; "&amp;K407&amp;" &gt; P96#"&amp;L407&amp;" &gt; "&amp;R407&amp;" "&amp;S407&amp;" "&amp;T407&amp;" &gt; "&amp;H407&amp;"#"&amp;I407&amp;" &gt; "&amp;F407&amp;" p"&amp;G407</f>
        <v/>
      </c>
      <c r="R407" s="9" t="inlineStr">
        <is>
          <t>ODF-17/18</t>
        </is>
      </c>
      <c r="S407" s="9" t="inlineStr">
        <is>
          <t>Phải</t>
        </is>
      </c>
      <c r="T407" s="9" t="inlineStr">
        <is>
          <t>H2-C3</t>
        </is>
      </c>
      <c r="U407" s="9" t="inlineStr">
        <is>
          <t>B-43</t>
        </is>
      </c>
    </row>
    <row r="408">
      <c r="A408" s="151" t="inlineStr">
        <is>
          <t>B-19-03</t>
        </is>
      </c>
      <c r="B408" s="102" t="inlineStr">
        <is>
          <t>B</t>
        </is>
      </c>
      <c r="C408" s="102" t="inlineStr">
        <is>
          <t>19</t>
        </is>
      </c>
      <c r="D408" s="102" t="n">
        <v>3</v>
      </c>
      <c r="E408" s="102" t="inlineStr">
        <is>
          <t>TU-B20</t>
        </is>
      </c>
      <c r="F408" s="102" t="inlineStr">
        <is>
          <t>TU-B20/S1</t>
        </is>
      </c>
      <c r="G408" s="102" t="n">
        <v>3</v>
      </c>
      <c r="H408" s="102" t="inlineStr">
        <is>
          <t>TR-B3</t>
        </is>
      </c>
      <c r="I408" s="102" t="n">
        <v>9</v>
      </c>
      <c r="J408" s="102" t="inlineStr">
        <is>
          <t>Ống 2 Cam / Xanh lá</t>
        </is>
      </c>
      <c r="K408" s="102" t="inlineStr">
        <is>
          <t>S4-15</t>
        </is>
      </c>
      <c r="L408" s="102" t="inlineStr">
        <is>
          <t>B-27</t>
        </is>
      </c>
      <c r="M408" s="102" t="inlineStr">
        <is>
          <t>PON-15</t>
        </is>
      </c>
      <c r="N408" s="102" t="inlineStr">
        <is>
          <t>Chưa lắp</t>
        </is>
      </c>
      <c r="O408" s="151" t="n"/>
      <c r="P408" s="152" t="n"/>
      <c r="Q408" s="13">
        <f>M408&amp;" &gt; P96#"&amp;U408&amp;" &gt; "&amp;K408&amp;" &gt; P96#"&amp;L408&amp;" &gt; "&amp;R408&amp;" "&amp;S408&amp;" "&amp;T408&amp;" &gt; "&amp;H408&amp;"#"&amp;I408&amp;" &gt; "&amp;F408&amp;" p"&amp;G408</f>
        <v/>
      </c>
      <c r="R408" s="9" t="inlineStr">
        <is>
          <t>ODF-17/18</t>
        </is>
      </c>
      <c r="S408" s="9" t="inlineStr">
        <is>
          <t>Phải</t>
        </is>
      </c>
      <c r="T408" s="9" t="inlineStr">
        <is>
          <t>H2-C3</t>
        </is>
      </c>
      <c r="U408" s="9" t="inlineStr">
        <is>
          <t>B-43</t>
        </is>
      </c>
    </row>
    <row r="409">
      <c r="A409" s="151" t="inlineStr">
        <is>
          <t>B-19-04</t>
        </is>
      </c>
      <c r="B409" s="102" t="inlineStr">
        <is>
          <t>B</t>
        </is>
      </c>
      <c r="C409" s="102" t="inlineStr">
        <is>
          <t>19</t>
        </is>
      </c>
      <c r="D409" s="102" t="n">
        <v>4</v>
      </c>
      <c r="E409" s="102" t="inlineStr">
        <is>
          <t>TU-B20</t>
        </is>
      </c>
      <c r="F409" s="102" t="inlineStr">
        <is>
          <t>TU-B20/S1</t>
        </is>
      </c>
      <c r="G409" s="102" t="n">
        <v>4</v>
      </c>
      <c r="H409" s="102" t="inlineStr">
        <is>
          <t>TR-B3</t>
        </is>
      </c>
      <c r="I409" s="102" t="n">
        <v>9</v>
      </c>
      <c r="J409" s="102" t="inlineStr">
        <is>
          <t>Ống 2 Cam / Xanh lá</t>
        </is>
      </c>
      <c r="K409" s="102" t="inlineStr">
        <is>
          <t>S4-15</t>
        </is>
      </c>
      <c r="L409" s="102" t="inlineStr">
        <is>
          <t>B-27</t>
        </is>
      </c>
      <c r="M409" s="102" t="inlineStr">
        <is>
          <t>PON-15</t>
        </is>
      </c>
      <c r="N409" s="102" t="inlineStr">
        <is>
          <t>Chưa lắp</t>
        </is>
      </c>
      <c r="O409" s="151" t="n"/>
      <c r="P409" s="152" t="n"/>
      <c r="Q409" s="13">
        <f>M409&amp;" &gt; P96#"&amp;U409&amp;" &gt; "&amp;K409&amp;" &gt; P96#"&amp;L409&amp;" &gt; "&amp;R409&amp;" "&amp;S409&amp;" "&amp;T409&amp;" &gt; "&amp;H409&amp;"#"&amp;I409&amp;" &gt; "&amp;F409&amp;" p"&amp;G409</f>
        <v/>
      </c>
      <c r="R409" s="9" t="inlineStr">
        <is>
          <t>ODF-17/18</t>
        </is>
      </c>
      <c r="S409" s="9" t="inlineStr">
        <is>
          <t>Phải</t>
        </is>
      </c>
      <c r="T409" s="9" t="inlineStr">
        <is>
          <t>H2-C3</t>
        </is>
      </c>
      <c r="U409" s="9" t="inlineStr">
        <is>
          <t>B-43</t>
        </is>
      </c>
    </row>
    <row r="410">
      <c r="A410" s="151" t="inlineStr">
        <is>
          <t>B-19-05</t>
        </is>
      </c>
      <c r="B410" s="102" t="inlineStr">
        <is>
          <t>B</t>
        </is>
      </c>
      <c r="C410" s="102" t="inlineStr">
        <is>
          <t>19</t>
        </is>
      </c>
      <c r="D410" s="102" t="n">
        <v>5</v>
      </c>
      <c r="E410" s="102" t="inlineStr">
        <is>
          <t>TU-B20</t>
        </is>
      </c>
      <c r="F410" s="102" t="inlineStr">
        <is>
          <t>TU-B20/S1</t>
        </is>
      </c>
      <c r="G410" s="102" t="n">
        <v>5</v>
      </c>
      <c r="H410" s="102" t="inlineStr">
        <is>
          <t>TR-B3</t>
        </is>
      </c>
      <c r="I410" s="102" t="n">
        <v>9</v>
      </c>
      <c r="J410" s="102" t="inlineStr">
        <is>
          <t>Ống 2 Cam / Xanh lá</t>
        </is>
      </c>
      <c r="K410" s="102" t="inlineStr">
        <is>
          <t>S4-15</t>
        </is>
      </c>
      <c r="L410" s="102" t="inlineStr">
        <is>
          <t>B-27</t>
        </is>
      </c>
      <c r="M410" s="102" t="inlineStr">
        <is>
          <t>PON-15</t>
        </is>
      </c>
      <c r="N410" s="102" t="inlineStr">
        <is>
          <t>Chưa lắp</t>
        </is>
      </c>
      <c r="O410" s="151" t="n"/>
      <c r="P410" s="152" t="n"/>
      <c r="Q410" s="13">
        <f>M410&amp;" &gt; P96#"&amp;U410&amp;" &gt; "&amp;K410&amp;" &gt; P96#"&amp;L410&amp;" &gt; "&amp;R410&amp;" "&amp;S410&amp;" "&amp;T410&amp;" &gt; "&amp;H410&amp;"#"&amp;I410&amp;" &gt; "&amp;F410&amp;" p"&amp;G410</f>
        <v/>
      </c>
      <c r="R410" s="9" t="inlineStr">
        <is>
          <t>ODF-17/18</t>
        </is>
      </c>
      <c r="S410" s="9" t="inlineStr">
        <is>
          <t>Phải</t>
        </is>
      </c>
      <c r="T410" s="9" t="inlineStr">
        <is>
          <t>H2-C3</t>
        </is>
      </c>
      <c r="U410" s="9" t="inlineStr">
        <is>
          <t>B-43</t>
        </is>
      </c>
    </row>
    <row r="411">
      <c r="A411" s="151" t="inlineStr">
        <is>
          <t>B-19-06</t>
        </is>
      </c>
      <c r="B411" s="102" t="inlineStr">
        <is>
          <t>B</t>
        </is>
      </c>
      <c r="C411" s="102" t="inlineStr">
        <is>
          <t>19</t>
        </is>
      </c>
      <c r="D411" s="102" t="n">
        <v>6</v>
      </c>
      <c r="E411" s="102" t="inlineStr">
        <is>
          <t>TU-B20</t>
        </is>
      </c>
      <c r="F411" s="102" t="inlineStr">
        <is>
          <t>TU-B20/S1</t>
        </is>
      </c>
      <c r="G411" s="102" t="n">
        <v>6</v>
      </c>
      <c r="H411" s="102" t="inlineStr">
        <is>
          <t>TR-B3</t>
        </is>
      </c>
      <c r="I411" s="102" t="n">
        <v>9</v>
      </c>
      <c r="J411" s="102" t="inlineStr">
        <is>
          <t>Ống 2 Cam / Xanh lá</t>
        </is>
      </c>
      <c r="K411" s="102" t="inlineStr">
        <is>
          <t>S4-15</t>
        </is>
      </c>
      <c r="L411" s="102" t="inlineStr">
        <is>
          <t>B-27</t>
        </is>
      </c>
      <c r="M411" s="102" t="inlineStr">
        <is>
          <t>PON-15</t>
        </is>
      </c>
      <c r="N411" s="102" t="inlineStr">
        <is>
          <t>Chưa lắp</t>
        </is>
      </c>
      <c r="O411" s="151" t="n"/>
      <c r="P411" s="152" t="n"/>
      <c r="Q411" s="13">
        <f>M411&amp;" &gt; P96#"&amp;U411&amp;" &gt; "&amp;K411&amp;" &gt; P96#"&amp;L411&amp;" &gt; "&amp;R411&amp;" "&amp;S411&amp;" "&amp;T411&amp;" &gt; "&amp;H411&amp;"#"&amp;I411&amp;" &gt; "&amp;F411&amp;" p"&amp;G411</f>
        <v/>
      </c>
      <c r="R411" s="9" t="inlineStr">
        <is>
          <t>ODF-17/18</t>
        </is>
      </c>
      <c r="S411" s="9" t="inlineStr">
        <is>
          <t>Phải</t>
        </is>
      </c>
      <c r="T411" s="9" t="inlineStr">
        <is>
          <t>H2-C3</t>
        </is>
      </c>
      <c r="U411" s="9" t="inlineStr">
        <is>
          <t>B-43</t>
        </is>
      </c>
    </row>
    <row r="412">
      <c r="A412" s="151" t="inlineStr">
        <is>
          <t>B-19-07</t>
        </is>
      </c>
      <c r="B412" s="102" t="inlineStr">
        <is>
          <t>B</t>
        </is>
      </c>
      <c r="C412" s="102" t="inlineStr">
        <is>
          <t>19</t>
        </is>
      </c>
      <c r="D412" s="102" t="n">
        <v>7</v>
      </c>
      <c r="E412" s="102" t="inlineStr">
        <is>
          <t>TU-B20</t>
        </is>
      </c>
      <c r="F412" s="102" t="inlineStr">
        <is>
          <t>TU-B20/S1</t>
        </is>
      </c>
      <c r="G412" s="102" t="n">
        <v>7</v>
      </c>
      <c r="H412" s="102" t="inlineStr">
        <is>
          <t>TR-B3</t>
        </is>
      </c>
      <c r="I412" s="102" t="n">
        <v>9</v>
      </c>
      <c r="J412" s="102" t="inlineStr">
        <is>
          <t>Ống 2 Cam / Xanh lá</t>
        </is>
      </c>
      <c r="K412" s="102" t="inlineStr">
        <is>
          <t>S4-15</t>
        </is>
      </c>
      <c r="L412" s="102" t="inlineStr">
        <is>
          <t>B-27</t>
        </is>
      </c>
      <c r="M412" s="102" t="inlineStr">
        <is>
          <t>PON-15</t>
        </is>
      </c>
      <c r="N412" s="102" t="inlineStr">
        <is>
          <t>Chưa lắp</t>
        </is>
      </c>
      <c r="O412" s="151" t="n"/>
      <c r="P412" s="152" t="n"/>
      <c r="Q412" s="13">
        <f>M412&amp;" &gt; P96#"&amp;U412&amp;" &gt; "&amp;K412&amp;" &gt; P96#"&amp;L412&amp;" &gt; "&amp;R412&amp;" "&amp;S412&amp;" "&amp;T412&amp;" &gt; "&amp;H412&amp;"#"&amp;I412&amp;" &gt; "&amp;F412&amp;" p"&amp;G412</f>
        <v/>
      </c>
      <c r="R412" s="9" t="inlineStr">
        <is>
          <t>ODF-17/18</t>
        </is>
      </c>
      <c r="S412" s="9" t="inlineStr">
        <is>
          <t>Phải</t>
        </is>
      </c>
      <c r="T412" s="9" t="inlineStr">
        <is>
          <t>H2-C3</t>
        </is>
      </c>
      <c r="U412" s="9" t="inlineStr">
        <is>
          <t>B-43</t>
        </is>
      </c>
    </row>
    <row r="413">
      <c r="A413" s="151" t="inlineStr">
        <is>
          <t>B-19-08</t>
        </is>
      </c>
      <c r="B413" s="102" t="inlineStr">
        <is>
          <t>B</t>
        </is>
      </c>
      <c r="C413" s="102" t="inlineStr">
        <is>
          <t>19</t>
        </is>
      </c>
      <c r="D413" s="102" t="n">
        <v>8</v>
      </c>
      <c r="E413" s="102" t="inlineStr">
        <is>
          <t>TU-B20</t>
        </is>
      </c>
      <c r="F413" s="102" t="inlineStr">
        <is>
          <t>TU-B20/S1</t>
        </is>
      </c>
      <c r="G413" s="102" t="n">
        <v>8</v>
      </c>
      <c r="H413" s="102" t="inlineStr">
        <is>
          <t>TR-B3</t>
        </is>
      </c>
      <c r="I413" s="102" t="n">
        <v>9</v>
      </c>
      <c r="J413" s="102" t="inlineStr">
        <is>
          <t>Ống 2 Cam / Xanh lá</t>
        </is>
      </c>
      <c r="K413" s="102" t="inlineStr">
        <is>
          <t>S4-15</t>
        </is>
      </c>
      <c r="L413" s="102" t="inlineStr">
        <is>
          <t>B-27</t>
        </is>
      </c>
      <c r="M413" s="102" t="inlineStr">
        <is>
          <t>PON-15</t>
        </is>
      </c>
      <c r="N413" s="102" t="inlineStr">
        <is>
          <t>Chưa lắp</t>
        </is>
      </c>
      <c r="O413" s="151" t="n"/>
      <c r="P413" s="152" t="n"/>
      <c r="Q413" s="13">
        <f>M413&amp;" &gt; P96#"&amp;U413&amp;" &gt; "&amp;K413&amp;" &gt; P96#"&amp;L413&amp;" &gt; "&amp;R413&amp;" "&amp;S413&amp;" "&amp;T413&amp;" &gt; "&amp;H413&amp;"#"&amp;I413&amp;" &gt; "&amp;F413&amp;" p"&amp;G413</f>
        <v/>
      </c>
      <c r="R413" s="9" t="inlineStr">
        <is>
          <t>ODF-17/18</t>
        </is>
      </c>
      <c r="S413" s="9" t="inlineStr">
        <is>
          <t>Phải</t>
        </is>
      </c>
      <c r="T413" s="9" t="inlineStr">
        <is>
          <t>H2-C3</t>
        </is>
      </c>
      <c r="U413" s="9" t="inlineStr">
        <is>
          <t>B-43</t>
        </is>
      </c>
    </row>
    <row r="414">
      <c r="A414" s="151" t="inlineStr">
        <is>
          <t>B-19-09</t>
        </is>
      </c>
      <c r="B414" s="102" t="inlineStr">
        <is>
          <t>B</t>
        </is>
      </c>
      <c r="C414" s="102" t="inlineStr">
        <is>
          <t>19</t>
        </is>
      </c>
      <c r="D414" s="102" t="n">
        <v>9</v>
      </c>
      <c r="E414" s="102" t="inlineStr">
        <is>
          <t>TU-B20</t>
        </is>
      </c>
      <c r="F414" s="102" t="inlineStr">
        <is>
          <t>TU-B20/S1</t>
        </is>
      </c>
      <c r="G414" s="102" t="n">
        <v>9</v>
      </c>
      <c r="H414" s="102" t="inlineStr">
        <is>
          <t>TR-B3</t>
        </is>
      </c>
      <c r="I414" s="102" t="n">
        <v>9</v>
      </c>
      <c r="J414" s="102" t="inlineStr">
        <is>
          <t>Ống 2 Cam / Xanh lá</t>
        </is>
      </c>
      <c r="K414" s="102" t="inlineStr">
        <is>
          <t>S4-15</t>
        </is>
      </c>
      <c r="L414" s="102" t="inlineStr">
        <is>
          <t>B-27</t>
        </is>
      </c>
      <c r="M414" s="102" t="inlineStr">
        <is>
          <t>PON-15</t>
        </is>
      </c>
      <c r="N414" s="102" t="inlineStr">
        <is>
          <t>Chưa lắp</t>
        </is>
      </c>
      <c r="O414" s="151" t="n"/>
      <c r="P414" s="152" t="n"/>
      <c r="Q414" s="13">
        <f>M414&amp;" &gt; P96#"&amp;U414&amp;" &gt; "&amp;K414&amp;" &gt; P96#"&amp;L414&amp;" &gt; "&amp;R414&amp;" "&amp;S414&amp;" "&amp;T414&amp;" &gt; "&amp;H414&amp;"#"&amp;I414&amp;" &gt; "&amp;F414&amp;" p"&amp;G414</f>
        <v/>
      </c>
      <c r="R414" s="9" t="inlineStr">
        <is>
          <t>ODF-17/18</t>
        </is>
      </c>
      <c r="S414" s="9" t="inlineStr">
        <is>
          <t>Phải</t>
        </is>
      </c>
      <c r="T414" s="9" t="inlineStr">
        <is>
          <t>H2-C3</t>
        </is>
      </c>
      <c r="U414" s="9" t="inlineStr">
        <is>
          <t>B-43</t>
        </is>
      </c>
    </row>
    <row r="415">
      <c r="A415" s="151" t="inlineStr">
        <is>
          <t>B-19-10</t>
        </is>
      </c>
      <c r="B415" s="102" t="inlineStr">
        <is>
          <t>B</t>
        </is>
      </c>
      <c r="C415" s="102" t="inlineStr">
        <is>
          <t>19</t>
        </is>
      </c>
      <c r="D415" s="102" t="n">
        <v>10</v>
      </c>
      <c r="E415" s="102" t="inlineStr">
        <is>
          <t>TU-B20</t>
        </is>
      </c>
      <c r="F415" s="102" t="inlineStr">
        <is>
          <t>TU-B20/S1</t>
        </is>
      </c>
      <c r="G415" s="102" t="n">
        <v>10</v>
      </c>
      <c r="H415" s="102" t="inlineStr">
        <is>
          <t>TR-B3</t>
        </is>
      </c>
      <c r="I415" s="102" t="n">
        <v>9</v>
      </c>
      <c r="J415" s="102" t="inlineStr">
        <is>
          <t>Ống 2 Cam / Xanh lá</t>
        </is>
      </c>
      <c r="K415" s="102" t="inlineStr">
        <is>
          <t>S4-15</t>
        </is>
      </c>
      <c r="L415" s="102" t="inlineStr">
        <is>
          <t>B-27</t>
        </is>
      </c>
      <c r="M415" s="102" t="inlineStr">
        <is>
          <t>PON-15</t>
        </is>
      </c>
      <c r="N415" s="102" t="inlineStr">
        <is>
          <t>Chưa lắp</t>
        </is>
      </c>
      <c r="O415" s="151" t="n"/>
      <c r="P415" s="152" t="n"/>
      <c r="Q415" s="13">
        <f>M415&amp;" &gt; P96#"&amp;U415&amp;" &gt; "&amp;K415&amp;" &gt; P96#"&amp;L415&amp;" &gt; "&amp;R415&amp;" "&amp;S415&amp;" "&amp;T415&amp;" &gt; "&amp;H415&amp;"#"&amp;I415&amp;" &gt; "&amp;F415&amp;" p"&amp;G415</f>
        <v/>
      </c>
      <c r="R415" s="9" t="inlineStr">
        <is>
          <t>ODF-17/18</t>
        </is>
      </c>
      <c r="S415" s="9" t="inlineStr">
        <is>
          <t>Phải</t>
        </is>
      </c>
      <c r="T415" s="9" t="inlineStr">
        <is>
          <t>H2-C3</t>
        </is>
      </c>
      <c r="U415" s="9" t="inlineStr">
        <is>
          <t>B-43</t>
        </is>
      </c>
    </row>
    <row r="416">
      <c r="A416" s="151" t="inlineStr">
        <is>
          <t>B-19-11</t>
        </is>
      </c>
      <c r="B416" s="102" t="inlineStr">
        <is>
          <t>B</t>
        </is>
      </c>
      <c r="C416" s="102" t="inlineStr">
        <is>
          <t>19</t>
        </is>
      </c>
      <c r="D416" s="102" t="n">
        <v>11</v>
      </c>
      <c r="E416" s="102" t="inlineStr">
        <is>
          <t>TU-B20</t>
        </is>
      </c>
      <c r="F416" s="102" t="inlineStr">
        <is>
          <t>TU-B20/S1</t>
        </is>
      </c>
      <c r="G416" s="102" t="n">
        <v>11</v>
      </c>
      <c r="H416" s="102" t="inlineStr">
        <is>
          <t>TR-B3</t>
        </is>
      </c>
      <c r="I416" s="102" t="n">
        <v>9</v>
      </c>
      <c r="J416" s="102" t="inlineStr">
        <is>
          <t>Ống 2 Cam / Xanh lá</t>
        </is>
      </c>
      <c r="K416" s="102" t="inlineStr">
        <is>
          <t>S4-15</t>
        </is>
      </c>
      <c r="L416" s="102" t="inlineStr">
        <is>
          <t>B-27</t>
        </is>
      </c>
      <c r="M416" s="102" t="inlineStr">
        <is>
          <t>PON-15</t>
        </is>
      </c>
      <c r="N416" s="102" t="inlineStr">
        <is>
          <t>Chưa lắp</t>
        </is>
      </c>
      <c r="O416" s="151" t="n"/>
      <c r="P416" s="152" t="n"/>
      <c r="Q416" s="13">
        <f>M416&amp;" &gt; P96#"&amp;U416&amp;" &gt; "&amp;K416&amp;" &gt; P96#"&amp;L416&amp;" &gt; "&amp;R416&amp;" "&amp;S416&amp;" "&amp;T416&amp;" &gt; "&amp;H416&amp;"#"&amp;I416&amp;" &gt; "&amp;F416&amp;" p"&amp;G416</f>
        <v/>
      </c>
      <c r="R416" s="9" t="inlineStr">
        <is>
          <t>ODF-17/18</t>
        </is>
      </c>
      <c r="S416" s="9" t="inlineStr">
        <is>
          <t>Phải</t>
        </is>
      </c>
      <c r="T416" s="9" t="inlineStr">
        <is>
          <t>H2-C3</t>
        </is>
      </c>
      <c r="U416" s="9" t="inlineStr">
        <is>
          <t>B-43</t>
        </is>
      </c>
    </row>
    <row r="417">
      <c r="A417" s="151" t="inlineStr">
        <is>
          <t>B-19-12</t>
        </is>
      </c>
      <c r="B417" s="102" t="inlineStr">
        <is>
          <t>B</t>
        </is>
      </c>
      <c r="C417" s="102" t="inlineStr">
        <is>
          <t>19</t>
        </is>
      </c>
      <c r="D417" s="102" t="n">
        <v>12</v>
      </c>
      <c r="E417" s="102" t="inlineStr">
        <is>
          <t>TU-B20</t>
        </is>
      </c>
      <c r="F417" s="102" t="inlineStr">
        <is>
          <t>TU-B20/S1</t>
        </is>
      </c>
      <c r="G417" s="102" t="n">
        <v>12</v>
      </c>
      <c r="H417" s="102" t="inlineStr">
        <is>
          <t>TR-B3</t>
        </is>
      </c>
      <c r="I417" s="102" t="n">
        <v>9</v>
      </c>
      <c r="J417" s="102" t="inlineStr">
        <is>
          <t>Ống 2 Cam / Xanh lá</t>
        </is>
      </c>
      <c r="K417" s="102" t="inlineStr">
        <is>
          <t>S4-15</t>
        </is>
      </c>
      <c r="L417" s="102" t="inlineStr">
        <is>
          <t>B-27</t>
        </is>
      </c>
      <c r="M417" s="102" t="inlineStr">
        <is>
          <t>PON-15</t>
        </is>
      </c>
      <c r="N417" s="102" t="inlineStr">
        <is>
          <t>Chưa lắp</t>
        </is>
      </c>
      <c r="O417" s="151" t="n"/>
      <c r="P417" s="152" t="n"/>
      <c r="Q417" s="13">
        <f>M417&amp;" &gt; P96#"&amp;U417&amp;" &gt; "&amp;K417&amp;" &gt; P96#"&amp;L417&amp;" &gt; "&amp;R417&amp;" "&amp;S417&amp;" "&amp;T417&amp;" &gt; "&amp;H417&amp;"#"&amp;I417&amp;" &gt; "&amp;F417&amp;" p"&amp;G417</f>
        <v/>
      </c>
      <c r="R417" s="9" t="inlineStr">
        <is>
          <t>ODF-17/18</t>
        </is>
      </c>
      <c r="S417" s="9" t="inlineStr">
        <is>
          <t>Phải</t>
        </is>
      </c>
      <c r="T417" s="9" t="inlineStr">
        <is>
          <t>H2-C3</t>
        </is>
      </c>
      <c r="U417" s="9" t="inlineStr">
        <is>
          <t>B-43</t>
        </is>
      </c>
    </row>
    <row r="418">
      <c r="A418" s="151" t="inlineStr">
        <is>
          <t>B-19-13</t>
        </is>
      </c>
      <c r="B418" s="102" t="inlineStr">
        <is>
          <t>B</t>
        </is>
      </c>
      <c r="C418" s="102" t="inlineStr">
        <is>
          <t>19</t>
        </is>
      </c>
      <c r="D418" s="102" t="n">
        <v>13</v>
      </c>
      <c r="E418" s="102" t="inlineStr">
        <is>
          <t>TU-B20</t>
        </is>
      </c>
      <c r="F418" s="102" t="inlineStr">
        <is>
          <t>TU-B20/S1</t>
        </is>
      </c>
      <c r="G418" s="102" t="n">
        <v>13</v>
      </c>
      <c r="H418" s="102" t="inlineStr">
        <is>
          <t>TR-B3</t>
        </is>
      </c>
      <c r="I418" s="102" t="n">
        <v>9</v>
      </c>
      <c r="J418" s="102" t="inlineStr">
        <is>
          <t>Ống 2 Cam / Xanh lá</t>
        </is>
      </c>
      <c r="K418" s="102" t="inlineStr">
        <is>
          <t>S4-15</t>
        </is>
      </c>
      <c r="L418" s="102" t="inlineStr">
        <is>
          <t>B-27</t>
        </is>
      </c>
      <c r="M418" s="102" t="inlineStr">
        <is>
          <t>PON-15</t>
        </is>
      </c>
      <c r="N418" s="102" t="inlineStr">
        <is>
          <t>Chưa lắp</t>
        </is>
      </c>
      <c r="O418" s="151" t="n"/>
      <c r="P418" s="152" t="n"/>
      <c r="Q418" s="13">
        <f>M418&amp;" &gt; P96#"&amp;U418&amp;" &gt; "&amp;K418&amp;" &gt; P96#"&amp;L418&amp;" &gt; "&amp;R418&amp;" "&amp;S418&amp;" "&amp;T418&amp;" &gt; "&amp;H418&amp;"#"&amp;I418&amp;" &gt; "&amp;F418&amp;" p"&amp;G418</f>
        <v/>
      </c>
      <c r="R418" s="9" t="inlineStr">
        <is>
          <t>ODF-17/18</t>
        </is>
      </c>
      <c r="S418" s="9" t="inlineStr">
        <is>
          <t>Phải</t>
        </is>
      </c>
      <c r="T418" s="9" t="inlineStr">
        <is>
          <t>H2-C3</t>
        </is>
      </c>
      <c r="U418" s="9" t="inlineStr">
        <is>
          <t>B-43</t>
        </is>
      </c>
    </row>
    <row r="419">
      <c r="A419" s="151" t="inlineStr">
        <is>
          <t>B-19-14</t>
        </is>
      </c>
      <c r="B419" s="102" t="inlineStr">
        <is>
          <t>B</t>
        </is>
      </c>
      <c r="C419" s="102" t="inlineStr">
        <is>
          <t>19</t>
        </is>
      </c>
      <c r="D419" s="102" t="n">
        <v>14</v>
      </c>
      <c r="E419" s="102" t="inlineStr">
        <is>
          <t>TU-B20</t>
        </is>
      </c>
      <c r="F419" s="102" t="inlineStr">
        <is>
          <t>TU-B20/S1</t>
        </is>
      </c>
      <c r="G419" s="102" t="n">
        <v>14</v>
      </c>
      <c r="H419" s="102" t="inlineStr">
        <is>
          <t>TR-B3</t>
        </is>
      </c>
      <c r="I419" s="102" t="n">
        <v>9</v>
      </c>
      <c r="J419" s="102" t="inlineStr">
        <is>
          <t>Ống 2 Cam / Xanh lá</t>
        </is>
      </c>
      <c r="K419" s="102" t="inlineStr">
        <is>
          <t>S4-15</t>
        </is>
      </c>
      <c r="L419" s="102" t="inlineStr">
        <is>
          <t>B-27</t>
        </is>
      </c>
      <c r="M419" s="102" t="inlineStr">
        <is>
          <t>PON-15</t>
        </is>
      </c>
      <c r="N419" s="102" t="inlineStr">
        <is>
          <t>Chưa lắp</t>
        </is>
      </c>
      <c r="O419" s="151" t="n"/>
      <c r="P419" s="152" t="n"/>
      <c r="Q419" s="13">
        <f>M419&amp;" &gt; P96#"&amp;U419&amp;" &gt; "&amp;K419&amp;" &gt; P96#"&amp;L419&amp;" &gt; "&amp;R419&amp;" "&amp;S419&amp;" "&amp;T419&amp;" &gt; "&amp;H419&amp;"#"&amp;I419&amp;" &gt; "&amp;F419&amp;" p"&amp;G419</f>
        <v/>
      </c>
      <c r="R419" s="9" t="inlineStr">
        <is>
          <t>ODF-17/18</t>
        </is>
      </c>
      <c r="S419" s="9" t="inlineStr">
        <is>
          <t>Phải</t>
        </is>
      </c>
      <c r="T419" s="9" t="inlineStr">
        <is>
          <t>H2-C3</t>
        </is>
      </c>
      <c r="U419" s="9" t="inlineStr">
        <is>
          <t>B-43</t>
        </is>
      </c>
    </row>
    <row r="420">
      <c r="A420" s="151" t="inlineStr">
        <is>
          <t>B-18-01</t>
        </is>
      </c>
      <c r="B420" s="102" t="inlineStr">
        <is>
          <t>B</t>
        </is>
      </c>
      <c r="C420" s="102" t="inlineStr">
        <is>
          <t>18</t>
        </is>
      </c>
      <c r="D420" s="102" t="n">
        <v>1</v>
      </c>
      <c r="E420" s="102" t="inlineStr">
        <is>
          <t>TU-B17</t>
        </is>
      </c>
      <c r="F420" s="102" t="inlineStr">
        <is>
          <t>TU-B17/S3</t>
        </is>
      </c>
      <c r="G420" s="102" t="n">
        <v>1</v>
      </c>
      <c r="H420" s="102" t="inlineStr">
        <is>
          <t>TR-B3</t>
        </is>
      </c>
      <c r="I420" s="102" t="n">
        <v>3</v>
      </c>
      <c r="J420" s="102" t="inlineStr">
        <is>
          <t>Ống 1 Xanh dương / Xanh lá</t>
        </is>
      </c>
      <c r="K420" s="102" t="inlineStr">
        <is>
          <t>S4-15</t>
        </is>
      </c>
      <c r="L420" s="102" t="inlineStr">
        <is>
          <t>B-26</t>
        </is>
      </c>
      <c r="M420" s="102" t="inlineStr">
        <is>
          <t>PON-15</t>
        </is>
      </c>
      <c r="N420" s="102" t="inlineStr">
        <is>
          <t>Chưa lắp</t>
        </is>
      </c>
      <c r="O420" s="151" t="n"/>
      <c r="P420" s="152" t="n"/>
      <c r="Q420" s="13">
        <f>M420&amp;" &gt; P96#"&amp;U420&amp;" &gt; "&amp;K420&amp;" &gt; P96#"&amp;L420&amp;" &gt; "&amp;R420&amp;" "&amp;S420&amp;" "&amp;T420&amp;" &gt; "&amp;H420&amp;"#"&amp;I420&amp;" &gt; "&amp;F420&amp;" p"&amp;G420</f>
        <v/>
      </c>
      <c r="R420" s="9" t="inlineStr">
        <is>
          <t>ODF-17/18</t>
        </is>
      </c>
      <c r="S420" s="9" t="inlineStr">
        <is>
          <t>Phải</t>
        </is>
      </c>
      <c r="T420" s="9" t="inlineStr">
        <is>
          <t>H1-C3</t>
        </is>
      </c>
      <c r="U420" s="9" t="inlineStr">
        <is>
          <t>B-43</t>
        </is>
      </c>
    </row>
    <row r="421">
      <c r="A421" s="151" t="inlineStr">
        <is>
          <t>B-18-02</t>
        </is>
      </c>
      <c r="B421" s="102" t="inlineStr">
        <is>
          <t>B</t>
        </is>
      </c>
      <c r="C421" s="102" t="inlineStr">
        <is>
          <t>18</t>
        </is>
      </c>
      <c r="D421" s="102" t="n">
        <v>2</v>
      </c>
      <c r="E421" s="102" t="inlineStr">
        <is>
          <t>TU-B17</t>
        </is>
      </c>
      <c r="F421" s="102" t="inlineStr">
        <is>
          <t>TU-B17/S3</t>
        </is>
      </c>
      <c r="G421" s="102" t="n">
        <v>2</v>
      </c>
      <c r="H421" s="102" t="inlineStr">
        <is>
          <t>TR-B3</t>
        </is>
      </c>
      <c r="I421" s="102" t="n">
        <v>3</v>
      </c>
      <c r="J421" s="102" t="inlineStr">
        <is>
          <t>Ống 1 Xanh dương / Xanh lá</t>
        </is>
      </c>
      <c r="K421" s="102" t="inlineStr">
        <is>
          <t>S4-15</t>
        </is>
      </c>
      <c r="L421" s="102" t="inlineStr">
        <is>
          <t>B-26</t>
        </is>
      </c>
      <c r="M421" s="102" t="inlineStr">
        <is>
          <t>PON-15</t>
        </is>
      </c>
      <c r="N421" s="102" t="inlineStr">
        <is>
          <t>Chưa lắp</t>
        </is>
      </c>
      <c r="O421" s="151" t="n"/>
      <c r="P421" s="152" t="n"/>
      <c r="Q421" s="13">
        <f>M421&amp;" &gt; P96#"&amp;U421&amp;" &gt; "&amp;K421&amp;" &gt; P96#"&amp;L421&amp;" &gt; "&amp;R421&amp;" "&amp;S421&amp;" "&amp;T421&amp;" &gt; "&amp;H421&amp;"#"&amp;I421&amp;" &gt; "&amp;F421&amp;" p"&amp;G421</f>
        <v/>
      </c>
      <c r="R421" s="9" t="inlineStr">
        <is>
          <t>ODF-17/18</t>
        </is>
      </c>
      <c r="S421" s="9" t="inlineStr">
        <is>
          <t>Phải</t>
        </is>
      </c>
      <c r="T421" s="9" t="inlineStr">
        <is>
          <t>H1-C3</t>
        </is>
      </c>
      <c r="U421" s="9" t="inlineStr">
        <is>
          <t>B-43</t>
        </is>
      </c>
    </row>
    <row r="422">
      <c r="A422" s="149" t="inlineStr">
        <is>
          <t>B-18-03</t>
        </is>
      </c>
      <c r="B422" s="99" t="inlineStr">
        <is>
          <t>B</t>
        </is>
      </c>
      <c r="C422" s="99" t="inlineStr">
        <is>
          <t>18</t>
        </is>
      </c>
      <c r="D422" s="99" t="n">
        <v>3</v>
      </c>
      <c r="E422" s="99" t="inlineStr">
        <is>
          <t>TU-B17</t>
        </is>
      </c>
      <c r="F422" s="99" t="inlineStr">
        <is>
          <t>TU-B17/S3</t>
        </is>
      </c>
      <c r="G422" s="99" t="n">
        <v>3</v>
      </c>
      <c r="H422" s="99" t="inlineStr">
        <is>
          <t>TR-B3</t>
        </is>
      </c>
      <c r="I422" s="99" t="n">
        <v>3</v>
      </c>
      <c r="J422" s="99" t="inlineStr">
        <is>
          <t>Ống 1 Xanh dương / Xanh lá</t>
        </is>
      </c>
      <c r="K422" s="99" t="inlineStr">
        <is>
          <t>S4-15</t>
        </is>
      </c>
      <c r="L422" s="99" t="inlineStr">
        <is>
          <t>B-26</t>
        </is>
      </c>
      <c r="M422" s="99" t="inlineStr">
        <is>
          <t>PON-15</t>
        </is>
      </c>
      <c r="N422" s="99" t="inlineStr">
        <is>
          <t>Chưa lắp</t>
        </is>
      </c>
      <c r="O422" s="149" t="n"/>
      <c r="P422" s="150" t="n"/>
      <c r="Q422" s="13">
        <f>M422&amp;" &gt; P96#"&amp;U422&amp;" &gt; "&amp;K422&amp;" &gt; P96#"&amp;L422&amp;" &gt; "&amp;R422&amp;" "&amp;S422&amp;" "&amp;T422&amp;" &gt; "&amp;H422&amp;"#"&amp;I422&amp;" &gt; "&amp;F422&amp;" p"&amp;G422</f>
        <v/>
      </c>
      <c r="R422" s="9" t="inlineStr">
        <is>
          <t>ODF-17/18</t>
        </is>
      </c>
      <c r="S422" s="9" t="inlineStr">
        <is>
          <t>Phải</t>
        </is>
      </c>
      <c r="T422" s="9" t="inlineStr">
        <is>
          <t>H1-C3</t>
        </is>
      </c>
      <c r="U422" s="9" t="inlineStr">
        <is>
          <t>B-43</t>
        </is>
      </c>
    </row>
    <row r="423">
      <c r="A423" s="149" t="inlineStr">
        <is>
          <t>B-18-04</t>
        </is>
      </c>
      <c r="B423" s="99" t="inlineStr">
        <is>
          <t>B</t>
        </is>
      </c>
      <c r="C423" s="99" t="inlineStr">
        <is>
          <t>18</t>
        </is>
      </c>
      <c r="D423" s="99" t="n">
        <v>4</v>
      </c>
      <c r="E423" s="99" t="inlineStr">
        <is>
          <t>TU-B17</t>
        </is>
      </c>
      <c r="F423" s="99" t="inlineStr">
        <is>
          <t>TU-B17/S3</t>
        </is>
      </c>
      <c r="G423" s="99" t="n">
        <v>4</v>
      </c>
      <c r="H423" s="99" t="inlineStr">
        <is>
          <t>TR-B3</t>
        </is>
      </c>
      <c r="I423" s="99" t="n">
        <v>3</v>
      </c>
      <c r="J423" s="99" t="inlineStr">
        <is>
          <t>Ống 1 Xanh dương / Xanh lá</t>
        </is>
      </c>
      <c r="K423" s="99" t="inlineStr">
        <is>
          <t>S4-15</t>
        </is>
      </c>
      <c r="L423" s="99" t="inlineStr">
        <is>
          <t>B-26</t>
        </is>
      </c>
      <c r="M423" s="99" t="inlineStr">
        <is>
          <t>PON-15</t>
        </is>
      </c>
      <c r="N423" s="99" t="inlineStr">
        <is>
          <t>Chưa lắp</t>
        </is>
      </c>
      <c r="O423" s="149" t="n"/>
      <c r="P423" s="150" t="n"/>
      <c r="Q423" s="13">
        <f>M423&amp;" &gt; P96#"&amp;U423&amp;" &gt; "&amp;K423&amp;" &gt; P96#"&amp;L423&amp;" &gt; "&amp;R423&amp;" "&amp;S423&amp;" "&amp;T423&amp;" &gt; "&amp;H423&amp;"#"&amp;I423&amp;" &gt; "&amp;F423&amp;" p"&amp;G423</f>
        <v/>
      </c>
      <c r="R423" s="9" t="inlineStr">
        <is>
          <t>ODF-17/18</t>
        </is>
      </c>
      <c r="S423" s="9" t="inlineStr">
        <is>
          <t>Phải</t>
        </is>
      </c>
      <c r="T423" s="9" t="inlineStr">
        <is>
          <t>H1-C3</t>
        </is>
      </c>
      <c r="U423" s="9" t="inlineStr">
        <is>
          <t>B-43</t>
        </is>
      </c>
    </row>
    <row r="424">
      <c r="A424" s="149" t="inlineStr">
        <is>
          <t>B-18-05</t>
        </is>
      </c>
      <c r="B424" s="99" t="inlineStr">
        <is>
          <t>B</t>
        </is>
      </c>
      <c r="C424" s="99" t="inlineStr">
        <is>
          <t>18</t>
        </is>
      </c>
      <c r="D424" s="99" t="n">
        <v>5</v>
      </c>
      <c r="E424" s="99" t="inlineStr">
        <is>
          <t>TU-B17</t>
        </is>
      </c>
      <c r="F424" s="99" t="inlineStr">
        <is>
          <t>TU-B17/S3</t>
        </is>
      </c>
      <c r="G424" s="99" t="n">
        <v>5</v>
      </c>
      <c r="H424" s="99" t="inlineStr">
        <is>
          <t>TR-B3</t>
        </is>
      </c>
      <c r="I424" s="99" t="n">
        <v>3</v>
      </c>
      <c r="J424" s="99" t="inlineStr">
        <is>
          <t>Ống 1 Xanh dương / Xanh lá</t>
        </is>
      </c>
      <c r="K424" s="99" t="inlineStr">
        <is>
          <t>S4-15</t>
        </is>
      </c>
      <c r="L424" s="99" t="inlineStr">
        <is>
          <t>B-26</t>
        </is>
      </c>
      <c r="M424" s="99" t="inlineStr">
        <is>
          <t>PON-15</t>
        </is>
      </c>
      <c r="N424" s="99" t="inlineStr">
        <is>
          <t>Chưa lắp</t>
        </is>
      </c>
      <c r="O424" s="149" t="n"/>
      <c r="P424" s="150" t="n"/>
      <c r="Q424" s="13">
        <f>M424&amp;" &gt; P96#"&amp;U424&amp;" &gt; "&amp;K424&amp;" &gt; P96#"&amp;L424&amp;" &gt; "&amp;R424&amp;" "&amp;S424&amp;" "&amp;T424&amp;" &gt; "&amp;H424&amp;"#"&amp;I424&amp;" &gt; "&amp;F424&amp;" p"&amp;G424</f>
        <v/>
      </c>
      <c r="R424" s="9" t="inlineStr">
        <is>
          <t>ODF-17/18</t>
        </is>
      </c>
      <c r="S424" s="9" t="inlineStr">
        <is>
          <t>Phải</t>
        </is>
      </c>
      <c r="T424" s="9" t="inlineStr">
        <is>
          <t>H1-C3</t>
        </is>
      </c>
      <c r="U424" s="9" t="inlineStr">
        <is>
          <t>B-43</t>
        </is>
      </c>
    </row>
    <row r="425">
      <c r="A425" s="149" t="inlineStr">
        <is>
          <t>B-18-06</t>
        </is>
      </c>
      <c r="B425" s="99" t="inlineStr">
        <is>
          <t>B</t>
        </is>
      </c>
      <c r="C425" s="99" t="inlineStr">
        <is>
          <t>18</t>
        </is>
      </c>
      <c r="D425" s="99" t="n">
        <v>6</v>
      </c>
      <c r="E425" s="99" t="inlineStr">
        <is>
          <t>TU-B17</t>
        </is>
      </c>
      <c r="F425" s="99" t="inlineStr">
        <is>
          <t>TU-B17/S3</t>
        </is>
      </c>
      <c r="G425" s="99" t="n">
        <v>6</v>
      </c>
      <c r="H425" s="99" t="inlineStr">
        <is>
          <t>TR-B3</t>
        </is>
      </c>
      <c r="I425" s="99" t="n">
        <v>3</v>
      </c>
      <c r="J425" s="99" t="inlineStr">
        <is>
          <t>Ống 1 Xanh dương / Xanh lá</t>
        </is>
      </c>
      <c r="K425" s="99" t="inlineStr">
        <is>
          <t>S4-15</t>
        </is>
      </c>
      <c r="L425" s="99" t="inlineStr">
        <is>
          <t>B-26</t>
        </is>
      </c>
      <c r="M425" s="99" t="inlineStr">
        <is>
          <t>PON-15</t>
        </is>
      </c>
      <c r="N425" s="99" t="inlineStr">
        <is>
          <t>Chưa lắp</t>
        </is>
      </c>
      <c r="O425" s="149" t="n"/>
      <c r="P425" s="150" t="n"/>
      <c r="Q425" s="13">
        <f>M425&amp;" &gt; P96#"&amp;U425&amp;" &gt; "&amp;K425&amp;" &gt; P96#"&amp;L425&amp;" &gt; "&amp;R425&amp;" "&amp;S425&amp;" "&amp;T425&amp;" &gt; "&amp;H425&amp;"#"&amp;I425&amp;" &gt; "&amp;F425&amp;" p"&amp;G425</f>
        <v/>
      </c>
      <c r="R425" s="9" t="inlineStr">
        <is>
          <t>ODF-17/18</t>
        </is>
      </c>
      <c r="S425" s="9" t="inlineStr">
        <is>
          <t>Phải</t>
        </is>
      </c>
      <c r="T425" s="9" t="inlineStr">
        <is>
          <t>H1-C3</t>
        </is>
      </c>
      <c r="U425" s="9" t="inlineStr">
        <is>
          <t>B-43</t>
        </is>
      </c>
    </row>
    <row r="426">
      <c r="A426" s="149" t="inlineStr">
        <is>
          <t>B-18-07</t>
        </is>
      </c>
      <c r="B426" s="99" t="inlineStr">
        <is>
          <t>B</t>
        </is>
      </c>
      <c r="C426" s="99" t="inlineStr">
        <is>
          <t>18</t>
        </is>
      </c>
      <c r="D426" s="99" t="n">
        <v>7</v>
      </c>
      <c r="E426" s="99" t="inlineStr">
        <is>
          <t>TU-B17</t>
        </is>
      </c>
      <c r="F426" s="99" t="inlineStr">
        <is>
          <t>TU-B17/S3</t>
        </is>
      </c>
      <c r="G426" s="99" t="n">
        <v>7</v>
      </c>
      <c r="H426" s="99" t="inlineStr">
        <is>
          <t>TR-B3</t>
        </is>
      </c>
      <c r="I426" s="99" t="n">
        <v>3</v>
      </c>
      <c r="J426" s="99" t="inlineStr">
        <is>
          <t>Ống 1 Xanh dương / Xanh lá</t>
        </is>
      </c>
      <c r="K426" s="99" t="inlineStr">
        <is>
          <t>S4-15</t>
        </is>
      </c>
      <c r="L426" s="99" t="inlineStr">
        <is>
          <t>B-26</t>
        </is>
      </c>
      <c r="M426" s="99" t="inlineStr">
        <is>
          <t>PON-15</t>
        </is>
      </c>
      <c r="N426" s="99" t="inlineStr">
        <is>
          <t>Chưa lắp</t>
        </is>
      </c>
      <c r="O426" s="149" t="n"/>
      <c r="P426" s="150" t="n"/>
      <c r="Q426" s="13">
        <f>M426&amp;" &gt; P96#"&amp;U426&amp;" &gt; "&amp;K426&amp;" &gt; P96#"&amp;L426&amp;" &gt; "&amp;R426&amp;" "&amp;S426&amp;" "&amp;T426&amp;" &gt; "&amp;H426&amp;"#"&amp;I426&amp;" &gt; "&amp;F426&amp;" p"&amp;G426</f>
        <v/>
      </c>
      <c r="R426" s="9" t="inlineStr">
        <is>
          <t>ODF-17/18</t>
        </is>
      </c>
      <c r="S426" s="9" t="inlineStr">
        <is>
          <t>Phải</t>
        </is>
      </c>
      <c r="T426" s="9" t="inlineStr">
        <is>
          <t>H1-C3</t>
        </is>
      </c>
      <c r="U426" s="9" t="inlineStr">
        <is>
          <t>B-43</t>
        </is>
      </c>
    </row>
    <row r="427">
      <c r="A427" s="149" t="inlineStr">
        <is>
          <t>B-18-08</t>
        </is>
      </c>
      <c r="B427" s="99" t="inlineStr">
        <is>
          <t>B</t>
        </is>
      </c>
      <c r="C427" s="99" t="inlineStr">
        <is>
          <t>18</t>
        </is>
      </c>
      <c r="D427" s="99" t="n">
        <v>8</v>
      </c>
      <c r="E427" s="99" t="inlineStr">
        <is>
          <t>TU-B17</t>
        </is>
      </c>
      <c r="F427" s="99" t="inlineStr">
        <is>
          <t>TU-B17/S3</t>
        </is>
      </c>
      <c r="G427" s="99" t="n">
        <v>8</v>
      </c>
      <c r="H427" s="99" t="inlineStr">
        <is>
          <t>TR-B3</t>
        </is>
      </c>
      <c r="I427" s="99" t="n">
        <v>3</v>
      </c>
      <c r="J427" s="99" t="inlineStr">
        <is>
          <t>Ống 1 Xanh dương / Xanh lá</t>
        </is>
      </c>
      <c r="K427" s="99" t="inlineStr">
        <is>
          <t>S4-15</t>
        </is>
      </c>
      <c r="L427" s="99" t="inlineStr">
        <is>
          <t>B-26</t>
        </is>
      </c>
      <c r="M427" s="99" t="inlineStr">
        <is>
          <t>PON-15</t>
        </is>
      </c>
      <c r="N427" s="99" t="inlineStr">
        <is>
          <t>Chưa lắp</t>
        </is>
      </c>
      <c r="O427" s="149" t="n"/>
      <c r="P427" s="150" t="n"/>
      <c r="Q427" s="13">
        <f>M427&amp;" &gt; P96#"&amp;U427&amp;" &gt; "&amp;K427&amp;" &gt; P96#"&amp;L427&amp;" &gt; "&amp;R427&amp;" "&amp;S427&amp;" "&amp;T427&amp;" &gt; "&amp;H427&amp;"#"&amp;I427&amp;" &gt; "&amp;F427&amp;" p"&amp;G427</f>
        <v/>
      </c>
      <c r="R427" s="9" t="inlineStr">
        <is>
          <t>ODF-17/18</t>
        </is>
      </c>
      <c r="S427" s="9" t="inlineStr">
        <is>
          <t>Phải</t>
        </is>
      </c>
      <c r="T427" s="9" t="inlineStr">
        <is>
          <t>H1-C3</t>
        </is>
      </c>
      <c r="U427" s="9" t="inlineStr">
        <is>
          <t>B-43</t>
        </is>
      </c>
    </row>
    <row r="428">
      <c r="A428" s="149" t="inlineStr">
        <is>
          <t>B-18-09</t>
        </is>
      </c>
      <c r="B428" s="99" t="inlineStr">
        <is>
          <t>B</t>
        </is>
      </c>
      <c r="C428" s="99" t="inlineStr">
        <is>
          <t>18</t>
        </is>
      </c>
      <c r="D428" s="99" t="n">
        <v>9</v>
      </c>
      <c r="E428" s="99" t="inlineStr">
        <is>
          <t>TU-B17</t>
        </is>
      </c>
      <c r="F428" s="99" t="inlineStr">
        <is>
          <t>TU-B17/S3</t>
        </is>
      </c>
      <c r="G428" s="99" t="n">
        <v>9</v>
      </c>
      <c r="H428" s="99" t="inlineStr">
        <is>
          <t>TR-B3</t>
        </is>
      </c>
      <c r="I428" s="99" t="n">
        <v>3</v>
      </c>
      <c r="J428" s="99" t="inlineStr">
        <is>
          <t>Ống 1 Xanh dương / Xanh lá</t>
        </is>
      </c>
      <c r="K428" s="99" t="inlineStr">
        <is>
          <t>S4-15</t>
        </is>
      </c>
      <c r="L428" s="99" t="inlineStr">
        <is>
          <t>B-26</t>
        </is>
      </c>
      <c r="M428" s="99" t="inlineStr">
        <is>
          <t>PON-15</t>
        </is>
      </c>
      <c r="N428" s="99" t="inlineStr">
        <is>
          <t>Chưa lắp</t>
        </is>
      </c>
      <c r="O428" s="149" t="n"/>
      <c r="P428" s="150" t="n"/>
      <c r="Q428" s="13">
        <f>M428&amp;" &gt; P96#"&amp;U428&amp;" &gt; "&amp;K428&amp;" &gt; P96#"&amp;L428&amp;" &gt; "&amp;R428&amp;" "&amp;S428&amp;" "&amp;T428&amp;" &gt; "&amp;H428&amp;"#"&amp;I428&amp;" &gt; "&amp;F428&amp;" p"&amp;G428</f>
        <v/>
      </c>
      <c r="R428" s="9" t="inlineStr">
        <is>
          <t>ODF-17/18</t>
        </is>
      </c>
      <c r="S428" s="9" t="inlineStr">
        <is>
          <t>Phải</t>
        </is>
      </c>
      <c r="T428" s="9" t="inlineStr">
        <is>
          <t>H1-C3</t>
        </is>
      </c>
      <c r="U428" s="9" t="inlineStr">
        <is>
          <t>B-43</t>
        </is>
      </c>
    </row>
    <row r="429">
      <c r="A429" s="149" t="inlineStr">
        <is>
          <t>B-18-10</t>
        </is>
      </c>
      <c r="B429" s="99" t="inlineStr">
        <is>
          <t>B</t>
        </is>
      </c>
      <c r="C429" s="99" t="inlineStr">
        <is>
          <t>18</t>
        </is>
      </c>
      <c r="D429" s="99" t="n">
        <v>10</v>
      </c>
      <c r="E429" s="99" t="inlineStr">
        <is>
          <t>TU-B17</t>
        </is>
      </c>
      <c r="F429" s="99" t="inlineStr">
        <is>
          <t>TU-B17/S3</t>
        </is>
      </c>
      <c r="G429" s="99" t="n">
        <v>10</v>
      </c>
      <c r="H429" s="99" t="inlineStr">
        <is>
          <t>TR-B3</t>
        </is>
      </c>
      <c r="I429" s="99" t="n">
        <v>3</v>
      </c>
      <c r="J429" s="99" t="inlineStr">
        <is>
          <t>Ống 1 Xanh dương / Xanh lá</t>
        </is>
      </c>
      <c r="K429" s="99" t="inlineStr">
        <is>
          <t>S4-15</t>
        </is>
      </c>
      <c r="L429" s="99" t="inlineStr">
        <is>
          <t>B-26</t>
        </is>
      </c>
      <c r="M429" s="99" t="inlineStr">
        <is>
          <t>PON-15</t>
        </is>
      </c>
      <c r="N429" s="99" t="inlineStr">
        <is>
          <t>Chưa lắp</t>
        </is>
      </c>
      <c r="O429" s="149" t="n"/>
      <c r="P429" s="150" t="n"/>
      <c r="Q429" s="13">
        <f>M429&amp;" &gt; P96#"&amp;U429&amp;" &gt; "&amp;K429&amp;" &gt; P96#"&amp;L429&amp;" &gt; "&amp;R429&amp;" "&amp;S429&amp;" "&amp;T429&amp;" &gt; "&amp;H429&amp;"#"&amp;I429&amp;" &gt; "&amp;F429&amp;" p"&amp;G429</f>
        <v/>
      </c>
      <c r="R429" s="9" t="inlineStr">
        <is>
          <t>ODF-17/18</t>
        </is>
      </c>
      <c r="S429" s="9" t="inlineStr">
        <is>
          <t>Phải</t>
        </is>
      </c>
      <c r="T429" s="9" t="inlineStr">
        <is>
          <t>H1-C3</t>
        </is>
      </c>
      <c r="U429" s="9" t="inlineStr">
        <is>
          <t>B-43</t>
        </is>
      </c>
    </row>
    <row r="430">
      <c r="A430" s="149" t="inlineStr">
        <is>
          <t>B-18-11</t>
        </is>
      </c>
      <c r="B430" s="99" t="inlineStr">
        <is>
          <t>B</t>
        </is>
      </c>
      <c r="C430" s="99" t="inlineStr">
        <is>
          <t>18</t>
        </is>
      </c>
      <c r="D430" s="99" t="n">
        <v>11</v>
      </c>
      <c r="E430" s="99" t="inlineStr">
        <is>
          <t>TU-B17</t>
        </is>
      </c>
      <c r="F430" s="99" t="inlineStr">
        <is>
          <t>TU-B17/S3</t>
        </is>
      </c>
      <c r="G430" s="99" t="n">
        <v>11</v>
      </c>
      <c r="H430" s="99" t="inlineStr">
        <is>
          <t>TR-B3</t>
        </is>
      </c>
      <c r="I430" s="99" t="n">
        <v>3</v>
      </c>
      <c r="J430" s="99" t="inlineStr">
        <is>
          <t>Ống 1 Xanh dương / Xanh lá</t>
        </is>
      </c>
      <c r="K430" s="99" t="inlineStr">
        <is>
          <t>S4-15</t>
        </is>
      </c>
      <c r="L430" s="99" t="inlineStr">
        <is>
          <t>B-26</t>
        </is>
      </c>
      <c r="M430" s="99" t="inlineStr">
        <is>
          <t>PON-15</t>
        </is>
      </c>
      <c r="N430" s="99" t="inlineStr">
        <is>
          <t>Chưa lắp</t>
        </is>
      </c>
      <c r="O430" s="149" t="n"/>
      <c r="P430" s="150" t="n"/>
      <c r="Q430" s="13">
        <f>M430&amp;" &gt; P96#"&amp;U430&amp;" &gt; "&amp;K430&amp;" &gt; P96#"&amp;L430&amp;" &gt; "&amp;R430&amp;" "&amp;S430&amp;" "&amp;T430&amp;" &gt; "&amp;H430&amp;"#"&amp;I430&amp;" &gt; "&amp;F430&amp;" p"&amp;G430</f>
        <v/>
      </c>
      <c r="R430" s="9" t="inlineStr">
        <is>
          <t>ODF-17/18</t>
        </is>
      </c>
      <c r="S430" s="9" t="inlineStr">
        <is>
          <t>Phải</t>
        </is>
      </c>
      <c r="T430" s="9" t="inlineStr">
        <is>
          <t>H1-C3</t>
        </is>
      </c>
      <c r="U430" s="9" t="inlineStr">
        <is>
          <t>B-43</t>
        </is>
      </c>
    </row>
    <row r="431">
      <c r="A431" s="149" t="inlineStr">
        <is>
          <t>B-18-12</t>
        </is>
      </c>
      <c r="B431" s="99" t="inlineStr">
        <is>
          <t>B</t>
        </is>
      </c>
      <c r="C431" s="99" t="inlineStr">
        <is>
          <t>18</t>
        </is>
      </c>
      <c r="D431" s="99" t="n">
        <v>12</v>
      </c>
      <c r="E431" s="99" t="inlineStr">
        <is>
          <t>TU-B17</t>
        </is>
      </c>
      <c r="F431" s="99" t="inlineStr">
        <is>
          <t>TU-B17/S3</t>
        </is>
      </c>
      <c r="G431" s="99" t="n">
        <v>12</v>
      </c>
      <c r="H431" s="99" t="inlineStr">
        <is>
          <t>TR-B3</t>
        </is>
      </c>
      <c r="I431" s="99" t="n">
        <v>3</v>
      </c>
      <c r="J431" s="99" t="inlineStr">
        <is>
          <t>Ống 1 Xanh dương / Xanh lá</t>
        </is>
      </c>
      <c r="K431" s="99" t="inlineStr">
        <is>
          <t>S4-15</t>
        </is>
      </c>
      <c r="L431" s="99" t="inlineStr">
        <is>
          <t>B-26</t>
        </is>
      </c>
      <c r="M431" s="99" t="inlineStr">
        <is>
          <t>PON-15</t>
        </is>
      </c>
      <c r="N431" s="99" t="inlineStr">
        <is>
          <t>Chưa lắp</t>
        </is>
      </c>
      <c r="O431" s="149" t="n"/>
      <c r="P431" s="150" t="n"/>
      <c r="Q431" s="13">
        <f>M431&amp;" &gt; P96#"&amp;U431&amp;" &gt; "&amp;K431&amp;" &gt; P96#"&amp;L431&amp;" &gt; "&amp;R431&amp;" "&amp;S431&amp;" "&amp;T431&amp;" &gt; "&amp;H431&amp;"#"&amp;I431&amp;" &gt; "&amp;F431&amp;" p"&amp;G431</f>
        <v/>
      </c>
      <c r="R431" s="9" t="inlineStr">
        <is>
          <t>ODF-17/18</t>
        </is>
      </c>
      <c r="S431" s="9" t="inlineStr">
        <is>
          <t>Phải</t>
        </is>
      </c>
      <c r="T431" s="9" t="inlineStr">
        <is>
          <t>H1-C3</t>
        </is>
      </c>
      <c r="U431" s="9" t="inlineStr">
        <is>
          <t>B-43</t>
        </is>
      </c>
    </row>
    <row r="432">
      <c r="A432" s="149" t="inlineStr">
        <is>
          <t>B-18-13</t>
        </is>
      </c>
      <c r="B432" s="99" t="inlineStr">
        <is>
          <t>B</t>
        </is>
      </c>
      <c r="C432" s="99" t="inlineStr">
        <is>
          <t>18</t>
        </is>
      </c>
      <c r="D432" s="99" t="n">
        <v>13</v>
      </c>
      <c r="E432" s="99" t="inlineStr">
        <is>
          <t>TU-B17</t>
        </is>
      </c>
      <c r="F432" s="99" t="inlineStr">
        <is>
          <t>TU-B17/S3</t>
        </is>
      </c>
      <c r="G432" s="99" t="n">
        <v>13</v>
      </c>
      <c r="H432" s="99" t="inlineStr">
        <is>
          <t>TR-B3</t>
        </is>
      </c>
      <c r="I432" s="99" t="n">
        <v>3</v>
      </c>
      <c r="J432" s="99" t="inlineStr">
        <is>
          <t>Ống 1 Xanh dương / Xanh lá</t>
        </is>
      </c>
      <c r="K432" s="99" t="inlineStr">
        <is>
          <t>S4-15</t>
        </is>
      </c>
      <c r="L432" s="99" t="inlineStr">
        <is>
          <t>B-26</t>
        </is>
      </c>
      <c r="M432" s="99" t="inlineStr">
        <is>
          <t>PON-15</t>
        </is>
      </c>
      <c r="N432" s="99" t="inlineStr">
        <is>
          <t>Chưa lắp</t>
        </is>
      </c>
      <c r="O432" s="149" t="n"/>
      <c r="P432" s="150" t="n"/>
      <c r="Q432" s="13">
        <f>M432&amp;" &gt; P96#"&amp;U432&amp;" &gt; "&amp;K432&amp;" &gt; P96#"&amp;L432&amp;" &gt; "&amp;R432&amp;" "&amp;S432&amp;" "&amp;T432&amp;" &gt; "&amp;H432&amp;"#"&amp;I432&amp;" &gt; "&amp;F432&amp;" p"&amp;G432</f>
        <v/>
      </c>
      <c r="R432" s="9" t="inlineStr">
        <is>
          <t>ODF-17/18</t>
        </is>
      </c>
      <c r="S432" s="9" t="inlineStr">
        <is>
          <t>Phải</t>
        </is>
      </c>
      <c r="T432" s="9" t="inlineStr">
        <is>
          <t>H1-C3</t>
        </is>
      </c>
      <c r="U432" s="9" t="inlineStr">
        <is>
          <t>B-43</t>
        </is>
      </c>
    </row>
    <row r="433">
      <c r="A433" s="149" t="inlineStr">
        <is>
          <t>B-18-14</t>
        </is>
      </c>
      <c r="B433" s="99" t="inlineStr">
        <is>
          <t>B</t>
        </is>
      </c>
      <c r="C433" s="99" t="inlineStr">
        <is>
          <t>18</t>
        </is>
      </c>
      <c r="D433" s="99" t="n">
        <v>14</v>
      </c>
      <c r="E433" s="99" t="inlineStr">
        <is>
          <t>TU-B17</t>
        </is>
      </c>
      <c r="F433" s="99" t="inlineStr">
        <is>
          <t>TU-B17/S3</t>
        </is>
      </c>
      <c r="G433" s="99" t="n">
        <v>14</v>
      </c>
      <c r="H433" s="99" t="inlineStr">
        <is>
          <t>TR-B3</t>
        </is>
      </c>
      <c r="I433" s="99" t="n">
        <v>3</v>
      </c>
      <c r="J433" s="99" t="inlineStr">
        <is>
          <t>Ống 1 Xanh dương / Xanh lá</t>
        </is>
      </c>
      <c r="K433" s="99" t="inlineStr">
        <is>
          <t>S4-15</t>
        </is>
      </c>
      <c r="L433" s="99" t="inlineStr">
        <is>
          <t>B-26</t>
        </is>
      </c>
      <c r="M433" s="99" t="inlineStr">
        <is>
          <t>PON-15</t>
        </is>
      </c>
      <c r="N433" s="99" t="inlineStr">
        <is>
          <t>Chưa lắp</t>
        </is>
      </c>
      <c r="O433" s="149" t="n"/>
      <c r="P433" s="150" t="n"/>
      <c r="Q433" s="13">
        <f>M433&amp;" &gt; P96#"&amp;U433&amp;" &gt; "&amp;K433&amp;" &gt; P96#"&amp;L433&amp;" &gt; "&amp;R433&amp;" "&amp;S433&amp;" "&amp;T433&amp;" &gt; "&amp;H433&amp;"#"&amp;I433&amp;" &gt; "&amp;F433&amp;" p"&amp;G433</f>
        <v/>
      </c>
      <c r="R433" s="9" t="inlineStr">
        <is>
          <t>ODF-17/18</t>
        </is>
      </c>
      <c r="S433" s="9" t="inlineStr">
        <is>
          <t>Phải</t>
        </is>
      </c>
      <c r="T433" s="9" t="inlineStr">
        <is>
          <t>H1-C3</t>
        </is>
      </c>
      <c r="U433" s="9" t="inlineStr">
        <is>
          <t>B-43</t>
        </is>
      </c>
    </row>
    <row r="434">
      <c r="A434" s="149" t="inlineStr">
        <is>
          <t>B-17-01</t>
        </is>
      </c>
      <c r="B434" s="99" t="inlineStr">
        <is>
          <t>B</t>
        </is>
      </c>
      <c r="C434" s="99" t="inlineStr">
        <is>
          <t>17</t>
        </is>
      </c>
      <c r="D434" s="99" t="n">
        <v>1</v>
      </c>
      <c r="E434" s="99" t="inlineStr">
        <is>
          <t>TU-B17</t>
        </is>
      </c>
      <c r="F434" s="99" t="inlineStr">
        <is>
          <t>TU-B17/S2</t>
        </is>
      </c>
      <c r="G434" s="99" t="n">
        <v>1</v>
      </c>
      <c r="H434" s="99" t="inlineStr">
        <is>
          <t>TR-B3</t>
        </is>
      </c>
      <c r="I434" s="99" t="n">
        <v>2</v>
      </c>
      <c r="J434" s="99" t="inlineStr">
        <is>
          <t>Ống 1 Xanh dương / Cam</t>
        </is>
      </c>
      <c r="K434" s="99" t="inlineStr">
        <is>
          <t>S4-15</t>
        </is>
      </c>
      <c r="L434" s="99" t="inlineStr">
        <is>
          <t>B-25</t>
        </is>
      </c>
      <c r="M434" s="99" t="inlineStr">
        <is>
          <t>PON-15</t>
        </is>
      </c>
      <c r="N434" s="99" t="inlineStr">
        <is>
          <t>Chưa lắp</t>
        </is>
      </c>
      <c r="O434" s="149" t="n"/>
      <c r="P434" s="150" t="n"/>
      <c r="Q434" s="13">
        <f>M434&amp;" &gt; P96#"&amp;U434&amp;" &gt; "&amp;K434&amp;" &gt; P96#"&amp;L434&amp;" &gt; "&amp;R434&amp;" "&amp;S434&amp;" "&amp;T434&amp;" &gt; "&amp;H434&amp;"#"&amp;I434&amp;" &gt; "&amp;F434&amp;" p"&amp;G434</f>
        <v/>
      </c>
      <c r="R434" s="9" t="inlineStr">
        <is>
          <t>ODF-17/18</t>
        </is>
      </c>
      <c r="S434" s="9" t="inlineStr">
        <is>
          <t>Phải</t>
        </is>
      </c>
      <c r="T434" s="9" t="inlineStr">
        <is>
          <t>H1-C2</t>
        </is>
      </c>
      <c r="U434" s="9" t="inlineStr">
        <is>
          <t>B-43</t>
        </is>
      </c>
    </row>
    <row r="435">
      <c r="A435" s="149" t="inlineStr">
        <is>
          <t>B-17-02</t>
        </is>
      </c>
      <c r="B435" s="99" t="inlineStr">
        <is>
          <t>B</t>
        </is>
      </c>
      <c r="C435" s="99" t="inlineStr">
        <is>
          <t>17</t>
        </is>
      </c>
      <c r="D435" s="99" t="n">
        <v>2</v>
      </c>
      <c r="E435" s="99" t="inlineStr">
        <is>
          <t>TU-B17</t>
        </is>
      </c>
      <c r="F435" s="99" t="inlineStr">
        <is>
          <t>TU-B17/S2</t>
        </is>
      </c>
      <c r="G435" s="99" t="n">
        <v>2</v>
      </c>
      <c r="H435" s="99" t="inlineStr">
        <is>
          <t>TR-B3</t>
        </is>
      </c>
      <c r="I435" s="99" t="n">
        <v>2</v>
      </c>
      <c r="J435" s="99" t="inlineStr">
        <is>
          <t>Ống 1 Xanh dương / Cam</t>
        </is>
      </c>
      <c r="K435" s="99" t="inlineStr">
        <is>
          <t>S4-15</t>
        </is>
      </c>
      <c r="L435" s="99" t="inlineStr">
        <is>
          <t>B-25</t>
        </is>
      </c>
      <c r="M435" s="99" t="inlineStr">
        <is>
          <t>PON-15</t>
        </is>
      </c>
      <c r="N435" s="99" t="inlineStr">
        <is>
          <t>Chưa lắp</t>
        </is>
      </c>
      <c r="O435" s="149" t="n"/>
      <c r="P435" s="150" t="n"/>
      <c r="Q435" s="13">
        <f>M435&amp;" &gt; P96#"&amp;U435&amp;" &gt; "&amp;K435&amp;" &gt; P96#"&amp;L435&amp;" &gt; "&amp;R435&amp;" "&amp;S435&amp;" "&amp;T435&amp;" &gt; "&amp;H435&amp;"#"&amp;I435&amp;" &gt; "&amp;F435&amp;" p"&amp;G435</f>
        <v/>
      </c>
      <c r="R435" s="9" t="inlineStr">
        <is>
          <t>ODF-17/18</t>
        </is>
      </c>
      <c r="S435" s="9" t="inlineStr">
        <is>
          <t>Phải</t>
        </is>
      </c>
      <c r="T435" s="9" t="inlineStr">
        <is>
          <t>H1-C2</t>
        </is>
      </c>
      <c r="U435" s="9" t="inlineStr">
        <is>
          <t>B-43</t>
        </is>
      </c>
    </row>
    <row r="436">
      <c r="A436" s="151" t="inlineStr">
        <is>
          <t>B-17-03</t>
        </is>
      </c>
      <c r="B436" s="102" t="inlineStr">
        <is>
          <t>B</t>
        </is>
      </c>
      <c r="C436" s="102" t="inlineStr">
        <is>
          <t>17</t>
        </is>
      </c>
      <c r="D436" s="102" t="n">
        <v>3</v>
      </c>
      <c r="E436" s="102" t="inlineStr">
        <is>
          <t>TU-B17</t>
        </is>
      </c>
      <c r="F436" s="102" t="inlineStr">
        <is>
          <t>TU-B17/S2</t>
        </is>
      </c>
      <c r="G436" s="102" t="n">
        <v>3</v>
      </c>
      <c r="H436" s="102" t="inlineStr">
        <is>
          <t>TR-B3</t>
        </is>
      </c>
      <c r="I436" s="102" t="n">
        <v>2</v>
      </c>
      <c r="J436" s="102" t="inlineStr">
        <is>
          <t>Ống 1 Xanh dương / Cam</t>
        </is>
      </c>
      <c r="K436" s="102" t="inlineStr">
        <is>
          <t>S4-15</t>
        </is>
      </c>
      <c r="L436" s="102" t="inlineStr">
        <is>
          <t>B-25</t>
        </is>
      </c>
      <c r="M436" s="102" t="inlineStr">
        <is>
          <t>PON-15</t>
        </is>
      </c>
      <c r="N436" s="102" t="inlineStr">
        <is>
          <t>Chưa lắp</t>
        </is>
      </c>
      <c r="O436" s="151" t="n"/>
      <c r="P436" s="152" t="n"/>
      <c r="Q436" s="13">
        <f>M436&amp;" &gt; P96#"&amp;U436&amp;" &gt; "&amp;K436&amp;" &gt; P96#"&amp;L436&amp;" &gt; "&amp;R436&amp;" "&amp;S436&amp;" "&amp;T436&amp;" &gt; "&amp;H436&amp;"#"&amp;I436&amp;" &gt; "&amp;F436&amp;" p"&amp;G436</f>
        <v/>
      </c>
      <c r="R436" s="9" t="inlineStr">
        <is>
          <t>ODF-17/18</t>
        </is>
      </c>
      <c r="S436" s="9" t="inlineStr">
        <is>
          <t>Phải</t>
        </is>
      </c>
      <c r="T436" s="9" t="inlineStr">
        <is>
          <t>H1-C2</t>
        </is>
      </c>
      <c r="U436" s="9" t="inlineStr">
        <is>
          <t>B-43</t>
        </is>
      </c>
    </row>
    <row r="437">
      <c r="A437" s="151" t="inlineStr">
        <is>
          <t>B-17-04</t>
        </is>
      </c>
      <c r="B437" s="102" t="inlineStr">
        <is>
          <t>B</t>
        </is>
      </c>
      <c r="C437" s="102" t="inlineStr">
        <is>
          <t>17</t>
        </is>
      </c>
      <c r="D437" s="102" t="n">
        <v>4</v>
      </c>
      <c r="E437" s="102" t="inlineStr">
        <is>
          <t>TU-B17</t>
        </is>
      </c>
      <c r="F437" s="102" t="inlineStr">
        <is>
          <t>TU-B17/S2</t>
        </is>
      </c>
      <c r="G437" s="102" t="n">
        <v>4</v>
      </c>
      <c r="H437" s="102" t="inlineStr">
        <is>
          <t>TR-B3</t>
        </is>
      </c>
      <c r="I437" s="102" t="n">
        <v>2</v>
      </c>
      <c r="J437" s="102" t="inlineStr">
        <is>
          <t>Ống 1 Xanh dương / Cam</t>
        </is>
      </c>
      <c r="K437" s="102" t="inlineStr">
        <is>
          <t>S4-15</t>
        </is>
      </c>
      <c r="L437" s="102" t="inlineStr">
        <is>
          <t>B-25</t>
        </is>
      </c>
      <c r="M437" s="102" t="inlineStr">
        <is>
          <t>PON-15</t>
        </is>
      </c>
      <c r="N437" s="102" t="inlineStr">
        <is>
          <t>Chưa lắp</t>
        </is>
      </c>
      <c r="O437" s="151" t="n"/>
      <c r="P437" s="152" t="n"/>
      <c r="Q437" s="13">
        <f>M437&amp;" &gt; P96#"&amp;U437&amp;" &gt; "&amp;K437&amp;" &gt; P96#"&amp;L437&amp;" &gt; "&amp;R437&amp;" "&amp;S437&amp;" "&amp;T437&amp;" &gt; "&amp;H437&amp;"#"&amp;I437&amp;" &gt; "&amp;F437&amp;" p"&amp;G437</f>
        <v/>
      </c>
      <c r="R437" s="9" t="inlineStr">
        <is>
          <t>ODF-17/18</t>
        </is>
      </c>
      <c r="S437" s="9" t="inlineStr">
        <is>
          <t>Phải</t>
        </is>
      </c>
      <c r="T437" s="9" t="inlineStr">
        <is>
          <t>H1-C2</t>
        </is>
      </c>
      <c r="U437" s="9" t="inlineStr">
        <is>
          <t>B-43</t>
        </is>
      </c>
    </row>
    <row r="438">
      <c r="A438" s="151" t="inlineStr">
        <is>
          <t>B-17-05</t>
        </is>
      </c>
      <c r="B438" s="102" t="inlineStr">
        <is>
          <t>B</t>
        </is>
      </c>
      <c r="C438" s="102" t="inlineStr">
        <is>
          <t>17</t>
        </is>
      </c>
      <c r="D438" s="102" t="n">
        <v>5</v>
      </c>
      <c r="E438" s="102" t="inlineStr">
        <is>
          <t>TU-B17</t>
        </is>
      </c>
      <c r="F438" s="102" t="inlineStr">
        <is>
          <t>TU-B17/S2</t>
        </is>
      </c>
      <c r="G438" s="102" t="n">
        <v>5</v>
      </c>
      <c r="H438" s="102" t="inlineStr">
        <is>
          <t>TR-B3</t>
        </is>
      </c>
      <c r="I438" s="102" t="n">
        <v>2</v>
      </c>
      <c r="J438" s="102" t="inlineStr">
        <is>
          <t>Ống 1 Xanh dương / Cam</t>
        </is>
      </c>
      <c r="K438" s="102" t="inlineStr">
        <is>
          <t>S4-15</t>
        </is>
      </c>
      <c r="L438" s="102" t="inlineStr">
        <is>
          <t>B-25</t>
        </is>
      </c>
      <c r="M438" s="102" t="inlineStr">
        <is>
          <t>PON-15</t>
        </is>
      </c>
      <c r="N438" s="102" t="inlineStr">
        <is>
          <t>Chưa lắp</t>
        </is>
      </c>
      <c r="O438" s="151" t="n"/>
      <c r="P438" s="152" t="n"/>
      <c r="Q438" s="13">
        <f>M438&amp;" &gt; P96#"&amp;U438&amp;" &gt; "&amp;K438&amp;" &gt; P96#"&amp;L438&amp;" &gt; "&amp;R438&amp;" "&amp;S438&amp;" "&amp;T438&amp;" &gt; "&amp;H438&amp;"#"&amp;I438&amp;" &gt; "&amp;F438&amp;" p"&amp;G438</f>
        <v/>
      </c>
      <c r="R438" s="9" t="inlineStr">
        <is>
          <t>ODF-17/18</t>
        </is>
      </c>
      <c r="S438" s="9" t="inlineStr">
        <is>
          <t>Phải</t>
        </is>
      </c>
      <c r="T438" s="9" t="inlineStr">
        <is>
          <t>H1-C2</t>
        </is>
      </c>
      <c r="U438" s="9" t="inlineStr">
        <is>
          <t>B-43</t>
        </is>
      </c>
    </row>
    <row r="439">
      <c r="A439" s="151" t="inlineStr">
        <is>
          <t>B-17-06</t>
        </is>
      </c>
      <c r="B439" s="102" t="inlineStr">
        <is>
          <t>B</t>
        </is>
      </c>
      <c r="C439" s="102" t="inlineStr">
        <is>
          <t>17</t>
        </is>
      </c>
      <c r="D439" s="102" t="n">
        <v>6</v>
      </c>
      <c r="E439" s="102" t="inlineStr">
        <is>
          <t>TU-B17</t>
        </is>
      </c>
      <c r="F439" s="102" t="inlineStr">
        <is>
          <t>TU-B17/S2</t>
        </is>
      </c>
      <c r="G439" s="102" t="n">
        <v>6</v>
      </c>
      <c r="H439" s="102" t="inlineStr">
        <is>
          <t>TR-B3</t>
        </is>
      </c>
      <c r="I439" s="102" t="n">
        <v>2</v>
      </c>
      <c r="J439" s="102" t="inlineStr">
        <is>
          <t>Ống 1 Xanh dương / Cam</t>
        </is>
      </c>
      <c r="K439" s="102" t="inlineStr">
        <is>
          <t>S4-15</t>
        </is>
      </c>
      <c r="L439" s="102" t="inlineStr">
        <is>
          <t>B-25</t>
        </is>
      </c>
      <c r="M439" s="102" t="inlineStr">
        <is>
          <t>PON-15</t>
        </is>
      </c>
      <c r="N439" s="102" t="inlineStr">
        <is>
          <t>Chưa lắp</t>
        </is>
      </c>
      <c r="O439" s="151" t="n"/>
      <c r="P439" s="152" t="n"/>
      <c r="Q439" s="13">
        <f>M439&amp;" &gt; P96#"&amp;U439&amp;" &gt; "&amp;K439&amp;" &gt; P96#"&amp;L439&amp;" &gt; "&amp;R439&amp;" "&amp;S439&amp;" "&amp;T439&amp;" &gt; "&amp;H439&amp;"#"&amp;I439&amp;" &gt; "&amp;F439&amp;" p"&amp;G439</f>
        <v/>
      </c>
      <c r="R439" s="9" t="inlineStr">
        <is>
          <t>ODF-17/18</t>
        </is>
      </c>
      <c r="S439" s="9" t="inlineStr">
        <is>
          <t>Phải</t>
        </is>
      </c>
      <c r="T439" s="9" t="inlineStr">
        <is>
          <t>H1-C2</t>
        </is>
      </c>
      <c r="U439" s="9" t="inlineStr">
        <is>
          <t>B-43</t>
        </is>
      </c>
    </row>
    <row r="440">
      <c r="A440" s="151" t="inlineStr">
        <is>
          <t>B-17-07</t>
        </is>
      </c>
      <c r="B440" s="102" t="inlineStr">
        <is>
          <t>B</t>
        </is>
      </c>
      <c r="C440" s="102" t="inlineStr">
        <is>
          <t>17</t>
        </is>
      </c>
      <c r="D440" s="102" t="n">
        <v>7</v>
      </c>
      <c r="E440" s="102" t="inlineStr">
        <is>
          <t>TU-B17</t>
        </is>
      </c>
      <c r="F440" s="102" t="inlineStr">
        <is>
          <t>TU-B17/S2</t>
        </is>
      </c>
      <c r="G440" s="102" t="n">
        <v>7</v>
      </c>
      <c r="H440" s="102" t="inlineStr">
        <is>
          <t>TR-B3</t>
        </is>
      </c>
      <c r="I440" s="102" t="n">
        <v>2</v>
      </c>
      <c r="J440" s="102" t="inlineStr">
        <is>
          <t>Ống 1 Xanh dương / Cam</t>
        </is>
      </c>
      <c r="K440" s="102" t="inlineStr">
        <is>
          <t>S4-15</t>
        </is>
      </c>
      <c r="L440" s="102" t="inlineStr">
        <is>
          <t>B-25</t>
        </is>
      </c>
      <c r="M440" s="102" t="inlineStr">
        <is>
          <t>PON-15</t>
        </is>
      </c>
      <c r="N440" s="102" t="inlineStr">
        <is>
          <t>Chưa lắp</t>
        </is>
      </c>
      <c r="O440" s="151" t="n"/>
      <c r="P440" s="152" t="n"/>
      <c r="Q440" s="13">
        <f>M440&amp;" &gt; P96#"&amp;U440&amp;" &gt; "&amp;K440&amp;" &gt; P96#"&amp;L440&amp;" &gt; "&amp;R440&amp;" "&amp;S440&amp;" "&amp;T440&amp;" &gt; "&amp;H440&amp;"#"&amp;I440&amp;" &gt; "&amp;F440&amp;" p"&amp;G440</f>
        <v/>
      </c>
      <c r="R440" s="9" t="inlineStr">
        <is>
          <t>ODF-17/18</t>
        </is>
      </c>
      <c r="S440" s="9" t="inlineStr">
        <is>
          <t>Phải</t>
        </is>
      </c>
      <c r="T440" s="9" t="inlineStr">
        <is>
          <t>H1-C2</t>
        </is>
      </c>
      <c r="U440" s="9" t="inlineStr">
        <is>
          <t>B-43</t>
        </is>
      </c>
    </row>
    <row r="441">
      <c r="A441" s="151" t="inlineStr">
        <is>
          <t>B-17-08</t>
        </is>
      </c>
      <c r="B441" s="102" t="inlineStr">
        <is>
          <t>B</t>
        </is>
      </c>
      <c r="C441" s="102" t="inlineStr">
        <is>
          <t>17</t>
        </is>
      </c>
      <c r="D441" s="102" t="n">
        <v>8</v>
      </c>
      <c r="E441" s="102" t="inlineStr">
        <is>
          <t>TU-B17</t>
        </is>
      </c>
      <c r="F441" s="102" t="inlineStr">
        <is>
          <t>TU-B17/S2</t>
        </is>
      </c>
      <c r="G441" s="102" t="n">
        <v>8</v>
      </c>
      <c r="H441" s="102" t="inlineStr">
        <is>
          <t>TR-B3</t>
        </is>
      </c>
      <c r="I441" s="102" t="n">
        <v>2</v>
      </c>
      <c r="J441" s="102" t="inlineStr">
        <is>
          <t>Ống 1 Xanh dương / Cam</t>
        </is>
      </c>
      <c r="K441" s="102" t="inlineStr">
        <is>
          <t>S4-15</t>
        </is>
      </c>
      <c r="L441" s="102" t="inlineStr">
        <is>
          <t>B-25</t>
        </is>
      </c>
      <c r="M441" s="102" t="inlineStr">
        <is>
          <t>PON-15</t>
        </is>
      </c>
      <c r="N441" s="102" t="inlineStr">
        <is>
          <t>Chưa lắp</t>
        </is>
      </c>
      <c r="O441" s="151" t="n"/>
      <c r="P441" s="152" t="n"/>
      <c r="Q441" s="13">
        <f>M441&amp;" &gt; P96#"&amp;U441&amp;" &gt; "&amp;K441&amp;" &gt; P96#"&amp;L441&amp;" &gt; "&amp;R441&amp;" "&amp;S441&amp;" "&amp;T441&amp;" &gt; "&amp;H441&amp;"#"&amp;I441&amp;" &gt; "&amp;F441&amp;" p"&amp;G441</f>
        <v/>
      </c>
      <c r="R441" s="9" t="inlineStr">
        <is>
          <t>ODF-17/18</t>
        </is>
      </c>
      <c r="S441" s="9" t="inlineStr">
        <is>
          <t>Phải</t>
        </is>
      </c>
      <c r="T441" s="9" t="inlineStr">
        <is>
          <t>H1-C2</t>
        </is>
      </c>
      <c r="U441" s="9" t="inlineStr">
        <is>
          <t>B-43</t>
        </is>
      </c>
    </row>
    <row r="442">
      <c r="A442" s="151" t="inlineStr">
        <is>
          <t>B-17-09</t>
        </is>
      </c>
      <c r="B442" s="102" t="inlineStr">
        <is>
          <t>B</t>
        </is>
      </c>
      <c r="C442" s="102" t="inlineStr">
        <is>
          <t>17</t>
        </is>
      </c>
      <c r="D442" s="102" t="n">
        <v>9</v>
      </c>
      <c r="E442" s="102" t="inlineStr">
        <is>
          <t>TU-B17</t>
        </is>
      </c>
      <c r="F442" s="102" t="inlineStr">
        <is>
          <t>TU-B17/S2</t>
        </is>
      </c>
      <c r="G442" s="102" t="n">
        <v>9</v>
      </c>
      <c r="H442" s="102" t="inlineStr">
        <is>
          <t>TR-B3</t>
        </is>
      </c>
      <c r="I442" s="102" t="n">
        <v>2</v>
      </c>
      <c r="J442" s="102" t="inlineStr">
        <is>
          <t>Ống 1 Xanh dương / Cam</t>
        </is>
      </c>
      <c r="K442" s="102" t="inlineStr">
        <is>
          <t>S4-15</t>
        </is>
      </c>
      <c r="L442" s="102" t="inlineStr">
        <is>
          <t>B-25</t>
        </is>
      </c>
      <c r="M442" s="102" t="inlineStr">
        <is>
          <t>PON-15</t>
        </is>
      </c>
      <c r="N442" s="102" t="inlineStr">
        <is>
          <t>Chưa lắp</t>
        </is>
      </c>
      <c r="O442" s="151" t="n"/>
      <c r="P442" s="152" t="n"/>
      <c r="Q442" s="13">
        <f>M442&amp;" &gt; P96#"&amp;U442&amp;" &gt; "&amp;K442&amp;" &gt; P96#"&amp;L442&amp;" &gt; "&amp;R442&amp;" "&amp;S442&amp;" "&amp;T442&amp;" &gt; "&amp;H442&amp;"#"&amp;I442&amp;" &gt; "&amp;F442&amp;" p"&amp;G442</f>
        <v/>
      </c>
      <c r="R442" s="9" t="inlineStr">
        <is>
          <t>ODF-17/18</t>
        </is>
      </c>
      <c r="S442" s="9" t="inlineStr">
        <is>
          <t>Phải</t>
        </is>
      </c>
      <c r="T442" s="9" t="inlineStr">
        <is>
          <t>H1-C2</t>
        </is>
      </c>
      <c r="U442" s="9" t="inlineStr">
        <is>
          <t>B-43</t>
        </is>
      </c>
    </row>
    <row r="443">
      <c r="A443" s="151" t="inlineStr">
        <is>
          <t>B-17-10</t>
        </is>
      </c>
      <c r="B443" s="102" t="inlineStr">
        <is>
          <t>B</t>
        </is>
      </c>
      <c r="C443" s="102" t="inlineStr">
        <is>
          <t>17</t>
        </is>
      </c>
      <c r="D443" s="102" t="n">
        <v>10</v>
      </c>
      <c r="E443" s="102" t="inlineStr">
        <is>
          <t>TU-B17</t>
        </is>
      </c>
      <c r="F443" s="102" t="inlineStr">
        <is>
          <t>TU-B17/S2</t>
        </is>
      </c>
      <c r="G443" s="102" t="n">
        <v>10</v>
      </c>
      <c r="H443" s="102" t="inlineStr">
        <is>
          <t>TR-B3</t>
        </is>
      </c>
      <c r="I443" s="102" t="n">
        <v>2</v>
      </c>
      <c r="J443" s="102" t="inlineStr">
        <is>
          <t>Ống 1 Xanh dương / Cam</t>
        </is>
      </c>
      <c r="K443" s="102" t="inlineStr">
        <is>
          <t>S4-15</t>
        </is>
      </c>
      <c r="L443" s="102" t="inlineStr">
        <is>
          <t>B-25</t>
        </is>
      </c>
      <c r="M443" s="102" t="inlineStr">
        <is>
          <t>PON-15</t>
        </is>
      </c>
      <c r="N443" s="102" t="inlineStr">
        <is>
          <t>Chưa lắp</t>
        </is>
      </c>
      <c r="O443" s="151" t="n"/>
      <c r="P443" s="152" t="n"/>
      <c r="Q443" s="13">
        <f>M443&amp;" &gt; P96#"&amp;U443&amp;" &gt; "&amp;K443&amp;" &gt; P96#"&amp;L443&amp;" &gt; "&amp;R443&amp;" "&amp;S443&amp;" "&amp;T443&amp;" &gt; "&amp;H443&amp;"#"&amp;I443&amp;" &gt; "&amp;F443&amp;" p"&amp;G443</f>
        <v/>
      </c>
      <c r="R443" s="9" t="inlineStr">
        <is>
          <t>ODF-17/18</t>
        </is>
      </c>
      <c r="S443" s="9" t="inlineStr">
        <is>
          <t>Phải</t>
        </is>
      </c>
      <c r="T443" s="9" t="inlineStr">
        <is>
          <t>H1-C2</t>
        </is>
      </c>
      <c r="U443" s="9" t="inlineStr">
        <is>
          <t>B-43</t>
        </is>
      </c>
    </row>
    <row r="444">
      <c r="A444" s="151" t="inlineStr">
        <is>
          <t>B-17-11</t>
        </is>
      </c>
      <c r="B444" s="102" t="inlineStr">
        <is>
          <t>B</t>
        </is>
      </c>
      <c r="C444" s="102" t="inlineStr">
        <is>
          <t>17</t>
        </is>
      </c>
      <c r="D444" s="102" t="n">
        <v>11</v>
      </c>
      <c r="E444" s="102" t="inlineStr">
        <is>
          <t>TU-B17</t>
        </is>
      </c>
      <c r="F444" s="102" t="inlineStr">
        <is>
          <t>TU-B17/S2</t>
        </is>
      </c>
      <c r="G444" s="102" t="n">
        <v>11</v>
      </c>
      <c r="H444" s="102" t="inlineStr">
        <is>
          <t>TR-B3</t>
        </is>
      </c>
      <c r="I444" s="102" t="n">
        <v>2</v>
      </c>
      <c r="J444" s="102" t="inlineStr">
        <is>
          <t>Ống 1 Xanh dương / Cam</t>
        </is>
      </c>
      <c r="K444" s="102" t="inlineStr">
        <is>
          <t>S4-15</t>
        </is>
      </c>
      <c r="L444" s="102" t="inlineStr">
        <is>
          <t>B-25</t>
        </is>
      </c>
      <c r="M444" s="102" t="inlineStr">
        <is>
          <t>PON-15</t>
        </is>
      </c>
      <c r="N444" s="102" t="inlineStr">
        <is>
          <t>Chưa lắp</t>
        </is>
      </c>
      <c r="O444" s="151" t="n"/>
      <c r="P444" s="152" t="n"/>
      <c r="Q444" s="13">
        <f>M444&amp;" &gt; P96#"&amp;U444&amp;" &gt; "&amp;K444&amp;" &gt; P96#"&amp;L444&amp;" &gt; "&amp;R444&amp;" "&amp;S444&amp;" "&amp;T444&amp;" &gt; "&amp;H444&amp;"#"&amp;I444&amp;" &gt; "&amp;F444&amp;" p"&amp;G444</f>
        <v/>
      </c>
      <c r="R444" s="9" t="inlineStr">
        <is>
          <t>ODF-17/18</t>
        </is>
      </c>
      <c r="S444" s="9" t="inlineStr">
        <is>
          <t>Phải</t>
        </is>
      </c>
      <c r="T444" s="9" t="inlineStr">
        <is>
          <t>H1-C2</t>
        </is>
      </c>
      <c r="U444" s="9" t="inlineStr">
        <is>
          <t>B-43</t>
        </is>
      </c>
    </row>
    <row r="445">
      <c r="A445" s="151" t="inlineStr">
        <is>
          <t>B-17-12</t>
        </is>
      </c>
      <c r="B445" s="102" t="inlineStr">
        <is>
          <t>B</t>
        </is>
      </c>
      <c r="C445" s="102" t="inlineStr">
        <is>
          <t>17</t>
        </is>
      </c>
      <c r="D445" s="102" t="n">
        <v>12</v>
      </c>
      <c r="E445" s="102" t="inlineStr">
        <is>
          <t>TU-B17</t>
        </is>
      </c>
      <c r="F445" s="102" t="inlineStr">
        <is>
          <t>TU-B17/S2</t>
        </is>
      </c>
      <c r="G445" s="102" t="n">
        <v>12</v>
      </c>
      <c r="H445" s="102" t="inlineStr">
        <is>
          <t>TR-B3</t>
        </is>
      </c>
      <c r="I445" s="102" t="n">
        <v>2</v>
      </c>
      <c r="J445" s="102" t="inlineStr">
        <is>
          <t>Ống 1 Xanh dương / Cam</t>
        </is>
      </c>
      <c r="K445" s="102" t="inlineStr">
        <is>
          <t>S4-15</t>
        </is>
      </c>
      <c r="L445" s="102" t="inlineStr">
        <is>
          <t>B-25</t>
        </is>
      </c>
      <c r="M445" s="102" t="inlineStr">
        <is>
          <t>PON-15</t>
        </is>
      </c>
      <c r="N445" s="102" t="inlineStr">
        <is>
          <t>Chưa lắp</t>
        </is>
      </c>
      <c r="O445" s="151" t="n"/>
      <c r="P445" s="152" t="n"/>
      <c r="Q445" s="13">
        <f>M445&amp;" &gt; P96#"&amp;U445&amp;" &gt; "&amp;K445&amp;" &gt; P96#"&amp;L445&amp;" &gt; "&amp;R445&amp;" "&amp;S445&amp;" "&amp;T445&amp;" &gt; "&amp;H445&amp;"#"&amp;I445&amp;" &gt; "&amp;F445&amp;" p"&amp;G445</f>
        <v/>
      </c>
      <c r="R445" s="9" t="inlineStr">
        <is>
          <t>ODF-17/18</t>
        </is>
      </c>
      <c r="S445" s="9" t="inlineStr">
        <is>
          <t>Phải</t>
        </is>
      </c>
      <c r="T445" s="9" t="inlineStr">
        <is>
          <t>H1-C2</t>
        </is>
      </c>
      <c r="U445" s="9" t="inlineStr">
        <is>
          <t>B-43</t>
        </is>
      </c>
    </row>
    <row r="446">
      <c r="A446" s="151" t="inlineStr">
        <is>
          <t>B-17-13</t>
        </is>
      </c>
      <c r="B446" s="102" t="inlineStr">
        <is>
          <t>B</t>
        </is>
      </c>
      <c r="C446" s="102" t="inlineStr">
        <is>
          <t>17</t>
        </is>
      </c>
      <c r="D446" s="102" t="n">
        <v>13</v>
      </c>
      <c r="E446" s="102" t="inlineStr">
        <is>
          <t>TU-B17</t>
        </is>
      </c>
      <c r="F446" s="102" t="inlineStr">
        <is>
          <t>TU-B17/S2</t>
        </is>
      </c>
      <c r="G446" s="102" t="n">
        <v>13</v>
      </c>
      <c r="H446" s="102" t="inlineStr">
        <is>
          <t>TR-B3</t>
        </is>
      </c>
      <c r="I446" s="102" t="n">
        <v>2</v>
      </c>
      <c r="J446" s="102" t="inlineStr">
        <is>
          <t>Ống 1 Xanh dương / Cam</t>
        </is>
      </c>
      <c r="K446" s="102" t="inlineStr">
        <is>
          <t>S4-15</t>
        </is>
      </c>
      <c r="L446" s="102" t="inlineStr">
        <is>
          <t>B-25</t>
        </is>
      </c>
      <c r="M446" s="102" t="inlineStr">
        <is>
          <t>PON-15</t>
        </is>
      </c>
      <c r="N446" s="102" t="inlineStr">
        <is>
          <t>Chưa lắp</t>
        </is>
      </c>
      <c r="O446" s="151" t="n"/>
      <c r="P446" s="152" t="n"/>
      <c r="Q446" s="13">
        <f>M446&amp;" &gt; P96#"&amp;U446&amp;" &gt; "&amp;K446&amp;" &gt; P96#"&amp;L446&amp;" &gt; "&amp;R446&amp;" "&amp;S446&amp;" "&amp;T446&amp;" &gt; "&amp;H446&amp;"#"&amp;I446&amp;" &gt; "&amp;F446&amp;" p"&amp;G446</f>
        <v/>
      </c>
      <c r="R446" s="9" t="inlineStr">
        <is>
          <t>ODF-17/18</t>
        </is>
      </c>
      <c r="S446" s="9" t="inlineStr">
        <is>
          <t>Phải</t>
        </is>
      </c>
      <c r="T446" s="9" t="inlineStr">
        <is>
          <t>H1-C2</t>
        </is>
      </c>
      <c r="U446" s="9" t="inlineStr">
        <is>
          <t>B-43</t>
        </is>
      </c>
    </row>
    <row r="447">
      <c r="A447" s="151" t="inlineStr">
        <is>
          <t>B-17-14</t>
        </is>
      </c>
      <c r="B447" s="102" t="inlineStr">
        <is>
          <t>B</t>
        </is>
      </c>
      <c r="C447" s="102" t="inlineStr">
        <is>
          <t>17</t>
        </is>
      </c>
      <c r="D447" s="102" t="n">
        <v>14</v>
      </c>
      <c r="E447" s="102" t="inlineStr">
        <is>
          <t>TU-B17</t>
        </is>
      </c>
      <c r="F447" s="102" t="inlineStr">
        <is>
          <t>TU-B17/S2</t>
        </is>
      </c>
      <c r="G447" s="102" t="n">
        <v>14</v>
      </c>
      <c r="H447" s="102" t="inlineStr">
        <is>
          <t>TR-B3</t>
        </is>
      </c>
      <c r="I447" s="102" t="n">
        <v>2</v>
      </c>
      <c r="J447" s="102" t="inlineStr">
        <is>
          <t>Ống 1 Xanh dương / Cam</t>
        </is>
      </c>
      <c r="K447" s="102" t="inlineStr">
        <is>
          <t>S4-15</t>
        </is>
      </c>
      <c r="L447" s="102" t="inlineStr">
        <is>
          <t>B-25</t>
        </is>
      </c>
      <c r="M447" s="102" t="inlineStr">
        <is>
          <t>PON-15</t>
        </is>
      </c>
      <c r="N447" s="102" t="inlineStr">
        <is>
          <t>Chưa lắp</t>
        </is>
      </c>
      <c r="O447" s="151" t="n"/>
      <c r="P447" s="152" t="n"/>
      <c r="Q447" s="13">
        <f>M447&amp;" &gt; P96#"&amp;U447&amp;" &gt; "&amp;K447&amp;" &gt; P96#"&amp;L447&amp;" &gt; "&amp;R447&amp;" "&amp;S447&amp;" "&amp;T447&amp;" &gt; "&amp;H447&amp;"#"&amp;I447&amp;" &gt; "&amp;F447&amp;" p"&amp;G447</f>
        <v/>
      </c>
      <c r="R447" s="9" t="inlineStr">
        <is>
          <t>ODF-17/18</t>
        </is>
      </c>
      <c r="S447" s="9" t="inlineStr">
        <is>
          <t>Phải</t>
        </is>
      </c>
      <c r="T447" s="9" t="inlineStr">
        <is>
          <t>H1-C2</t>
        </is>
      </c>
      <c r="U447" s="9" t="inlineStr">
        <is>
          <t>B-43</t>
        </is>
      </c>
    </row>
    <row r="448">
      <c r="A448" s="151" t="inlineStr">
        <is>
          <t>B-16-01</t>
        </is>
      </c>
      <c r="B448" s="102" t="inlineStr">
        <is>
          <t>B</t>
        </is>
      </c>
      <c r="C448" s="102" t="inlineStr">
        <is>
          <t>16</t>
        </is>
      </c>
      <c r="D448" s="102" t="n">
        <v>1</v>
      </c>
      <c r="E448" s="102" t="inlineStr">
        <is>
          <t>TU-B17</t>
        </is>
      </c>
      <c r="F448" s="102" t="inlineStr">
        <is>
          <t>TU-B17/S1</t>
        </is>
      </c>
      <c r="G448" s="102" t="n">
        <v>1</v>
      </c>
      <c r="H448" s="102" t="inlineStr">
        <is>
          <t>TR-B3</t>
        </is>
      </c>
      <c r="I448" s="102" t="n">
        <v>1</v>
      </c>
      <c r="J448" s="102" t="inlineStr">
        <is>
          <t>Ống 1 Xanh dương / Xanh dương</t>
        </is>
      </c>
      <c r="K448" s="102" t="inlineStr">
        <is>
          <t>S4-14</t>
        </is>
      </c>
      <c r="L448" s="102" t="inlineStr">
        <is>
          <t>B-23</t>
        </is>
      </c>
      <c r="M448" s="102" t="inlineStr">
        <is>
          <t>PON-14</t>
        </is>
      </c>
      <c r="N448" s="102" t="inlineStr">
        <is>
          <t>Chưa lắp</t>
        </is>
      </c>
      <c r="O448" s="151" t="n"/>
      <c r="P448" s="152" t="n"/>
      <c r="Q448" s="13">
        <f>M448&amp;" &gt; P96#"&amp;U448&amp;" &gt; "&amp;K448&amp;" &gt; P96#"&amp;L448&amp;" &gt; "&amp;R448&amp;" "&amp;S448&amp;" "&amp;T448&amp;" &gt; "&amp;H448&amp;"#"&amp;I448&amp;" &gt; "&amp;F448&amp;" p"&amp;G448</f>
        <v/>
      </c>
      <c r="R448" s="9" t="inlineStr">
        <is>
          <t>ODF-17/18</t>
        </is>
      </c>
      <c r="S448" s="9" t="inlineStr">
        <is>
          <t>Phải</t>
        </is>
      </c>
      <c r="T448" s="9" t="inlineStr">
        <is>
          <t>H1-C1</t>
        </is>
      </c>
      <c r="U448" s="9" t="inlineStr">
        <is>
          <t>B-42</t>
        </is>
      </c>
    </row>
    <row r="449">
      <c r="A449" s="151" t="inlineStr">
        <is>
          <t>B-16-02</t>
        </is>
      </c>
      <c r="B449" s="102" t="inlineStr">
        <is>
          <t>B</t>
        </is>
      </c>
      <c r="C449" s="102" t="inlineStr">
        <is>
          <t>16</t>
        </is>
      </c>
      <c r="D449" s="102" t="n">
        <v>2</v>
      </c>
      <c r="E449" s="102" t="inlineStr">
        <is>
          <t>TU-B17</t>
        </is>
      </c>
      <c r="F449" s="102" t="inlineStr">
        <is>
          <t>TU-B17/S1</t>
        </is>
      </c>
      <c r="G449" s="102" t="n">
        <v>2</v>
      </c>
      <c r="H449" s="102" t="inlineStr">
        <is>
          <t>TR-B3</t>
        </is>
      </c>
      <c r="I449" s="102" t="n">
        <v>1</v>
      </c>
      <c r="J449" s="102" t="inlineStr">
        <is>
          <t>Ống 1 Xanh dương / Xanh dương</t>
        </is>
      </c>
      <c r="K449" s="102" t="inlineStr">
        <is>
          <t>S4-14</t>
        </is>
      </c>
      <c r="L449" s="102" t="inlineStr">
        <is>
          <t>B-23</t>
        </is>
      </c>
      <c r="M449" s="102" t="inlineStr">
        <is>
          <t>PON-14</t>
        </is>
      </c>
      <c r="N449" s="102" t="inlineStr">
        <is>
          <t>Chưa lắp</t>
        </is>
      </c>
      <c r="O449" s="151" t="n"/>
      <c r="P449" s="152" t="n"/>
      <c r="Q449" s="13">
        <f>M449&amp;" &gt; P96#"&amp;U449&amp;" &gt; "&amp;K449&amp;" &gt; P96#"&amp;L449&amp;" &gt; "&amp;R449&amp;" "&amp;S449&amp;" "&amp;T449&amp;" &gt; "&amp;H449&amp;"#"&amp;I449&amp;" &gt; "&amp;F449&amp;" p"&amp;G449</f>
        <v/>
      </c>
      <c r="R449" s="9" t="inlineStr">
        <is>
          <t>ODF-17/18</t>
        </is>
      </c>
      <c r="S449" s="9" t="inlineStr">
        <is>
          <t>Phải</t>
        </is>
      </c>
      <c r="T449" s="9" t="inlineStr">
        <is>
          <t>H1-C1</t>
        </is>
      </c>
      <c r="U449" s="9" t="inlineStr">
        <is>
          <t>B-42</t>
        </is>
      </c>
    </row>
    <row r="450">
      <c r="A450" s="149" t="inlineStr">
        <is>
          <t>B-16-03</t>
        </is>
      </c>
      <c r="B450" s="99" t="inlineStr">
        <is>
          <t>B</t>
        </is>
      </c>
      <c r="C450" s="99" t="inlineStr">
        <is>
          <t>16</t>
        </is>
      </c>
      <c r="D450" s="99" t="n">
        <v>3</v>
      </c>
      <c r="E450" s="99" t="inlineStr">
        <is>
          <t>TU-B17</t>
        </is>
      </c>
      <c r="F450" s="99" t="inlineStr">
        <is>
          <t>TU-B17/S1</t>
        </is>
      </c>
      <c r="G450" s="99" t="n">
        <v>3</v>
      </c>
      <c r="H450" s="99" t="inlineStr">
        <is>
          <t>TR-B3</t>
        </is>
      </c>
      <c r="I450" s="99" t="n">
        <v>1</v>
      </c>
      <c r="J450" s="99" t="inlineStr">
        <is>
          <t>Ống 1 Xanh dương / Xanh dương</t>
        </is>
      </c>
      <c r="K450" s="99" t="inlineStr">
        <is>
          <t>S4-14</t>
        </is>
      </c>
      <c r="L450" s="99" t="inlineStr">
        <is>
          <t>B-23</t>
        </is>
      </c>
      <c r="M450" s="99" t="inlineStr">
        <is>
          <t>PON-14</t>
        </is>
      </c>
      <c r="N450" s="99" t="inlineStr">
        <is>
          <t>Chưa lắp</t>
        </is>
      </c>
      <c r="O450" s="149" t="n"/>
      <c r="P450" s="150" t="n"/>
      <c r="Q450" s="13">
        <f>M450&amp;" &gt; P96#"&amp;U450&amp;" &gt; "&amp;K450&amp;" &gt; P96#"&amp;L450&amp;" &gt; "&amp;R450&amp;" "&amp;S450&amp;" "&amp;T450&amp;" &gt; "&amp;H450&amp;"#"&amp;I450&amp;" &gt; "&amp;F450&amp;" p"&amp;G450</f>
        <v/>
      </c>
      <c r="R450" s="9" t="inlineStr">
        <is>
          <t>ODF-17/18</t>
        </is>
      </c>
      <c r="S450" s="9" t="inlineStr">
        <is>
          <t>Phải</t>
        </is>
      </c>
      <c r="T450" s="9" t="inlineStr">
        <is>
          <t>H1-C1</t>
        </is>
      </c>
      <c r="U450" s="9" t="inlineStr">
        <is>
          <t>B-42</t>
        </is>
      </c>
    </row>
    <row r="451">
      <c r="A451" s="149" t="inlineStr">
        <is>
          <t>B-16-04</t>
        </is>
      </c>
      <c r="B451" s="99" t="inlineStr">
        <is>
          <t>B</t>
        </is>
      </c>
      <c r="C451" s="99" t="inlineStr">
        <is>
          <t>16</t>
        </is>
      </c>
      <c r="D451" s="99" t="n">
        <v>4</v>
      </c>
      <c r="E451" s="99" t="inlineStr">
        <is>
          <t>TU-B17</t>
        </is>
      </c>
      <c r="F451" s="99" t="inlineStr">
        <is>
          <t>TU-B17/S1</t>
        </is>
      </c>
      <c r="G451" s="99" t="n">
        <v>4</v>
      </c>
      <c r="H451" s="99" t="inlineStr">
        <is>
          <t>TR-B3</t>
        </is>
      </c>
      <c r="I451" s="99" t="n">
        <v>1</v>
      </c>
      <c r="J451" s="99" t="inlineStr">
        <is>
          <t>Ống 1 Xanh dương / Xanh dương</t>
        </is>
      </c>
      <c r="K451" s="99" t="inlineStr">
        <is>
          <t>S4-14</t>
        </is>
      </c>
      <c r="L451" s="99" t="inlineStr">
        <is>
          <t>B-23</t>
        </is>
      </c>
      <c r="M451" s="99" t="inlineStr">
        <is>
          <t>PON-14</t>
        </is>
      </c>
      <c r="N451" s="99" t="inlineStr">
        <is>
          <t>Chưa lắp</t>
        </is>
      </c>
      <c r="O451" s="149" t="n"/>
      <c r="P451" s="150" t="n"/>
      <c r="Q451" s="13">
        <f>M451&amp;" &gt; P96#"&amp;U451&amp;" &gt; "&amp;K451&amp;" &gt; P96#"&amp;L451&amp;" &gt; "&amp;R451&amp;" "&amp;S451&amp;" "&amp;T451&amp;" &gt; "&amp;H451&amp;"#"&amp;I451&amp;" &gt; "&amp;F451&amp;" p"&amp;G451</f>
        <v/>
      </c>
      <c r="R451" s="9" t="inlineStr">
        <is>
          <t>ODF-17/18</t>
        </is>
      </c>
      <c r="S451" s="9" t="inlineStr">
        <is>
          <t>Phải</t>
        </is>
      </c>
      <c r="T451" s="9" t="inlineStr">
        <is>
          <t>H1-C1</t>
        </is>
      </c>
      <c r="U451" s="9" t="inlineStr">
        <is>
          <t>B-42</t>
        </is>
      </c>
    </row>
    <row r="452">
      <c r="A452" s="149" t="inlineStr">
        <is>
          <t>B-16-05</t>
        </is>
      </c>
      <c r="B452" s="99" t="inlineStr">
        <is>
          <t>B</t>
        </is>
      </c>
      <c r="C452" s="99" t="inlineStr">
        <is>
          <t>16</t>
        </is>
      </c>
      <c r="D452" s="99" t="n">
        <v>5</v>
      </c>
      <c r="E452" s="99" t="inlineStr">
        <is>
          <t>TU-B17</t>
        </is>
      </c>
      <c r="F452" s="99" t="inlineStr">
        <is>
          <t>TU-B17/S1</t>
        </is>
      </c>
      <c r="G452" s="99" t="n">
        <v>5</v>
      </c>
      <c r="H452" s="99" t="inlineStr">
        <is>
          <t>TR-B3</t>
        </is>
      </c>
      <c r="I452" s="99" t="n">
        <v>1</v>
      </c>
      <c r="J452" s="99" t="inlineStr">
        <is>
          <t>Ống 1 Xanh dương / Xanh dương</t>
        </is>
      </c>
      <c r="K452" s="99" t="inlineStr">
        <is>
          <t>S4-14</t>
        </is>
      </c>
      <c r="L452" s="99" t="inlineStr">
        <is>
          <t>B-23</t>
        </is>
      </c>
      <c r="M452" s="99" t="inlineStr">
        <is>
          <t>PON-14</t>
        </is>
      </c>
      <c r="N452" s="99" t="inlineStr">
        <is>
          <t>Chưa lắp</t>
        </is>
      </c>
      <c r="O452" s="149" t="n"/>
      <c r="P452" s="150" t="n"/>
      <c r="Q452" s="13">
        <f>M452&amp;" &gt; P96#"&amp;U452&amp;" &gt; "&amp;K452&amp;" &gt; P96#"&amp;L452&amp;" &gt; "&amp;R452&amp;" "&amp;S452&amp;" "&amp;T452&amp;" &gt; "&amp;H452&amp;"#"&amp;I452&amp;" &gt; "&amp;F452&amp;" p"&amp;G452</f>
        <v/>
      </c>
      <c r="R452" s="9" t="inlineStr">
        <is>
          <t>ODF-17/18</t>
        </is>
      </c>
      <c r="S452" s="9" t="inlineStr">
        <is>
          <t>Phải</t>
        </is>
      </c>
      <c r="T452" s="9" t="inlineStr">
        <is>
          <t>H1-C1</t>
        </is>
      </c>
      <c r="U452" s="9" t="inlineStr">
        <is>
          <t>B-42</t>
        </is>
      </c>
    </row>
    <row r="453">
      <c r="A453" s="149" t="inlineStr">
        <is>
          <t>B-16-06</t>
        </is>
      </c>
      <c r="B453" s="99" t="inlineStr">
        <is>
          <t>B</t>
        </is>
      </c>
      <c r="C453" s="99" t="inlineStr">
        <is>
          <t>16</t>
        </is>
      </c>
      <c r="D453" s="99" t="n">
        <v>6</v>
      </c>
      <c r="E453" s="99" t="inlineStr">
        <is>
          <t>TU-B17</t>
        </is>
      </c>
      <c r="F453" s="99" t="inlineStr">
        <is>
          <t>TU-B17/S1</t>
        </is>
      </c>
      <c r="G453" s="99" t="n">
        <v>6</v>
      </c>
      <c r="H453" s="99" t="inlineStr">
        <is>
          <t>TR-B3</t>
        </is>
      </c>
      <c r="I453" s="99" t="n">
        <v>1</v>
      </c>
      <c r="J453" s="99" t="inlineStr">
        <is>
          <t>Ống 1 Xanh dương / Xanh dương</t>
        </is>
      </c>
      <c r="K453" s="99" t="inlineStr">
        <is>
          <t>S4-14</t>
        </is>
      </c>
      <c r="L453" s="99" t="inlineStr">
        <is>
          <t>B-23</t>
        </is>
      </c>
      <c r="M453" s="99" t="inlineStr">
        <is>
          <t>PON-14</t>
        </is>
      </c>
      <c r="N453" s="99" t="inlineStr">
        <is>
          <t>Chưa lắp</t>
        </is>
      </c>
      <c r="O453" s="149" t="n"/>
      <c r="P453" s="150" t="n"/>
      <c r="Q453" s="13">
        <f>M453&amp;" &gt; P96#"&amp;U453&amp;" &gt; "&amp;K453&amp;" &gt; P96#"&amp;L453&amp;" &gt; "&amp;R453&amp;" "&amp;S453&amp;" "&amp;T453&amp;" &gt; "&amp;H453&amp;"#"&amp;I453&amp;" &gt; "&amp;F453&amp;" p"&amp;G453</f>
        <v/>
      </c>
      <c r="R453" s="9" t="inlineStr">
        <is>
          <t>ODF-17/18</t>
        </is>
      </c>
      <c r="S453" s="9" t="inlineStr">
        <is>
          <t>Phải</t>
        </is>
      </c>
      <c r="T453" s="9" t="inlineStr">
        <is>
          <t>H1-C1</t>
        </is>
      </c>
      <c r="U453" s="9" t="inlineStr">
        <is>
          <t>B-42</t>
        </is>
      </c>
    </row>
    <row r="454">
      <c r="A454" s="149" t="inlineStr">
        <is>
          <t>B-16-07</t>
        </is>
      </c>
      <c r="B454" s="99" t="inlineStr">
        <is>
          <t>B</t>
        </is>
      </c>
      <c r="C454" s="99" t="inlineStr">
        <is>
          <t>16</t>
        </is>
      </c>
      <c r="D454" s="99" t="n">
        <v>7</v>
      </c>
      <c r="E454" s="99" t="inlineStr">
        <is>
          <t>TU-B17</t>
        </is>
      </c>
      <c r="F454" s="99" t="inlineStr">
        <is>
          <t>TU-B17/S1</t>
        </is>
      </c>
      <c r="G454" s="99" t="n">
        <v>7</v>
      </c>
      <c r="H454" s="99" t="inlineStr">
        <is>
          <t>TR-B3</t>
        </is>
      </c>
      <c r="I454" s="99" t="n">
        <v>1</v>
      </c>
      <c r="J454" s="99" t="inlineStr">
        <is>
          <t>Ống 1 Xanh dương / Xanh dương</t>
        </is>
      </c>
      <c r="K454" s="99" t="inlineStr">
        <is>
          <t>S4-14</t>
        </is>
      </c>
      <c r="L454" s="99" t="inlineStr">
        <is>
          <t>B-23</t>
        </is>
      </c>
      <c r="M454" s="99" t="inlineStr">
        <is>
          <t>PON-14</t>
        </is>
      </c>
      <c r="N454" s="99" t="inlineStr">
        <is>
          <t>Chưa lắp</t>
        </is>
      </c>
      <c r="O454" s="149" t="n"/>
      <c r="P454" s="150" t="n"/>
      <c r="Q454" s="13">
        <f>M454&amp;" &gt; P96#"&amp;U454&amp;" &gt; "&amp;K454&amp;" &gt; P96#"&amp;L454&amp;" &gt; "&amp;R454&amp;" "&amp;S454&amp;" "&amp;T454&amp;" &gt; "&amp;H454&amp;"#"&amp;I454&amp;" &gt; "&amp;F454&amp;" p"&amp;G454</f>
        <v/>
      </c>
      <c r="R454" s="9" t="inlineStr">
        <is>
          <t>ODF-17/18</t>
        </is>
      </c>
      <c r="S454" s="9" t="inlineStr">
        <is>
          <t>Phải</t>
        </is>
      </c>
      <c r="T454" s="9" t="inlineStr">
        <is>
          <t>H1-C1</t>
        </is>
      </c>
      <c r="U454" s="9" t="inlineStr">
        <is>
          <t>B-42</t>
        </is>
      </c>
    </row>
    <row r="455">
      <c r="A455" s="149" t="inlineStr">
        <is>
          <t>B-16-08</t>
        </is>
      </c>
      <c r="B455" s="99" t="inlineStr">
        <is>
          <t>B</t>
        </is>
      </c>
      <c r="C455" s="99" t="inlineStr">
        <is>
          <t>16</t>
        </is>
      </c>
      <c r="D455" s="99" t="n">
        <v>8</v>
      </c>
      <c r="E455" s="99" t="inlineStr">
        <is>
          <t>TU-B17</t>
        </is>
      </c>
      <c r="F455" s="99" t="inlineStr">
        <is>
          <t>TU-B17/S1</t>
        </is>
      </c>
      <c r="G455" s="99" t="n">
        <v>8</v>
      </c>
      <c r="H455" s="99" t="inlineStr">
        <is>
          <t>TR-B3</t>
        </is>
      </c>
      <c r="I455" s="99" t="n">
        <v>1</v>
      </c>
      <c r="J455" s="99" t="inlineStr">
        <is>
          <t>Ống 1 Xanh dương / Xanh dương</t>
        </is>
      </c>
      <c r="K455" s="99" t="inlineStr">
        <is>
          <t>S4-14</t>
        </is>
      </c>
      <c r="L455" s="99" t="inlineStr">
        <is>
          <t>B-23</t>
        </is>
      </c>
      <c r="M455" s="99" t="inlineStr">
        <is>
          <t>PON-14</t>
        </is>
      </c>
      <c r="N455" s="99" t="inlineStr">
        <is>
          <t>Chưa lắp</t>
        </is>
      </c>
      <c r="O455" s="149" t="n"/>
      <c r="P455" s="150" t="n"/>
      <c r="Q455" s="13">
        <f>M455&amp;" &gt; P96#"&amp;U455&amp;" &gt; "&amp;K455&amp;" &gt; P96#"&amp;L455&amp;" &gt; "&amp;R455&amp;" "&amp;S455&amp;" "&amp;T455&amp;" &gt; "&amp;H455&amp;"#"&amp;I455&amp;" &gt; "&amp;F455&amp;" p"&amp;G455</f>
        <v/>
      </c>
      <c r="R455" s="9" t="inlineStr">
        <is>
          <t>ODF-17/18</t>
        </is>
      </c>
      <c r="S455" s="9" t="inlineStr">
        <is>
          <t>Phải</t>
        </is>
      </c>
      <c r="T455" s="9" t="inlineStr">
        <is>
          <t>H1-C1</t>
        </is>
      </c>
      <c r="U455" s="9" t="inlineStr">
        <is>
          <t>B-42</t>
        </is>
      </c>
    </row>
    <row r="456">
      <c r="A456" s="149" t="inlineStr">
        <is>
          <t>B-16-09</t>
        </is>
      </c>
      <c r="B456" s="99" t="inlineStr">
        <is>
          <t>B</t>
        </is>
      </c>
      <c r="C456" s="99" t="inlineStr">
        <is>
          <t>16</t>
        </is>
      </c>
      <c r="D456" s="99" t="n">
        <v>9</v>
      </c>
      <c r="E456" s="99" t="inlineStr">
        <is>
          <t>TU-B17</t>
        </is>
      </c>
      <c r="F456" s="99" t="inlineStr">
        <is>
          <t>TU-B17/S1</t>
        </is>
      </c>
      <c r="G456" s="99" t="n">
        <v>9</v>
      </c>
      <c r="H456" s="99" t="inlineStr">
        <is>
          <t>TR-B3</t>
        </is>
      </c>
      <c r="I456" s="99" t="n">
        <v>1</v>
      </c>
      <c r="J456" s="99" t="inlineStr">
        <is>
          <t>Ống 1 Xanh dương / Xanh dương</t>
        </is>
      </c>
      <c r="K456" s="99" t="inlineStr">
        <is>
          <t>S4-14</t>
        </is>
      </c>
      <c r="L456" s="99" t="inlineStr">
        <is>
          <t>B-23</t>
        </is>
      </c>
      <c r="M456" s="99" t="inlineStr">
        <is>
          <t>PON-14</t>
        </is>
      </c>
      <c r="N456" s="99" t="inlineStr">
        <is>
          <t>Chưa lắp</t>
        </is>
      </c>
      <c r="O456" s="149" t="n"/>
      <c r="P456" s="150" t="n"/>
      <c r="Q456" s="13">
        <f>M456&amp;" &gt; P96#"&amp;U456&amp;" &gt; "&amp;K456&amp;" &gt; P96#"&amp;L456&amp;" &gt; "&amp;R456&amp;" "&amp;S456&amp;" "&amp;T456&amp;" &gt; "&amp;H456&amp;"#"&amp;I456&amp;" &gt; "&amp;F456&amp;" p"&amp;G456</f>
        <v/>
      </c>
      <c r="R456" s="9" t="inlineStr">
        <is>
          <t>ODF-17/18</t>
        </is>
      </c>
      <c r="S456" s="9" t="inlineStr">
        <is>
          <t>Phải</t>
        </is>
      </c>
      <c r="T456" s="9" t="inlineStr">
        <is>
          <t>H1-C1</t>
        </is>
      </c>
      <c r="U456" s="9" t="inlineStr">
        <is>
          <t>B-42</t>
        </is>
      </c>
    </row>
    <row r="457">
      <c r="A457" s="149" t="inlineStr">
        <is>
          <t>B-16-10</t>
        </is>
      </c>
      <c r="B457" s="99" t="inlineStr">
        <is>
          <t>B</t>
        </is>
      </c>
      <c r="C457" s="99" t="inlineStr">
        <is>
          <t>16</t>
        </is>
      </c>
      <c r="D457" s="99" t="n">
        <v>10</v>
      </c>
      <c r="E457" s="99" t="inlineStr">
        <is>
          <t>TU-B17</t>
        </is>
      </c>
      <c r="F457" s="99" t="inlineStr">
        <is>
          <t>TU-B17/S1</t>
        </is>
      </c>
      <c r="G457" s="99" t="n">
        <v>10</v>
      </c>
      <c r="H457" s="99" t="inlineStr">
        <is>
          <t>TR-B3</t>
        </is>
      </c>
      <c r="I457" s="99" t="n">
        <v>1</v>
      </c>
      <c r="J457" s="99" t="inlineStr">
        <is>
          <t>Ống 1 Xanh dương / Xanh dương</t>
        </is>
      </c>
      <c r="K457" s="99" t="inlineStr">
        <is>
          <t>S4-14</t>
        </is>
      </c>
      <c r="L457" s="99" t="inlineStr">
        <is>
          <t>B-23</t>
        </is>
      </c>
      <c r="M457" s="99" t="inlineStr">
        <is>
          <t>PON-14</t>
        </is>
      </c>
      <c r="N457" s="99" t="inlineStr">
        <is>
          <t>Chưa lắp</t>
        </is>
      </c>
      <c r="O457" s="149" t="n"/>
      <c r="P457" s="150" t="n"/>
      <c r="Q457" s="13">
        <f>M457&amp;" &gt; P96#"&amp;U457&amp;" &gt; "&amp;K457&amp;" &gt; P96#"&amp;L457&amp;" &gt; "&amp;R457&amp;" "&amp;S457&amp;" "&amp;T457&amp;" &gt; "&amp;H457&amp;"#"&amp;I457&amp;" &gt; "&amp;F457&amp;" p"&amp;G457</f>
        <v/>
      </c>
      <c r="R457" s="9" t="inlineStr">
        <is>
          <t>ODF-17/18</t>
        </is>
      </c>
      <c r="S457" s="9" t="inlineStr">
        <is>
          <t>Phải</t>
        </is>
      </c>
      <c r="T457" s="9" t="inlineStr">
        <is>
          <t>H1-C1</t>
        </is>
      </c>
      <c r="U457" s="9" t="inlineStr">
        <is>
          <t>B-42</t>
        </is>
      </c>
    </row>
    <row r="458">
      <c r="A458" s="149" t="inlineStr">
        <is>
          <t>B-16-11</t>
        </is>
      </c>
      <c r="B458" s="99" t="inlineStr">
        <is>
          <t>B</t>
        </is>
      </c>
      <c r="C458" s="99" t="inlineStr">
        <is>
          <t>16</t>
        </is>
      </c>
      <c r="D458" s="99" t="n">
        <v>11</v>
      </c>
      <c r="E458" s="99" t="inlineStr">
        <is>
          <t>TU-B17</t>
        </is>
      </c>
      <c r="F458" s="99" t="inlineStr">
        <is>
          <t>TU-B17/S1</t>
        </is>
      </c>
      <c r="G458" s="99" t="n">
        <v>11</v>
      </c>
      <c r="H458" s="99" t="inlineStr">
        <is>
          <t>TR-B3</t>
        </is>
      </c>
      <c r="I458" s="99" t="n">
        <v>1</v>
      </c>
      <c r="J458" s="99" t="inlineStr">
        <is>
          <t>Ống 1 Xanh dương / Xanh dương</t>
        </is>
      </c>
      <c r="K458" s="99" t="inlineStr">
        <is>
          <t>S4-14</t>
        </is>
      </c>
      <c r="L458" s="99" t="inlineStr">
        <is>
          <t>B-23</t>
        </is>
      </c>
      <c r="M458" s="99" t="inlineStr">
        <is>
          <t>PON-14</t>
        </is>
      </c>
      <c r="N458" s="99" t="inlineStr">
        <is>
          <t>Chưa lắp</t>
        </is>
      </c>
      <c r="O458" s="149" t="n"/>
      <c r="P458" s="150" t="n"/>
      <c r="Q458" s="13">
        <f>M458&amp;" &gt; P96#"&amp;U458&amp;" &gt; "&amp;K458&amp;" &gt; P96#"&amp;L458&amp;" &gt; "&amp;R458&amp;" "&amp;S458&amp;" "&amp;T458&amp;" &gt; "&amp;H458&amp;"#"&amp;I458&amp;" &gt; "&amp;F458&amp;" p"&amp;G458</f>
        <v/>
      </c>
      <c r="R458" s="9" t="inlineStr">
        <is>
          <t>ODF-17/18</t>
        </is>
      </c>
      <c r="S458" s="9" t="inlineStr">
        <is>
          <t>Phải</t>
        </is>
      </c>
      <c r="T458" s="9" t="inlineStr">
        <is>
          <t>H1-C1</t>
        </is>
      </c>
      <c r="U458" s="9" t="inlineStr">
        <is>
          <t>B-42</t>
        </is>
      </c>
    </row>
    <row r="459">
      <c r="A459" s="149" t="inlineStr">
        <is>
          <t>B-16-12</t>
        </is>
      </c>
      <c r="B459" s="99" t="inlineStr">
        <is>
          <t>B</t>
        </is>
      </c>
      <c r="C459" s="99" t="inlineStr">
        <is>
          <t>16</t>
        </is>
      </c>
      <c r="D459" s="99" t="n">
        <v>12</v>
      </c>
      <c r="E459" s="99" t="inlineStr">
        <is>
          <t>TU-B17</t>
        </is>
      </c>
      <c r="F459" s="99" t="inlineStr">
        <is>
          <t>TU-B17/S1</t>
        </is>
      </c>
      <c r="G459" s="99" t="n">
        <v>12</v>
      </c>
      <c r="H459" s="99" t="inlineStr">
        <is>
          <t>TR-B3</t>
        </is>
      </c>
      <c r="I459" s="99" t="n">
        <v>1</v>
      </c>
      <c r="J459" s="99" t="inlineStr">
        <is>
          <t>Ống 1 Xanh dương / Xanh dương</t>
        </is>
      </c>
      <c r="K459" s="99" t="inlineStr">
        <is>
          <t>S4-14</t>
        </is>
      </c>
      <c r="L459" s="99" t="inlineStr">
        <is>
          <t>B-23</t>
        </is>
      </c>
      <c r="M459" s="99" t="inlineStr">
        <is>
          <t>PON-14</t>
        </is>
      </c>
      <c r="N459" s="99" t="inlineStr">
        <is>
          <t>Chưa lắp</t>
        </is>
      </c>
      <c r="O459" s="149" t="n"/>
      <c r="P459" s="150" t="n"/>
      <c r="Q459" s="13">
        <f>M459&amp;" &gt; P96#"&amp;U459&amp;" &gt; "&amp;K459&amp;" &gt; P96#"&amp;L459&amp;" &gt; "&amp;R459&amp;" "&amp;S459&amp;" "&amp;T459&amp;" &gt; "&amp;H459&amp;"#"&amp;I459&amp;" &gt; "&amp;F459&amp;" p"&amp;G459</f>
        <v/>
      </c>
      <c r="R459" s="9" t="inlineStr">
        <is>
          <t>ODF-17/18</t>
        </is>
      </c>
      <c r="S459" s="9" t="inlineStr">
        <is>
          <t>Phải</t>
        </is>
      </c>
      <c r="T459" s="9" t="inlineStr">
        <is>
          <t>H1-C1</t>
        </is>
      </c>
      <c r="U459" s="9" t="inlineStr">
        <is>
          <t>B-42</t>
        </is>
      </c>
    </row>
    <row r="460">
      <c r="A460" s="149" t="inlineStr">
        <is>
          <t>B-16-13</t>
        </is>
      </c>
      <c r="B460" s="99" t="inlineStr">
        <is>
          <t>B</t>
        </is>
      </c>
      <c r="C460" s="99" t="inlineStr">
        <is>
          <t>16</t>
        </is>
      </c>
      <c r="D460" s="99" t="n">
        <v>13</v>
      </c>
      <c r="E460" s="99" t="inlineStr">
        <is>
          <t>TU-B17</t>
        </is>
      </c>
      <c r="F460" s="99" t="inlineStr">
        <is>
          <t>TU-B17/S1</t>
        </is>
      </c>
      <c r="G460" s="99" t="n">
        <v>13</v>
      </c>
      <c r="H460" s="99" t="inlineStr">
        <is>
          <t>TR-B3</t>
        </is>
      </c>
      <c r="I460" s="99" t="n">
        <v>1</v>
      </c>
      <c r="J460" s="99" t="inlineStr">
        <is>
          <t>Ống 1 Xanh dương / Xanh dương</t>
        </is>
      </c>
      <c r="K460" s="99" t="inlineStr">
        <is>
          <t>S4-14</t>
        </is>
      </c>
      <c r="L460" s="99" t="inlineStr">
        <is>
          <t>B-23</t>
        </is>
      </c>
      <c r="M460" s="99" t="inlineStr">
        <is>
          <t>PON-14</t>
        </is>
      </c>
      <c r="N460" s="99" t="inlineStr">
        <is>
          <t>Chưa lắp</t>
        </is>
      </c>
      <c r="O460" s="149" t="n"/>
      <c r="P460" s="150" t="n"/>
      <c r="Q460" s="13">
        <f>M460&amp;" &gt; P96#"&amp;U460&amp;" &gt; "&amp;K460&amp;" &gt; P96#"&amp;L460&amp;" &gt; "&amp;R460&amp;" "&amp;S460&amp;" "&amp;T460&amp;" &gt; "&amp;H460&amp;"#"&amp;I460&amp;" &gt; "&amp;F460&amp;" p"&amp;G460</f>
        <v/>
      </c>
      <c r="R460" s="9" t="inlineStr">
        <is>
          <t>ODF-17/18</t>
        </is>
      </c>
      <c r="S460" s="9" t="inlineStr">
        <is>
          <t>Phải</t>
        </is>
      </c>
      <c r="T460" s="9" t="inlineStr">
        <is>
          <t>H1-C1</t>
        </is>
      </c>
      <c r="U460" s="9" t="inlineStr">
        <is>
          <t>B-42</t>
        </is>
      </c>
    </row>
    <row r="461">
      <c r="A461" s="149" t="inlineStr">
        <is>
          <t>B-16-14</t>
        </is>
      </c>
      <c r="B461" s="99" t="inlineStr">
        <is>
          <t>B</t>
        </is>
      </c>
      <c r="C461" s="99" t="inlineStr">
        <is>
          <t>16</t>
        </is>
      </c>
      <c r="D461" s="99" t="n">
        <v>14</v>
      </c>
      <c r="E461" s="99" t="inlineStr">
        <is>
          <t>TU-B17</t>
        </is>
      </c>
      <c r="F461" s="99" t="inlineStr">
        <is>
          <t>TU-B17/S1</t>
        </is>
      </c>
      <c r="G461" s="99" t="n">
        <v>14</v>
      </c>
      <c r="H461" s="99" t="inlineStr">
        <is>
          <t>TR-B3</t>
        </is>
      </c>
      <c r="I461" s="99" t="n">
        <v>1</v>
      </c>
      <c r="J461" s="99" t="inlineStr">
        <is>
          <t>Ống 1 Xanh dương / Xanh dương</t>
        </is>
      </c>
      <c r="K461" s="99" t="inlineStr">
        <is>
          <t>S4-14</t>
        </is>
      </c>
      <c r="L461" s="99" t="inlineStr">
        <is>
          <t>B-23</t>
        </is>
      </c>
      <c r="M461" s="99" t="inlineStr">
        <is>
          <t>PON-14</t>
        </is>
      </c>
      <c r="N461" s="99" t="inlineStr">
        <is>
          <t>Chưa lắp</t>
        </is>
      </c>
      <c r="O461" s="149" t="n"/>
      <c r="P461" s="150" t="n"/>
      <c r="Q461" s="13">
        <f>M461&amp;" &gt; P96#"&amp;U461&amp;" &gt; "&amp;K461&amp;" &gt; P96#"&amp;L461&amp;" &gt; "&amp;R461&amp;" "&amp;S461&amp;" "&amp;T461&amp;" &gt; "&amp;H461&amp;"#"&amp;I461&amp;" &gt; "&amp;F461&amp;" p"&amp;G461</f>
        <v/>
      </c>
      <c r="R461" s="9" t="inlineStr">
        <is>
          <t>ODF-17/18</t>
        </is>
      </c>
      <c r="S461" s="9" t="inlineStr">
        <is>
          <t>Phải</t>
        </is>
      </c>
      <c r="T461" s="9" t="inlineStr">
        <is>
          <t>H1-C1</t>
        </is>
      </c>
      <c r="U461" s="9" t="inlineStr">
        <is>
          <t>B-42</t>
        </is>
      </c>
    </row>
    <row r="462">
      <c r="A462" s="149" t="inlineStr">
        <is>
          <t>B-15-01</t>
        </is>
      </c>
      <c r="B462" s="99" t="inlineStr">
        <is>
          <t>B</t>
        </is>
      </c>
      <c r="C462" s="99" t="inlineStr">
        <is>
          <t>15</t>
        </is>
      </c>
      <c r="D462" s="99" t="n">
        <v>1</v>
      </c>
      <c r="E462" s="99" t="inlineStr">
        <is>
          <t>TU-B14</t>
        </is>
      </c>
      <c r="F462" s="99" t="inlineStr">
        <is>
          <t>TU-B14/S3</t>
        </is>
      </c>
      <c r="G462" s="99" t="n">
        <v>1</v>
      </c>
      <c r="H462" s="99" t="inlineStr">
        <is>
          <t>TR-B2</t>
        </is>
      </c>
      <c r="I462" s="99" t="n">
        <v>19</v>
      </c>
      <c r="J462" s="99" t="inlineStr">
        <is>
          <t>Ống 4 Nâu / Xanh dương</t>
        </is>
      </c>
      <c r="K462" s="99" t="inlineStr">
        <is>
          <t>S4-14</t>
        </is>
      </c>
      <c r="L462" s="99" t="inlineStr">
        <is>
          <t>B-22</t>
        </is>
      </c>
      <c r="M462" s="99" t="inlineStr">
        <is>
          <t>PON-14</t>
        </is>
      </c>
      <c r="N462" s="99" t="inlineStr">
        <is>
          <t>Chưa lắp</t>
        </is>
      </c>
      <c r="O462" s="149" t="n"/>
      <c r="P462" s="150" t="n"/>
      <c r="Q462" s="13">
        <f>M462&amp;" &gt; P96#"&amp;U462&amp;" &gt; "&amp;K462&amp;" &gt; P96#"&amp;L462&amp;" &gt; "&amp;R462&amp;" "&amp;S462&amp;" "&amp;T462&amp;" &gt; "&amp;H462&amp;"#"&amp;I462&amp;" &gt; "&amp;F462&amp;" p"&amp;G462</f>
        <v/>
      </c>
      <c r="R462" s="9" t="inlineStr">
        <is>
          <t>ODF-08/09</t>
        </is>
      </c>
      <c r="S462" s="9" t="inlineStr">
        <is>
          <t>Phải</t>
        </is>
      </c>
      <c r="T462" s="9" t="inlineStr">
        <is>
          <t>H4-C1</t>
        </is>
      </c>
      <c r="U462" s="9" t="inlineStr">
        <is>
          <t>B-42</t>
        </is>
      </c>
    </row>
    <row r="463">
      <c r="A463" s="149" t="inlineStr">
        <is>
          <t>B-15-02</t>
        </is>
      </c>
      <c r="B463" s="99" t="inlineStr">
        <is>
          <t>B</t>
        </is>
      </c>
      <c r="C463" s="99" t="inlineStr">
        <is>
          <t>15</t>
        </is>
      </c>
      <c r="D463" s="99" t="n">
        <v>2</v>
      </c>
      <c r="E463" s="99" t="inlineStr">
        <is>
          <t>TU-B14</t>
        </is>
      </c>
      <c r="F463" s="99" t="inlineStr">
        <is>
          <t>TU-B14/S3</t>
        </is>
      </c>
      <c r="G463" s="99" t="n">
        <v>2</v>
      </c>
      <c r="H463" s="99" t="inlineStr">
        <is>
          <t>TR-B2</t>
        </is>
      </c>
      <c r="I463" s="99" t="n">
        <v>19</v>
      </c>
      <c r="J463" s="99" t="inlineStr">
        <is>
          <t>Ống 4 Nâu / Xanh dương</t>
        </is>
      </c>
      <c r="K463" s="99" t="inlineStr">
        <is>
          <t>S4-14</t>
        </is>
      </c>
      <c r="L463" s="99" t="inlineStr">
        <is>
          <t>B-22</t>
        </is>
      </c>
      <c r="M463" s="99" t="inlineStr">
        <is>
          <t>PON-14</t>
        </is>
      </c>
      <c r="N463" s="99" t="inlineStr">
        <is>
          <t>Chưa lắp</t>
        </is>
      </c>
      <c r="O463" s="149" t="n"/>
      <c r="P463" s="150" t="n"/>
      <c r="Q463" s="13">
        <f>M463&amp;" &gt; P96#"&amp;U463&amp;" &gt; "&amp;K463&amp;" &gt; P96#"&amp;L463&amp;" &gt; "&amp;R463&amp;" "&amp;S463&amp;" "&amp;T463&amp;" &gt; "&amp;H463&amp;"#"&amp;I463&amp;" &gt; "&amp;F463&amp;" p"&amp;G463</f>
        <v/>
      </c>
      <c r="R463" s="9" t="inlineStr">
        <is>
          <t>ODF-08/09</t>
        </is>
      </c>
      <c r="S463" s="9" t="inlineStr">
        <is>
          <t>Phải</t>
        </is>
      </c>
      <c r="T463" s="9" t="inlineStr">
        <is>
          <t>H4-C1</t>
        </is>
      </c>
      <c r="U463" s="9" t="inlineStr">
        <is>
          <t>B-42</t>
        </is>
      </c>
    </row>
    <row r="464">
      <c r="A464" s="151" t="inlineStr">
        <is>
          <t>B-15-03</t>
        </is>
      </c>
      <c r="B464" s="102" t="inlineStr">
        <is>
          <t>B</t>
        </is>
      </c>
      <c r="C464" s="102" t="inlineStr">
        <is>
          <t>15</t>
        </is>
      </c>
      <c r="D464" s="102" t="n">
        <v>3</v>
      </c>
      <c r="E464" s="102" t="inlineStr">
        <is>
          <t>TU-B14</t>
        </is>
      </c>
      <c r="F464" s="102" t="inlineStr">
        <is>
          <t>TU-B14/S3</t>
        </is>
      </c>
      <c r="G464" s="102" t="n">
        <v>3</v>
      </c>
      <c r="H464" s="102" t="inlineStr">
        <is>
          <t>TR-B2</t>
        </is>
      </c>
      <c r="I464" s="102" t="n">
        <v>19</v>
      </c>
      <c r="J464" s="102" t="inlineStr">
        <is>
          <t>Ống 4 Nâu / Xanh dương</t>
        </is>
      </c>
      <c r="K464" s="102" t="inlineStr">
        <is>
          <t>S4-14</t>
        </is>
      </c>
      <c r="L464" s="102" t="inlineStr">
        <is>
          <t>B-22</t>
        </is>
      </c>
      <c r="M464" s="102" t="inlineStr">
        <is>
          <t>PON-14</t>
        </is>
      </c>
      <c r="N464" s="102" t="inlineStr">
        <is>
          <t>Chưa lắp</t>
        </is>
      </c>
      <c r="O464" s="151" t="n"/>
      <c r="P464" s="152" t="n"/>
      <c r="Q464" s="13">
        <f>M464&amp;" &gt; P96#"&amp;U464&amp;" &gt; "&amp;K464&amp;" &gt; P96#"&amp;L464&amp;" &gt; "&amp;R464&amp;" "&amp;S464&amp;" "&amp;T464&amp;" &gt; "&amp;H464&amp;"#"&amp;I464&amp;" &gt; "&amp;F464&amp;" p"&amp;G464</f>
        <v/>
      </c>
      <c r="R464" s="9" t="inlineStr">
        <is>
          <t>ODF-08/09</t>
        </is>
      </c>
      <c r="S464" s="9" t="inlineStr">
        <is>
          <t>Phải</t>
        </is>
      </c>
      <c r="T464" s="9" t="inlineStr">
        <is>
          <t>H4-C1</t>
        </is>
      </c>
      <c r="U464" s="9" t="inlineStr">
        <is>
          <t>B-42</t>
        </is>
      </c>
    </row>
    <row r="465">
      <c r="A465" s="151" t="inlineStr">
        <is>
          <t>B-15-04</t>
        </is>
      </c>
      <c r="B465" s="102" t="inlineStr">
        <is>
          <t>B</t>
        </is>
      </c>
      <c r="C465" s="102" t="inlineStr">
        <is>
          <t>15</t>
        </is>
      </c>
      <c r="D465" s="102" t="n">
        <v>4</v>
      </c>
      <c r="E465" s="102" t="inlineStr">
        <is>
          <t>TU-B14</t>
        </is>
      </c>
      <c r="F465" s="102" t="inlineStr">
        <is>
          <t>TU-B14/S3</t>
        </is>
      </c>
      <c r="G465" s="102" t="n">
        <v>4</v>
      </c>
      <c r="H465" s="102" t="inlineStr">
        <is>
          <t>TR-B2</t>
        </is>
      </c>
      <c r="I465" s="102" t="n">
        <v>19</v>
      </c>
      <c r="J465" s="102" t="inlineStr">
        <is>
          <t>Ống 4 Nâu / Xanh dương</t>
        </is>
      </c>
      <c r="K465" s="102" t="inlineStr">
        <is>
          <t>S4-14</t>
        </is>
      </c>
      <c r="L465" s="102" t="inlineStr">
        <is>
          <t>B-22</t>
        </is>
      </c>
      <c r="M465" s="102" t="inlineStr">
        <is>
          <t>PON-14</t>
        </is>
      </c>
      <c r="N465" s="102" t="inlineStr">
        <is>
          <t>Chưa lắp</t>
        </is>
      </c>
      <c r="O465" s="151" t="n"/>
      <c r="P465" s="152" t="n"/>
      <c r="Q465" s="13">
        <f>M465&amp;" &gt; P96#"&amp;U465&amp;" &gt; "&amp;K465&amp;" &gt; P96#"&amp;L465&amp;" &gt; "&amp;R465&amp;" "&amp;S465&amp;" "&amp;T465&amp;" &gt; "&amp;H465&amp;"#"&amp;I465&amp;" &gt; "&amp;F465&amp;" p"&amp;G465</f>
        <v/>
      </c>
      <c r="R465" s="9" t="inlineStr">
        <is>
          <t>ODF-08/09</t>
        </is>
      </c>
      <c r="S465" s="9" t="inlineStr">
        <is>
          <t>Phải</t>
        </is>
      </c>
      <c r="T465" s="9" t="inlineStr">
        <is>
          <t>H4-C1</t>
        </is>
      </c>
      <c r="U465" s="9" t="inlineStr">
        <is>
          <t>B-42</t>
        </is>
      </c>
    </row>
    <row r="466">
      <c r="A466" s="151" t="inlineStr">
        <is>
          <t>B-15-05</t>
        </is>
      </c>
      <c r="B466" s="102" t="inlineStr">
        <is>
          <t>B</t>
        </is>
      </c>
      <c r="C466" s="102" t="inlineStr">
        <is>
          <t>15</t>
        </is>
      </c>
      <c r="D466" s="102" t="n">
        <v>5</v>
      </c>
      <c r="E466" s="102" t="inlineStr">
        <is>
          <t>TU-B14</t>
        </is>
      </c>
      <c r="F466" s="102" t="inlineStr">
        <is>
          <t>TU-B14/S3</t>
        </is>
      </c>
      <c r="G466" s="102" t="n">
        <v>5</v>
      </c>
      <c r="H466" s="102" t="inlineStr">
        <is>
          <t>TR-B2</t>
        </is>
      </c>
      <c r="I466" s="102" t="n">
        <v>19</v>
      </c>
      <c r="J466" s="102" t="inlineStr">
        <is>
          <t>Ống 4 Nâu / Xanh dương</t>
        </is>
      </c>
      <c r="K466" s="102" t="inlineStr">
        <is>
          <t>S4-14</t>
        </is>
      </c>
      <c r="L466" s="102" t="inlineStr">
        <is>
          <t>B-22</t>
        </is>
      </c>
      <c r="M466" s="102" t="inlineStr">
        <is>
          <t>PON-14</t>
        </is>
      </c>
      <c r="N466" s="102" t="inlineStr">
        <is>
          <t>Chưa lắp</t>
        </is>
      </c>
      <c r="O466" s="151" t="n"/>
      <c r="P466" s="152" t="n"/>
      <c r="Q466" s="13">
        <f>M466&amp;" &gt; P96#"&amp;U466&amp;" &gt; "&amp;K466&amp;" &gt; P96#"&amp;L466&amp;" &gt; "&amp;R466&amp;" "&amp;S466&amp;" "&amp;T466&amp;" &gt; "&amp;H466&amp;"#"&amp;I466&amp;" &gt; "&amp;F466&amp;" p"&amp;G466</f>
        <v/>
      </c>
      <c r="R466" s="9" t="inlineStr">
        <is>
          <t>ODF-08/09</t>
        </is>
      </c>
      <c r="S466" s="9" t="inlineStr">
        <is>
          <t>Phải</t>
        </is>
      </c>
      <c r="T466" s="9" t="inlineStr">
        <is>
          <t>H4-C1</t>
        </is>
      </c>
      <c r="U466" s="9" t="inlineStr">
        <is>
          <t>B-42</t>
        </is>
      </c>
    </row>
    <row r="467">
      <c r="A467" s="151" t="inlineStr">
        <is>
          <t>B-15-06</t>
        </is>
      </c>
      <c r="B467" s="102" t="inlineStr">
        <is>
          <t>B</t>
        </is>
      </c>
      <c r="C467" s="102" t="inlineStr">
        <is>
          <t>15</t>
        </is>
      </c>
      <c r="D467" s="102" t="n">
        <v>6</v>
      </c>
      <c r="E467" s="102" t="inlineStr">
        <is>
          <t>TU-B14</t>
        </is>
      </c>
      <c r="F467" s="102" t="inlineStr">
        <is>
          <t>TU-B14/S3</t>
        </is>
      </c>
      <c r="G467" s="102" t="n">
        <v>6</v>
      </c>
      <c r="H467" s="102" t="inlineStr">
        <is>
          <t>TR-B2</t>
        </is>
      </c>
      <c r="I467" s="102" t="n">
        <v>19</v>
      </c>
      <c r="J467" s="102" t="inlineStr">
        <is>
          <t>Ống 4 Nâu / Xanh dương</t>
        </is>
      </c>
      <c r="K467" s="102" t="inlineStr">
        <is>
          <t>S4-14</t>
        </is>
      </c>
      <c r="L467" s="102" t="inlineStr">
        <is>
          <t>B-22</t>
        </is>
      </c>
      <c r="M467" s="102" t="inlineStr">
        <is>
          <t>PON-14</t>
        </is>
      </c>
      <c r="N467" s="102" t="inlineStr">
        <is>
          <t>Chưa lắp</t>
        </is>
      </c>
      <c r="O467" s="151" t="n"/>
      <c r="P467" s="152" t="n"/>
      <c r="Q467" s="13">
        <f>M467&amp;" &gt; P96#"&amp;U467&amp;" &gt; "&amp;K467&amp;" &gt; P96#"&amp;L467&amp;" &gt; "&amp;R467&amp;" "&amp;S467&amp;" "&amp;T467&amp;" &gt; "&amp;H467&amp;"#"&amp;I467&amp;" &gt; "&amp;F467&amp;" p"&amp;G467</f>
        <v/>
      </c>
      <c r="R467" s="9" t="inlineStr">
        <is>
          <t>ODF-08/09</t>
        </is>
      </c>
      <c r="S467" s="9" t="inlineStr">
        <is>
          <t>Phải</t>
        </is>
      </c>
      <c r="T467" s="9" t="inlineStr">
        <is>
          <t>H4-C1</t>
        </is>
      </c>
      <c r="U467" s="9" t="inlineStr">
        <is>
          <t>B-42</t>
        </is>
      </c>
    </row>
    <row r="468">
      <c r="A468" s="151" t="inlineStr">
        <is>
          <t>B-15-07</t>
        </is>
      </c>
      <c r="B468" s="102" t="inlineStr">
        <is>
          <t>B</t>
        </is>
      </c>
      <c r="C468" s="102" t="inlineStr">
        <is>
          <t>15</t>
        </is>
      </c>
      <c r="D468" s="102" t="n">
        <v>7</v>
      </c>
      <c r="E468" s="102" t="inlineStr">
        <is>
          <t>TU-B14</t>
        </is>
      </c>
      <c r="F468" s="102" t="inlineStr">
        <is>
          <t>TU-B14/S3</t>
        </is>
      </c>
      <c r="G468" s="102" t="n">
        <v>7</v>
      </c>
      <c r="H468" s="102" t="inlineStr">
        <is>
          <t>TR-B2</t>
        </is>
      </c>
      <c r="I468" s="102" t="n">
        <v>19</v>
      </c>
      <c r="J468" s="102" t="inlineStr">
        <is>
          <t>Ống 4 Nâu / Xanh dương</t>
        </is>
      </c>
      <c r="K468" s="102" t="inlineStr">
        <is>
          <t>S4-14</t>
        </is>
      </c>
      <c r="L468" s="102" t="inlineStr">
        <is>
          <t>B-22</t>
        </is>
      </c>
      <c r="M468" s="102" t="inlineStr">
        <is>
          <t>PON-14</t>
        </is>
      </c>
      <c r="N468" s="102" t="inlineStr">
        <is>
          <t>Chưa lắp</t>
        </is>
      </c>
      <c r="O468" s="151" t="n"/>
      <c r="P468" s="152" t="n"/>
      <c r="Q468" s="13">
        <f>M468&amp;" &gt; P96#"&amp;U468&amp;" &gt; "&amp;K468&amp;" &gt; P96#"&amp;L468&amp;" &gt; "&amp;R468&amp;" "&amp;S468&amp;" "&amp;T468&amp;" &gt; "&amp;H468&amp;"#"&amp;I468&amp;" &gt; "&amp;F468&amp;" p"&amp;G468</f>
        <v/>
      </c>
      <c r="R468" s="9" t="inlineStr">
        <is>
          <t>ODF-08/09</t>
        </is>
      </c>
      <c r="S468" s="9" t="inlineStr">
        <is>
          <t>Phải</t>
        </is>
      </c>
      <c r="T468" s="9" t="inlineStr">
        <is>
          <t>H4-C1</t>
        </is>
      </c>
      <c r="U468" s="9" t="inlineStr">
        <is>
          <t>B-42</t>
        </is>
      </c>
    </row>
    <row r="469">
      <c r="A469" s="151" t="inlineStr">
        <is>
          <t>B-15-08</t>
        </is>
      </c>
      <c r="B469" s="102" t="inlineStr">
        <is>
          <t>B</t>
        </is>
      </c>
      <c r="C469" s="102" t="inlineStr">
        <is>
          <t>15</t>
        </is>
      </c>
      <c r="D469" s="102" t="n">
        <v>8</v>
      </c>
      <c r="E469" s="102" t="inlineStr">
        <is>
          <t>TU-B14</t>
        </is>
      </c>
      <c r="F469" s="102" t="inlineStr">
        <is>
          <t>TU-B14/S3</t>
        </is>
      </c>
      <c r="G469" s="102" t="n">
        <v>8</v>
      </c>
      <c r="H469" s="102" t="inlineStr">
        <is>
          <t>TR-B2</t>
        </is>
      </c>
      <c r="I469" s="102" t="n">
        <v>19</v>
      </c>
      <c r="J469" s="102" t="inlineStr">
        <is>
          <t>Ống 4 Nâu / Xanh dương</t>
        </is>
      </c>
      <c r="K469" s="102" t="inlineStr">
        <is>
          <t>S4-14</t>
        </is>
      </c>
      <c r="L469" s="102" t="inlineStr">
        <is>
          <t>B-22</t>
        </is>
      </c>
      <c r="M469" s="102" t="inlineStr">
        <is>
          <t>PON-14</t>
        </is>
      </c>
      <c r="N469" s="102" t="inlineStr">
        <is>
          <t>Chưa lắp</t>
        </is>
      </c>
      <c r="O469" s="151" t="n"/>
      <c r="P469" s="152" t="n"/>
      <c r="Q469" s="13">
        <f>M469&amp;" &gt; P96#"&amp;U469&amp;" &gt; "&amp;K469&amp;" &gt; P96#"&amp;L469&amp;" &gt; "&amp;R469&amp;" "&amp;S469&amp;" "&amp;T469&amp;" &gt; "&amp;H469&amp;"#"&amp;I469&amp;" &gt; "&amp;F469&amp;" p"&amp;G469</f>
        <v/>
      </c>
      <c r="R469" s="9" t="inlineStr">
        <is>
          <t>ODF-08/09</t>
        </is>
      </c>
      <c r="S469" s="9" t="inlineStr">
        <is>
          <t>Phải</t>
        </is>
      </c>
      <c r="T469" s="9" t="inlineStr">
        <is>
          <t>H4-C1</t>
        </is>
      </c>
      <c r="U469" s="9" t="inlineStr">
        <is>
          <t>B-42</t>
        </is>
      </c>
    </row>
    <row r="470">
      <c r="A470" s="151" t="inlineStr">
        <is>
          <t>B-15-09</t>
        </is>
      </c>
      <c r="B470" s="102" t="inlineStr">
        <is>
          <t>B</t>
        </is>
      </c>
      <c r="C470" s="102" t="inlineStr">
        <is>
          <t>15</t>
        </is>
      </c>
      <c r="D470" s="102" t="n">
        <v>9</v>
      </c>
      <c r="E470" s="102" t="inlineStr">
        <is>
          <t>TU-B14</t>
        </is>
      </c>
      <c r="F470" s="102" t="inlineStr">
        <is>
          <t>TU-B14/S3</t>
        </is>
      </c>
      <c r="G470" s="102" t="n">
        <v>9</v>
      </c>
      <c r="H470" s="102" t="inlineStr">
        <is>
          <t>TR-B2</t>
        </is>
      </c>
      <c r="I470" s="102" t="n">
        <v>19</v>
      </c>
      <c r="J470" s="102" t="inlineStr">
        <is>
          <t>Ống 4 Nâu / Xanh dương</t>
        </is>
      </c>
      <c r="K470" s="102" t="inlineStr">
        <is>
          <t>S4-14</t>
        </is>
      </c>
      <c r="L470" s="102" t="inlineStr">
        <is>
          <t>B-22</t>
        </is>
      </c>
      <c r="M470" s="102" t="inlineStr">
        <is>
          <t>PON-14</t>
        </is>
      </c>
      <c r="N470" s="102" t="inlineStr">
        <is>
          <t>Chưa lắp</t>
        </is>
      </c>
      <c r="O470" s="151" t="n"/>
      <c r="P470" s="152" t="n"/>
      <c r="Q470" s="13">
        <f>M470&amp;" &gt; P96#"&amp;U470&amp;" &gt; "&amp;K470&amp;" &gt; P96#"&amp;L470&amp;" &gt; "&amp;R470&amp;" "&amp;S470&amp;" "&amp;T470&amp;" &gt; "&amp;H470&amp;"#"&amp;I470&amp;" &gt; "&amp;F470&amp;" p"&amp;G470</f>
        <v/>
      </c>
      <c r="R470" s="9" t="inlineStr">
        <is>
          <t>ODF-08/09</t>
        </is>
      </c>
      <c r="S470" s="9" t="inlineStr">
        <is>
          <t>Phải</t>
        </is>
      </c>
      <c r="T470" s="9" t="inlineStr">
        <is>
          <t>H4-C1</t>
        </is>
      </c>
      <c r="U470" s="9" t="inlineStr">
        <is>
          <t>B-42</t>
        </is>
      </c>
    </row>
    <row r="471">
      <c r="A471" s="151" t="inlineStr">
        <is>
          <t>B-15-10</t>
        </is>
      </c>
      <c r="B471" s="102" t="inlineStr">
        <is>
          <t>B</t>
        </is>
      </c>
      <c r="C471" s="102" t="inlineStr">
        <is>
          <t>15</t>
        </is>
      </c>
      <c r="D471" s="102" t="n">
        <v>10</v>
      </c>
      <c r="E471" s="102" t="inlineStr">
        <is>
          <t>TU-B14</t>
        </is>
      </c>
      <c r="F471" s="102" t="inlineStr">
        <is>
          <t>TU-B14/S3</t>
        </is>
      </c>
      <c r="G471" s="102" t="n">
        <v>10</v>
      </c>
      <c r="H471" s="102" t="inlineStr">
        <is>
          <t>TR-B2</t>
        </is>
      </c>
      <c r="I471" s="102" t="n">
        <v>19</v>
      </c>
      <c r="J471" s="102" t="inlineStr">
        <is>
          <t>Ống 4 Nâu / Xanh dương</t>
        </is>
      </c>
      <c r="K471" s="102" t="inlineStr">
        <is>
          <t>S4-14</t>
        </is>
      </c>
      <c r="L471" s="102" t="inlineStr">
        <is>
          <t>B-22</t>
        </is>
      </c>
      <c r="M471" s="102" t="inlineStr">
        <is>
          <t>PON-14</t>
        </is>
      </c>
      <c r="N471" s="102" t="inlineStr">
        <is>
          <t>Chưa lắp</t>
        </is>
      </c>
      <c r="O471" s="151" t="n"/>
      <c r="P471" s="152" t="n"/>
      <c r="Q471" s="13">
        <f>M471&amp;" &gt; P96#"&amp;U471&amp;" &gt; "&amp;K471&amp;" &gt; P96#"&amp;L471&amp;" &gt; "&amp;R471&amp;" "&amp;S471&amp;" "&amp;T471&amp;" &gt; "&amp;H471&amp;"#"&amp;I471&amp;" &gt; "&amp;F471&amp;" p"&amp;G471</f>
        <v/>
      </c>
      <c r="R471" s="9" t="inlineStr">
        <is>
          <t>ODF-08/09</t>
        </is>
      </c>
      <c r="S471" s="9" t="inlineStr">
        <is>
          <t>Phải</t>
        </is>
      </c>
      <c r="T471" s="9" t="inlineStr">
        <is>
          <t>H4-C1</t>
        </is>
      </c>
      <c r="U471" s="9" t="inlineStr">
        <is>
          <t>B-42</t>
        </is>
      </c>
    </row>
    <row r="472">
      <c r="A472" s="151" t="inlineStr">
        <is>
          <t>B-15-11</t>
        </is>
      </c>
      <c r="B472" s="102" t="inlineStr">
        <is>
          <t>B</t>
        </is>
      </c>
      <c r="C472" s="102" t="inlineStr">
        <is>
          <t>15</t>
        </is>
      </c>
      <c r="D472" s="102" t="n">
        <v>11</v>
      </c>
      <c r="E472" s="102" t="inlineStr">
        <is>
          <t>TU-B14</t>
        </is>
      </c>
      <c r="F472" s="102" t="inlineStr">
        <is>
          <t>TU-B14/S3</t>
        </is>
      </c>
      <c r="G472" s="102" t="n">
        <v>11</v>
      </c>
      <c r="H472" s="102" t="inlineStr">
        <is>
          <t>TR-B2</t>
        </is>
      </c>
      <c r="I472" s="102" t="n">
        <v>19</v>
      </c>
      <c r="J472" s="102" t="inlineStr">
        <is>
          <t>Ống 4 Nâu / Xanh dương</t>
        </is>
      </c>
      <c r="K472" s="102" t="inlineStr">
        <is>
          <t>S4-14</t>
        </is>
      </c>
      <c r="L472" s="102" t="inlineStr">
        <is>
          <t>B-22</t>
        </is>
      </c>
      <c r="M472" s="102" t="inlineStr">
        <is>
          <t>PON-14</t>
        </is>
      </c>
      <c r="N472" s="102" t="inlineStr">
        <is>
          <t>Chưa lắp</t>
        </is>
      </c>
      <c r="O472" s="151" t="n"/>
      <c r="P472" s="152" t="n"/>
      <c r="Q472" s="13">
        <f>M472&amp;" &gt; P96#"&amp;U472&amp;" &gt; "&amp;K472&amp;" &gt; P96#"&amp;L472&amp;" &gt; "&amp;R472&amp;" "&amp;S472&amp;" "&amp;T472&amp;" &gt; "&amp;H472&amp;"#"&amp;I472&amp;" &gt; "&amp;F472&amp;" p"&amp;G472</f>
        <v/>
      </c>
      <c r="R472" s="9" t="inlineStr">
        <is>
          <t>ODF-08/09</t>
        </is>
      </c>
      <c r="S472" s="9" t="inlineStr">
        <is>
          <t>Phải</t>
        </is>
      </c>
      <c r="T472" s="9" t="inlineStr">
        <is>
          <t>H4-C1</t>
        </is>
      </c>
      <c r="U472" s="9" t="inlineStr">
        <is>
          <t>B-42</t>
        </is>
      </c>
    </row>
    <row r="473">
      <c r="A473" s="151" t="inlineStr">
        <is>
          <t>B-15-12</t>
        </is>
      </c>
      <c r="B473" s="102" t="inlineStr">
        <is>
          <t>B</t>
        </is>
      </c>
      <c r="C473" s="102" t="inlineStr">
        <is>
          <t>15</t>
        </is>
      </c>
      <c r="D473" s="102" t="n">
        <v>12</v>
      </c>
      <c r="E473" s="102" t="inlineStr">
        <is>
          <t>TU-B14</t>
        </is>
      </c>
      <c r="F473" s="102" t="inlineStr">
        <is>
          <t>TU-B14/S3</t>
        </is>
      </c>
      <c r="G473" s="102" t="n">
        <v>12</v>
      </c>
      <c r="H473" s="102" t="inlineStr">
        <is>
          <t>TR-B2</t>
        </is>
      </c>
      <c r="I473" s="102" t="n">
        <v>19</v>
      </c>
      <c r="J473" s="102" t="inlineStr">
        <is>
          <t>Ống 4 Nâu / Xanh dương</t>
        </is>
      </c>
      <c r="K473" s="102" t="inlineStr">
        <is>
          <t>S4-14</t>
        </is>
      </c>
      <c r="L473" s="102" t="inlineStr">
        <is>
          <t>B-22</t>
        </is>
      </c>
      <c r="M473" s="102" t="inlineStr">
        <is>
          <t>PON-14</t>
        </is>
      </c>
      <c r="N473" s="102" t="inlineStr">
        <is>
          <t>Chưa lắp</t>
        </is>
      </c>
      <c r="O473" s="151" t="n"/>
      <c r="P473" s="152" t="n"/>
      <c r="Q473" s="13">
        <f>M473&amp;" &gt; P96#"&amp;U473&amp;" &gt; "&amp;K473&amp;" &gt; P96#"&amp;L473&amp;" &gt; "&amp;R473&amp;" "&amp;S473&amp;" "&amp;T473&amp;" &gt; "&amp;H473&amp;"#"&amp;I473&amp;" &gt; "&amp;F473&amp;" p"&amp;G473</f>
        <v/>
      </c>
      <c r="R473" s="9" t="inlineStr">
        <is>
          <t>ODF-08/09</t>
        </is>
      </c>
      <c r="S473" s="9" t="inlineStr">
        <is>
          <t>Phải</t>
        </is>
      </c>
      <c r="T473" s="9" t="inlineStr">
        <is>
          <t>H4-C1</t>
        </is>
      </c>
      <c r="U473" s="9" t="inlineStr">
        <is>
          <t>B-42</t>
        </is>
      </c>
    </row>
    <row r="474">
      <c r="A474" s="151" t="inlineStr">
        <is>
          <t>B-15-13</t>
        </is>
      </c>
      <c r="B474" s="102" t="inlineStr">
        <is>
          <t>B</t>
        </is>
      </c>
      <c r="C474" s="102" t="inlineStr">
        <is>
          <t>15</t>
        </is>
      </c>
      <c r="D474" s="102" t="n">
        <v>13</v>
      </c>
      <c r="E474" s="102" t="inlineStr">
        <is>
          <t>TU-B14</t>
        </is>
      </c>
      <c r="F474" s="102" t="inlineStr">
        <is>
          <t>TU-B14/S3</t>
        </is>
      </c>
      <c r="G474" s="102" t="n">
        <v>13</v>
      </c>
      <c r="H474" s="102" t="inlineStr">
        <is>
          <t>TR-B2</t>
        </is>
      </c>
      <c r="I474" s="102" t="n">
        <v>19</v>
      </c>
      <c r="J474" s="102" t="inlineStr">
        <is>
          <t>Ống 4 Nâu / Xanh dương</t>
        </is>
      </c>
      <c r="K474" s="102" t="inlineStr">
        <is>
          <t>S4-14</t>
        </is>
      </c>
      <c r="L474" s="102" t="inlineStr">
        <is>
          <t>B-22</t>
        </is>
      </c>
      <c r="M474" s="102" t="inlineStr">
        <is>
          <t>PON-14</t>
        </is>
      </c>
      <c r="N474" s="102" t="inlineStr">
        <is>
          <t>Chưa lắp</t>
        </is>
      </c>
      <c r="O474" s="151" t="n"/>
      <c r="P474" s="152" t="n"/>
      <c r="Q474" s="13">
        <f>M474&amp;" &gt; P96#"&amp;U474&amp;" &gt; "&amp;K474&amp;" &gt; P96#"&amp;L474&amp;" &gt; "&amp;R474&amp;" "&amp;S474&amp;" "&amp;T474&amp;" &gt; "&amp;H474&amp;"#"&amp;I474&amp;" &gt; "&amp;F474&amp;" p"&amp;G474</f>
        <v/>
      </c>
      <c r="R474" s="9" t="inlineStr">
        <is>
          <t>ODF-08/09</t>
        </is>
      </c>
      <c r="S474" s="9" t="inlineStr">
        <is>
          <t>Phải</t>
        </is>
      </c>
      <c r="T474" s="9" t="inlineStr">
        <is>
          <t>H4-C1</t>
        </is>
      </c>
      <c r="U474" s="9" t="inlineStr">
        <is>
          <t>B-42</t>
        </is>
      </c>
    </row>
    <row r="475">
      <c r="A475" s="151" t="inlineStr">
        <is>
          <t>B-15-14</t>
        </is>
      </c>
      <c r="B475" s="102" t="inlineStr">
        <is>
          <t>B</t>
        </is>
      </c>
      <c r="C475" s="102" t="inlineStr">
        <is>
          <t>15</t>
        </is>
      </c>
      <c r="D475" s="102" t="n">
        <v>14</v>
      </c>
      <c r="E475" s="102" t="inlineStr">
        <is>
          <t>TU-B14</t>
        </is>
      </c>
      <c r="F475" s="102" t="inlineStr">
        <is>
          <t>TU-B14/S3</t>
        </is>
      </c>
      <c r="G475" s="102" t="n">
        <v>14</v>
      </c>
      <c r="H475" s="102" t="inlineStr">
        <is>
          <t>TR-B2</t>
        </is>
      </c>
      <c r="I475" s="102" t="n">
        <v>19</v>
      </c>
      <c r="J475" s="102" t="inlineStr">
        <is>
          <t>Ống 4 Nâu / Xanh dương</t>
        </is>
      </c>
      <c r="K475" s="102" t="inlineStr">
        <is>
          <t>S4-14</t>
        </is>
      </c>
      <c r="L475" s="102" t="inlineStr">
        <is>
          <t>B-22</t>
        </is>
      </c>
      <c r="M475" s="102" t="inlineStr">
        <is>
          <t>PON-14</t>
        </is>
      </c>
      <c r="N475" s="102" t="inlineStr">
        <is>
          <t>Chưa lắp</t>
        </is>
      </c>
      <c r="O475" s="151" t="n"/>
      <c r="P475" s="152" t="n"/>
      <c r="Q475" s="13">
        <f>M475&amp;" &gt; P96#"&amp;U475&amp;" &gt; "&amp;K475&amp;" &gt; P96#"&amp;L475&amp;" &gt; "&amp;R475&amp;" "&amp;S475&amp;" "&amp;T475&amp;" &gt; "&amp;H475&amp;"#"&amp;I475&amp;" &gt; "&amp;F475&amp;" p"&amp;G475</f>
        <v/>
      </c>
      <c r="R475" s="9" t="inlineStr">
        <is>
          <t>ODF-08/09</t>
        </is>
      </c>
      <c r="S475" s="9" t="inlineStr">
        <is>
          <t>Phải</t>
        </is>
      </c>
      <c r="T475" s="9" t="inlineStr">
        <is>
          <t>H4-C1</t>
        </is>
      </c>
      <c r="U475" s="9" t="inlineStr">
        <is>
          <t>B-42</t>
        </is>
      </c>
    </row>
    <row r="476">
      <c r="A476" s="151" t="inlineStr">
        <is>
          <t>B-14-01</t>
        </is>
      </c>
      <c r="B476" s="102" t="inlineStr">
        <is>
          <t>B</t>
        </is>
      </c>
      <c r="C476" s="102" t="inlineStr">
        <is>
          <t>14</t>
        </is>
      </c>
      <c r="D476" s="102" t="n">
        <v>1</v>
      </c>
      <c r="E476" s="102" t="inlineStr">
        <is>
          <t>TU-B14</t>
        </is>
      </c>
      <c r="F476" s="102" t="inlineStr">
        <is>
          <t>TU-B14/S2</t>
        </is>
      </c>
      <c r="G476" s="102" t="n">
        <v>1</v>
      </c>
      <c r="H476" s="102" t="inlineStr">
        <is>
          <t>TR-B2</t>
        </is>
      </c>
      <c r="I476" s="102" t="n">
        <v>18</v>
      </c>
      <c r="J476" s="102" t="inlineStr">
        <is>
          <t>Ống 3 Xanh lá / Trắng</t>
        </is>
      </c>
      <c r="K476" s="102" t="inlineStr">
        <is>
          <t>S4-14</t>
        </is>
      </c>
      <c r="L476" s="102" t="inlineStr">
        <is>
          <t>B-21</t>
        </is>
      </c>
      <c r="M476" s="102" t="inlineStr">
        <is>
          <t>PON-14</t>
        </is>
      </c>
      <c r="N476" s="102" t="inlineStr">
        <is>
          <t>Chưa lắp</t>
        </is>
      </c>
      <c r="O476" s="151" t="n"/>
      <c r="P476" s="152" t="n"/>
      <c r="Q476" s="13">
        <f>M476&amp;" &gt; P96#"&amp;U476&amp;" &gt; "&amp;K476&amp;" &gt; P96#"&amp;L476&amp;" &gt; "&amp;R476&amp;" "&amp;S476&amp;" "&amp;T476&amp;" &gt; "&amp;H476&amp;"#"&amp;I476&amp;" &gt; "&amp;F476&amp;" p"&amp;G476</f>
        <v/>
      </c>
      <c r="R476" s="9" t="inlineStr">
        <is>
          <t>ODF-08/09</t>
        </is>
      </c>
      <c r="S476" s="9" t="inlineStr">
        <is>
          <t>Phải</t>
        </is>
      </c>
      <c r="T476" s="9" t="inlineStr">
        <is>
          <t>H3-C6</t>
        </is>
      </c>
      <c r="U476" s="9" t="inlineStr">
        <is>
          <t>B-42</t>
        </is>
      </c>
    </row>
    <row r="477">
      <c r="A477" s="151" t="inlineStr">
        <is>
          <t>B-14-02</t>
        </is>
      </c>
      <c r="B477" s="102" t="inlineStr">
        <is>
          <t>B</t>
        </is>
      </c>
      <c r="C477" s="102" t="inlineStr">
        <is>
          <t>14</t>
        </is>
      </c>
      <c r="D477" s="102" t="n">
        <v>2</v>
      </c>
      <c r="E477" s="102" t="inlineStr">
        <is>
          <t>TU-B14</t>
        </is>
      </c>
      <c r="F477" s="102" t="inlineStr">
        <is>
          <t>TU-B14/S2</t>
        </is>
      </c>
      <c r="G477" s="102" t="n">
        <v>2</v>
      </c>
      <c r="H477" s="102" t="inlineStr">
        <is>
          <t>TR-B2</t>
        </is>
      </c>
      <c r="I477" s="102" t="n">
        <v>18</v>
      </c>
      <c r="J477" s="102" t="inlineStr">
        <is>
          <t>Ống 3 Xanh lá / Trắng</t>
        </is>
      </c>
      <c r="K477" s="102" t="inlineStr">
        <is>
          <t>S4-14</t>
        </is>
      </c>
      <c r="L477" s="102" t="inlineStr">
        <is>
          <t>B-21</t>
        </is>
      </c>
      <c r="M477" s="102" t="inlineStr">
        <is>
          <t>PON-14</t>
        </is>
      </c>
      <c r="N477" s="102" t="inlineStr">
        <is>
          <t>Chưa lắp</t>
        </is>
      </c>
      <c r="O477" s="151" t="n"/>
      <c r="P477" s="152" t="n"/>
      <c r="Q477" s="13">
        <f>M477&amp;" &gt; P96#"&amp;U477&amp;" &gt; "&amp;K477&amp;" &gt; P96#"&amp;L477&amp;" &gt; "&amp;R477&amp;" "&amp;S477&amp;" "&amp;T477&amp;" &gt; "&amp;H477&amp;"#"&amp;I477&amp;" &gt; "&amp;F477&amp;" p"&amp;G477</f>
        <v/>
      </c>
      <c r="R477" s="9" t="inlineStr">
        <is>
          <t>ODF-08/09</t>
        </is>
      </c>
      <c r="S477" s="9" t="inlineStr">
        <is>
          <t>Phải</t>
        </is>
      </c>
      <c r="T477" s="9" t="inlineStr">
        <is>
          <t>H3-C6</t>
        </is>
      </c>
      <c r="U477" s="9" t="inlineStr">
        <is>
          <t>B-42</t>
        </is>
      </c>
    </row>
    <row r="478">
      <c r="A478" s="149" t="inlineStr">
        <is>
          <t>B-14-03</t>
        </is>
      </c>
      <c r="B478" s="99" t="inlineStr">
        <is>
          <t>B</t>
        </is>
      </c>
      <c r="C478" s="99" t="inlineStr">
        <is>
          <t>14</t>
        </is>
      </c>
      <c r="D478" s="99" t="n">
        <v>3</v>
      </c>
      <c r="E478" s="99" t="inlineStr">
        <is>
          <t>TU-B14</t>
        </is>
      </c>
      <c r="F478" s="99" t="inlineStr">
        <is>
          <t>TU-B14/S2</t>
        </is>
      </c>
      <c r="G478" s="99" t="n">
        <v>3</v>
      </c>
      <c r="H478" s="99" t="inlineStr">
        <is>
          <t>TR-B2</t>
        </is>
      </c>
      <c r="I478" s="99" t="n">
        <v>18</v>
      </c>
      <c r="J478" s="99" t="inlineStr">
        <is>
          <t>Ống 3 Xanh lá / Trắng</t>
        </is>
      </c>
      <c r="K478" s="99" t="inlineStr">
        <is>
          <t>S4-14</t>
        </is>
      </c>
      <c r="L478" s="99" t="inlineStr">
        <is>
          <t>B-21</t>
        </is>
      </c>
      <c r="M478" s="99" t="inlineStr">
        <is>
          <t>PON-14</t>
        </is>
      </c>
      <c r="N478" s="99" t="inlineStr">
        <is>
          <t>Chưa lắp</t>
        </is>
      </c>
      <c r="O478" s="149" t="n"/>
      <c r="P478" s="150" t="n"/>
      <c r="Q478" s="13">
        <f>M478&amp;" &gt; P96#"&amp;U478&amp;" &gt; "&amp;K478&amp;" &gt; P96#"&amp;L478&amp;" &gt; "&amp;R478&amp;" "&amp;S478&amp;" "&amp;T478&amp;" &gt; "&amp;H478&amp;"#"&amp;I478&amp;" &gt; "&amp;F478&amp;" p"&amp;G478</f>
        <v/>
      </c>
      <c r="R478" s="9" t="inlineStr">
        <is>
          <t>ODF-08/09</t>
        </is>
      </c>
      <c r="S478" s="9" t="inlineStr">
        <is>
          <t>Phải</t>
        </is>
      </c>
      <c r="T478" s="9" t="inlineStr">
        <is>
          <t>H3-C6</t>
        </is>
      </c>
      <c r="U478" s="9" t="inlineStr">
        <is>
          <t>B-42</t>
        </is>
      </c>
    </row>
    <row r="479">
      <c r="A479" s="149" t="inlineStr">
        <is>
          <t>B-14-04</t>
        </is>
      </c>
      <c r="B479" s="99" t="inlineStr">
        <is>
          <t>B</t>
        </is>
      </c>
      <c r="C479" s="99" t="inlineStr">
        <is>
          <t>14</t>
        </is>
      </c>
      <c r="D479" s="99" t="n">
        <v>4</v>
      </c>
      <c r="E479" s="99" t="inlineStr">
        <is>
          <t>TU-B14</t>
        </is>
      </c>
      <c r="F479" s="99" t="inlineStr">
        <is>
          <t>TU-B14/S2</t>
        </is>
      </c>
      <c r="G479" s="99" t="n">
        <v>4</v>
      </c>
      <c r="H479" s="99" t="inlineStr">
        <is>
          <t>TR-B2</t>
        </is>
      </c>
      <c r="I479" s="99" t="n">
        <v>18</v>
      </c>
      <c r="J479" s="99" t="inlineStr">
        <is>
          <t>Ống 3 Xanh lá / Trắng</t>
        </is>
      </c>
      <c r="K479" s="99" t="inlineStr">
        <is>
          <t>S4-14</t>
        </is>
      </c>
      <c r="L479" s="99" t="inlineStr">
        <is>
          <t>B-21</t>
        </is>
      </c>
      <c r="M479" s="99" t="inlineStr">
        <is>
          <t>PON-14</t>
        </is>
      </c>
      <c r="N479" s="99" t="inlineStr">
        <is>
          <t>Chưa lắp</t>
        </is>
      </c>
      <c r="O479" s="149" t="n"/>
      <c r="P479" s="150" t="n"/>
      <c r="Q479" s="13">
        <f>M479&amp;" &gt; P96#"&amp;U479&amp;" &gt; "&amp;K479&amp;" &gt; P96#"&amp;L479&amp;" &gt; "&amp;R479&amp;" "&amp;S479&amp;" "&amp;T479&amp;" &gt; "&amp;H479&amp;"#"&amp;I479&amp;" &gt; "&amp;F479&amp;" p"&amp;G479</f>
        <v/>
      </c>
      <c r="R479" s="9" t="inlineStr">
        <is>
          <t>ODF-08/09</t>
        </is>
      </c>
      <c r="S479" s="9" t="inlineStr">
        <is>
          <t>Phải</t>
        </is>
      </c>
      <c r="T479" s="9" t="inlineStr">
        <is>
          <t>H3-C6</t>
        </is>
      </c>
      <c r="U479" s="9" t="inlineStr">
        <is>
          <t>B-42</t>
        </is>
      </c>
    </row>
    <row r="480">
      <c r="A480" s="149" t="inlineStr">
        <is>
          <t>B-14-05</t>
        </is>
      </c>
      <c r="B480" s="99" t="inlineStr">
        <is>
          <t>B</t>
        </is>
      </c>
      <c r="C480" s="99" t="inlineStr">
        <is>
          <t>14</t>
        </is>
      </c>
      <c r="D480" s="99" t="n">
        <v>5</v>
      </c>
      <c r="E480" s="99" t="inlineStr">
        <is>
          <t>TU-B14</t>
        </is>
      </c>
      <c r="F480" s="99" t="inlineStr">
        <is>
          <t>TU-B14/S2</t>
        </is>
      </c>
      <c r="G480" s="99" t="n">
        <v>5</v>
      </c>
      <c r="H480" s="99" t="inlineStr">
        <is>
          <t>TR-B2</t>
        </is>
      </c>
      <c r="I480" s="99" t="n">
        <v>18</v>
      </c>
      <c r="J480" s="99" t="inlineStr">
        <is>
          <t>Ống 3 Xanh lá / Trắng</t>
        </is>
      </c>
      <c r="K480" s="99" t="inlineStr">
        <is>
          <t>S4-14</t>
        </is>
      </c>
      <c r="L480" s="99" t="inlineStr">
        <is>
          <t>B-21</t>
        </is>
      </c>
      <c r="M480" s="99" t="inlineStr">
        <is>
          <t>PON-14</t>
        </is>
      </c>
      <c r="N480" s="99" t="inlineStr">
        <is>
          <t>Chưa lắp</t>
        </is>
      </c>
      <c r="O480" s="149" t="n"/>
      <c r="P480" s="150" t="n"/>
      <c r="Q480" s="13">
        <f>M480&amp;" &gt; P96#"&amp;U480&amp;" &gt; "&amp;K480&amp;" &gt; P96#"&amp;L480&amp;" &gt; "&amp;R480&amp;" "&amp;S480&amp;" "&amp;T480&amp;" &gt; "&amp;H480&amp;"#"&amp;I480&amp;" &gt; "&amp;F480&amp;" p"&amp;G480</f>
        <v/>
      </c>
      <c r="R480" s="9" t="inlineStr">
        <is>
          <t>ODF-08/09</t>
        </is>
      </c>
      <c r="S480" s="9" t="inlineStr">
        <is>
          <t>Phải</t>
        </is>
      </c>
      <c r="T480" s="9" t="inlineStr">
        <is>
          <t>H3-C6</t>
        </is>
      </c>
      <c r="U480" s="9" t="inlineStr">
        <is>
          <t>B-42</t>
        </is>
      </c>
    </row>
    <row r="481">
      <c r="A481" s="149" t="inlineStr">
        <is>
          <t>B-14-06</t>
        </is>
      </c>
      <c r="B481" s="99" t="inlineStr">
        <is>
          <t>B</t>
        </is>
      </c>
      <c r="C481" s="99" t="inlineStr">
        <is>
          <t>14</t>
        </is>
      </c>
      <c r="D481" s="99" t="n">
        <v>6</v>
      </c>
      <c r="E481" s="99" t="inlineStr">
        <is>
          <t>TU-B14</t>
        </is>
      </c>
      <c r="F481" s="99" t="inlineStr">
        <is>
          <t>TU-B14/S2</t>
        </is>
      </c>
      <c r="G481" s="99" t="n">
        <v>6</v>
      </c>
      <c r="H481" s="99" t="inlineStr">
        <is>
          <t>TR-B2</t>
        </is>
      </c>
      <c r="I481" s="99" t="n">
        <v>18</v>
      </c>
      <c r="J481" s="99" t="inlineStr">
        <is>
          <t>Ống 3 Xanh lá / Trắng</t>
        </is>
      </c>
      <c r="K481" s="99" t="inlineStr">
        <is>
          <t>S4-14</t>
        </is>
      </c>
      <c r="L481" s="99" t="inlineStr">
        <is>
          <t>B-21</t>
        </is>
      </c>
      <c r="M481" s="99" t="inlineStr">
        <is>
          <t>PON-14</t>
        </is>
      </c>
      <c r="N481" s="99" t="inlineStr">
        <is>
          <t>Chưa lắp</t>
        </is>
      </c>
      <c r="O481" s="149" t="n"/>
      <c r="P481" s="150" t="n"/>
      <c r="Q481" s="13">
        <f>M481&amp;" &gt; P96#"&amp;U481&amp;" &gt; "&amp;K481&amp;" &gt; P96#"&amp;L481&amp;" &gt; "&amp;R481&amp;" "&amp;S481&amp;" "&amp;T481&amp;" &gt; "&amp;H481&amp;"#"&amp;I481&amp;" &gt; "&amp;F481&amp;" p"&amp;G481</f>
        <v/>
      </c>
      <c r="R481" s="9" t="inlineStr">
        <is>
          <t>ODF-08/09</t>
        </is>
      </c>
      <c r="S481" s="9" t="inlineStr">
        <is>
          <t>Phải</t>
        </is>
      </c>
      <c r="T481" s="9" t="inlineStr">
        <is>
          <t>H3-C6</t>
        </is>
      </c>
      <c r="U481" s="9" t="inlineStr">
        <is>
          <t>B-42</t>
        </is>
      </c>
    </row>
    <row r="482">
      <c r="A482" s="149" t="inlineStr">
        <is>
          <t>B-14-07</t>
        </is>
      </c>
      <c r="B482" s="99" t="inlineStr">
        <is>
          <t>B</t>
        </is>
      </c>
      <c r="C482" s="99" t="inlineStr">
        <is>
          <t>14</t>
        </is>
      </c>
      <c r="D482" s="99" t="n">
        <v>7</v>
      </c>
      <c r="E482" s="99" t="inlineStr">
        <is>
          <t>TU-B14</t>
        </is>
      </c>
      <c r="F482" s="99" t="inlineStr">
        <is>
          <t>TU-B14/S2</t>
        </is>
      </c>
      <c r="G482" s="99" t="n">
        <v>7</v>
      </c>
      <c r="H482" s="99" t="inlineStr">
        <is>
          <t>TR-B2</t>
        </is>
      </c>
      <c r="I482" s="99" t="n">
        <v>18</v>
      </c>
      <c r="J482" s="99" t="inlineStr">
        <is>
          <t>Ống 3 Xanh lá / Trắng</t>
        </is>
      </c>
      <c r="K482" s="99" t="inlineStr">
        <is>
          <t>S4-14</t>
        </is>
      </c>
      <c r="L482" s="99" t="inlineStr">
        <is>
          <t>B-21</t>
        </is>
      </c>
      <c r="M482" s="99" t="inlineStr">
        <is>
          <t>PON-14</t>
        </is>
      </c>
      <c r="N482" s="99" t="inlineStr">
        <is>
          <t>Chưa lắp</t>
        </is>
      </c>
      <c r="O482" s="149" t="n"/>
      <c r="P482" s="150" t="n"/>
      <c r="Q482" s="13">
        <f>M482&amp;" &gt; P96#"&amp;U482&amp;" &gt; "&amp;K482&amp;" &gt; P96#"&amp;L482&amp;" &gt; "&amp;R482&amp;" "&amp;S482&amp;" "&amp;T482&amp;" &gt; "&amp;H482&amp;"#"&amp;I482&amp;" &gt; "&amp;F482&amp;" p"&amp;G482</f>
        <v/>
      </c>
      <c r="R482" s="9" t="inlineStr">
        <is>
          <t>ODF-08/09</t>
        </is>
      </c>
      <c r="S482" s="9" t="inlineStr">
        <is>
          <t>Phải</t>
        </is>
      </c>
      <c r="T482" s="9" t="inlineStr">
        <is>
          <t>H3-C6</t>
        </is>
      </c>
      <c r="U482" s="9" t="inlineStr">
        <is>
          <t>B-42</t>
        </is>
      </c>
    </row>
    <row r="483">
      <c r="A483" s="149" t="inlineStr">
        <is>
          <t>B-14-08</t>
        </is>
      </c>
      <c r="B483" s="99" t="inlineStr">
        <is>
          <t>B</t>
        </is>
      </c>
      <c r="C483" s="99" t="inlineStr">
        <is>
          <t>14</t>
        </is>
      </c>
      <c r="D483" s="99" t="n">
        <v>8</v>
      </c>
      <c r="E483" s="99" t="inlineStr">
        <is>
          <t>TU-B14</t>
        </is>
      </c>
      <c r="F483" s="99" t="inlineStr">
        <is>
          <t>TU-B14/S2</t>
        </is>
      </c>
      <c r="G483" s="99" t="n">
        <v>8</v>
      </c>
      <c r="H483" s="99" t="inlineStr">
        <is>
          <t>TR-B2</t>
        </is>
      </c>
      <c r="I483" s="99" t="n">
        <v>18</v>
      </c>
      <c r="J483" s="99" t="inlineStr">
        <is>
          <t>Ống 3 Xanh lá / Trắng</t>
        </is>
      </c>
      <c r="K483" s="99" t="inlineStr">
        <is>
          <t>S4-14</t>
        </is>
      </c>
      <c r="L483" s="99" t="inlineStr">
        <is>
          <t>B-21</t>
        </is>
      </c>
      <c r="M483" s="99" t="inlineStr">
        <is>
          <t>PON-14</t>
        </is>
      </c>
      <c r="N483" s="99" t="inlineStr">
        <is>
          <t>Chưa lắp</t>
        </is>
      </c>
      <c r="O483" s="149" t="n"/>
      <c r="P483" s="150" t="n"/>
      <c r="Q483" s="13">
        <f>M483&amp;" &gt; P96#"&amp;U483&amp;" &gt; "&amp;K483&amp;" &gt; P96#"&amp;L483&amp;" &gt; "&amp;R483&amp;" "&amp;S483&amp;" "&amp;T483&amp;" &gt; "&amp;H483&amp;"#"&amp;I483&amp;" &gt; "&amp;F483&amp;" p"&amp;G483</f>
        <v/>
      </c>
      <c r="R483" s="9" t="inlineStr">
        <is>
          <t>ODF-08/09</t>
        </is>
      </c>
      <c r="S483" s="9" t="inlineStr">
        <is>
          <t>Phải</t>
        </is>
      </c>
      <c r="T483" s="9" t="inlineStr">
        <is>
          <t>H3-C6</t>
        </is>
      </c>
      <c r="U483" s="9" t="inlineStr">
        <is>
          <t>B-42</t>
        </is>
      </c>
    </row>
    <row r="484">
      <c r="A484" s="149" t="inlineStr">
        <is>
          <t>B-14-09</t>
        </is>
      </c>
      <c r="B484" s="99" t="inlineStr">
        <is>
          <t>B</t>
        </is>
      </c>
      <c r="C484" s="99" t="inlineStr">
        <is>
          <t>14</t>
        </is>
      </c>
      <c r="D484" s="99" t="n">
        <v>9</v>
      </c>
      <c r="E484" s="99" t="inlineStr">
        <is>
          <t>TU-B14</t>
        </is>
      </c>
      <c r="F484" s="99" t="inlineStr">
        <is>
          <t>TU-B14/S2</t>
        </is>
      </c>
      <c r="G484" s="99" t="n">
        <v>9</v>
      </c>
      <c r="H484" s="99" t="inlineStr">
        <is>
          <t>TR-B2</t>
        </is>
      </c>
      <c r="I484" s="99" t="n">
        <v>18</v>
      </c>
      <c r="J484" s="99" t="inlineStr">
        <is>
          <t>Ống 3 Xanh lá / Trắng</t>
        </is>
      </c>
      <c r="K484" s="99" t="inlineStr">
        <is>
          <t>S4-14</t>
        </is>
      </c>
      <c r="L484" s="99" t="inlineStr">
        <is>
          <t>B-21</t>
        </is>
      </c>
      <c r="M484" s="99" t="inlineStr">
        <is>
          <t>PON-14</t>
        </is>
      </c>
      <c r="N484" s="99" t="inlineStr">
        <is>
          <t>Chưa lắp</t>
        </is>
      </c>
      <c r="O484" s="149" t="n"/>
      <c r="P484" s="150" t="n"/>
      <c r="Q484" s="13">
        <f>M484&amp;" &gt; P96#"&amp;U484&amp;" &gt; "&amp;K484&amp;" &gt; P96#"&amp;L484&amp;" &gt; "&amp;R484&amp;" "&amp;S484&amp;" "&amp;T484&amp;" &gt; "&amp;H484&amp;"#"&amp;I484&amp;" &gt; "&amp;F484&amp;" p"&amp;G484</f>
        <v/>
      </c>
      <c r="R484" s="9" t="inlineStr">
        <is>
          <t>ODF-08/09</t>
        </is>
      </c>
      <c r="S484" s="9" t="inlineStr">
        <is>
          <t>Phải</t>
        </is>
      </c>
      <c r="T484" s="9" t="inlineStr">
        <is>
          <t>H3-C6</t>
        </is>
      </c>
      <c r="U484" s="9" t="inlineStr">
        <is>
          <t>B-42</t>
        </is>
      </c>
    </row>
    <row r="485">
      <c r="A485" s="149" t="inlineStr">
        <is>
          <t>B-14-10</t>
        </is>
      </c>
      <c r="B485" s="99" t="inlineStr">
        <is>
          <t>B</t>
        </is>
      </c>
      <c r="C485" s="99" t="inlineStr">
        <is>
          <t>14</t>
        </is>
      </c>
      <c r="D485" s="99" t="n">
        <v>10</v>
      </c>
      <c r="E485" s="99" t="inlineStr">
        <is>
          <t>TU-B14</t>
        </is>
      </c>
      <c r="F485" s="99" t="inlineStr">
        <is>
          <t>TU-B14/S2</t>
        </is>
      </c>
      <c r="G485" s="99" t="n">
        <v>10</v>
      </c>
      <c r="H485" s="99" t="inlineStr">
        <is>
          <t>TR-B2</t>
        </is>
      </c>
      <c r="I485" s="99" t="n">
        <v>18</v>
      </c>
      <c r="J485" s="99" t="inlineStr">
        <is>
          <t>Ống 3 Xanh lá / Trắng</t>
        </is>
      </c>
      <c r="K485" s="99" t="inlineStr">
        <is>
          <t>S4-14</t>
        </is>
      </c>
      <c r="L485" s="99" t="inlineStr">
        <is>
          <t>B-21</t>
        </is>
      </c>
      <c r="M485" s="99" t="inlineStr">
        <is>
          <t>PON-14</t>
        </is>
      </c>
      <c r="N485" s="99" t="inlineStr">
        <is>
          <t>Chưa lắp</t>
        </is>
      </c>
      <c r="O485" s="149" t="n"/>
      <c r="P485" s="150" t="n"/>
      <c r="Q485" s="13">
        <f>M485&amp;" &gt; P96#"&amp;U485&amp;" &gt; "&amp;K485&amp;" &gt; P96#"&amp;L485&amp;" &gt; "&amp;R485&amp;" "&amp;S485&amp;" "&amp;T485&amp;" &gt; "&amp;H485&amp;"#"&amp;I485&amp;" &gt; "&amp;F485&amp;" p"&amp;G485</f>
        <v/>
      </c>
      <c r="R485" s="9" t="inlineStr">
        <is>
          <t>ODF-08/09</t>
        </is>
      </c>
      <c r="S485" s="9" t="inlineStr">
        <is>
          <t>Phải</t>
        </is>
      </c>
      <c r="T485" s="9" t="inlineStr">
        <is>
          <t>H3-C6</t>
        </is>
      </c>
      <c r="U485" s="9" t="inlineStr">
        <is>
          <t>B-42</t>
        </is>
      </c>
    </row>
    <row r="486">
      <c r="A486" s="149" t="inlineStr">
        <is>
          <t>B-14-11</t>
        </is>
      </c>
      <c r="B486" s="99" t="inlineStr">
        <is>
          <t>B</t>
        </is>
      </c>
      <c r="C486" s="99" t="inlineStr">
        <is>
          <t>14</t>
        </is>
      </c>
      <c r="D486" s="99" t="n">
        <v>11</v>
      </c>
      <c r="E486" s="99" t="inlineStr">
        <is>
          <t>TU-B14</t>
        </is>
      </c>
      <c r="F486" s="99" t="inlineStr">
        <is>
          <t>TU-B14/S2</t>
        </is>
      </c>
      <c r="G486" s="99" t="n">
        <v>11</v>
      </c>
      <c r="H486" s="99" t="inlineStr">
        <is>
          <t>TR-B2</t>
        </is>
      </c>
      <c r="I486" s="99" t="n">
        <v>18</v>
      </c>
      <c r="J486" s="99" t="inlineStr">
        <is>
          <t>Ống 3 Xanh lá / Trắng</t>
        </is>
      </c>
      <c r="K486" s="99" t="inlineStr">
        <is>
          <t>S4-14</t>
        </is>
      </c>
      <c r="L486" s="99" t="inlineStr">
        <is>
          <t>B-21</t>
        </is>
      </c>
      <c r="M486" s="99" t="inlineStr">
        <is>
          <t>PON-14</t>
        </is>
      </c>
      <c r="N486" s="99" t="inlineStr">
        <is>
          <t>Chưa lắp</t>
        </is>
      </c>
      <c r="O486" s="149" t="n"/>
      <c r="P486" s="150" t="n"/>
      <c r="Q486" s="13">
        <f>M486&amp;" &gt; P96#"&amp;U486&amp;" &gt; "&amp;K486&amp;" &gt; P96#"&amp;L486&amp;" &gt; "&amp;R486&amp;" "&amp;S486&amp;" "&amp;T486&amp;" &gt; "&amp;H486&amp;"#"&amp;I486&amp;" &gt; "&amp;F486&amp;" p"&amp;G486</f>
        <v/>
      </c>
      <c r="R486" s="9" t="inlineStr">
        <is>
          <t>ODF-08/09</t>
        </is>
      </c>
      <c r="S486" s="9" t="inlineStr">
        <is>
          <t>Phải</t>
        </is>
      </c>
      <c r="T486" s="9" t="inlineStr">
        <is>
          <t>H3-C6</t>
        </is>
      </c>
      <c r="U486" s="9" t="inlineStr">
        <is>
          <t>B-42</t>
        </is>
      </c>
    </row>
    <row r="487">
      <c r="A487" s="149" t="inlineStr">
        <is>
          <t>B-14-12</t>
        </is>
      </c>
      <c r="B487" s="99" t="inlineStr">
        <is>
          <t>B</t>
        </is>
      </c>
      <c r="C487" s="99" t="inlineStr">
        <is>
          <t>14</t>
        </is>
      </c>
      <c r="D487" s="99" t="n">
        <v>12</v>
      </c>
      <c r="E487" s="99" t="inlineStr">
        <is>
          <t>TU-B14</t>
        </is>
      </c>
      <c r="F487" s="99" t="inlineStr">
        <is>
          <t>TU-B14/S2</t>
        </is>
      </c>
      <c r="G487" s="99" t="n">
        <v>12</v>
      </c>
      <c r="H487" s="99" t="inlineStr">
        <is>
          <t>TR-B2</t>
        </is>
      </c>
      <c r="I487" s="99" t="n">
        <v>18</v>
      </c>
      <c r="J487" s="99" t="inlineStr">
        <is>
          <t>Ống 3 Xanh lá / Trắng</t>
        </is>
      </c>
      <c r="K487" s="99" t="inlineStr">
        <is>
          <t>S4-14</t>
        </is>
      </c>
      <c r="L487" s="99" t="inlineStr">
        <is>
          <t>B-21</t>
        </is>
      </c>
      <c r="M487" s="99" t="inlineStr">
        <is>
          <t>PON-14</t>
        </is>
      </c>
      <c r="N487" s="99" t="inlineStr">
        <is>
          <t>Chưa lắp</t>
        </is>
      </c>
      <c r="O487" s="149" t="n"/>
      <c r="P487" s="150" t="n"/>
      <c r="Q487" s="13">
        <f>M487&amp;" &gt; P96#"&amp;U487&amp;" &gt; "&amp;K487&amp;" &gt; P96#"&amp;L487&amp;" &gt; "&amp;R487&amp;" "&amp;S487&amp;" "&amp;T487&amp;" &gt; "&amp;H487&amp;"#"&amp;I487&amp;" &gt; "&amp;F487&amp;" p"&amp;G487</f>
        <v/>
      </c>
      <c r="R487" s="9" t="inlineStr">
        <is>
          <t>ODF-08/09</t>
        </is>
      </c>
      <c r="S487" s="9" t="inlineStr">
        <is>
          <t>Phải</t>
        </is>
      </c>
      <c r="T487" s="9" t="inlineStr">
        <is>
          <t>H3-C6</t>
        </is>
      </c>
      <c r="U487" s="9" t="inlineStr">
        <is>
          <t>B-42</t>
        </is>
      </c>
    </row>
    <row r="488">
      <c r="A488" s="149" t="inlineStr">
        <is>
          <t>B-14-13</t>
        </is>
      </c>
      <c r="B488" s="99" t="inlineStr">
        <is>
          <t>B</t>
        </is>
      </c>
      <c r="C488" s="99" t="inlineStr">
        <is>
          <t>14</t>
        </is>
      </c>
      <c r="D488" s="99" t="n">
        <v>13</v>
      </c>
      <c r="E488" s="99" t="inlineStr">
        <is>
          <t>TU-B14</t>
        </is>
      </c>
      <c r="F488" s="99" t="inlineStr">
        <is>
          <t>TU-B14/S2</t>
        </is>
      </c>
      <c r="G488" s="99" t="n">
        <v>13</v>
      </c>
      <c r="H488" s="99" t="inlineStr">
        <is>
          <t>TR-B2</t>
        </is>
      </c>
      <c r="I488" s="99" t="n">
        <v>18</v>
      </c>
      <c r="J488" s="99" t="inlineStr">
        <is>
          <t>Ống 3 Xanh lá / Trắng</t>
        </is>
      </c>
      <c r="K488" s="99" t="inlineStr">
        <is>
          <t>S4-14</t>
        </is>
      </c>
      <c r="L488" s="99" t="inlineStr">
        <is>
          <t>B-21</t>
        </is>
      </c>
      <c r="M488" s="99" t="inlineStr">
        <is>
          <t>PON-14</t>
        </is>
      </c>
      <c r="N488" s="99" t="inlineStr">
        <is>
          <t>Chưa lắp</t>
        </is>
      </c>
      <c r="O488" s="149" t="n"/>
      <c r="P488" s="150" t="n"/>
      <c r="Q488" s="13">
        <f>M488&amp;" &gt; P96#"&amp;U488&amp;" &gt; "&amp;K488&amp;" &gt; P96#"&amp;L488&amp;" &gt; "&amp;R488&amp;" "&amp;S488&amp;" "&amp;T488&amp;" &gt; "&amp;H488&amp;"#"&amp;I488&amp;" &gt; "&amp;F488&amp;" p"&amp;G488</f>
        <v/>
      </c>
      <c r="R488" s="9" t="inlineStr">
        <is>
          <t>ODF-08/09</t>
        </is>
      </c>
      <c r="S488" s="9" t="inlineStr">
        <is>
          <t>Phải</t>
        </is>
      </c>
      <c r="T488" s="9" t="inlineStr">
        <is>
          <t>H3-C6</t>
        </is>
      </c>
      <c r="U488" s="9" t="inlineStr">
        <is>
          <t>B-42</t>
        </is>
      </c>
    </row>
    <row r="489">
      <c r="A489" s="149" t="inlineStr">
        <is>
          <t>B-14-14</t>
        </is>
      </c>
      <c r="B489" s="99" t="inlineStr">
        <is>
          <t>B</t>
        </is>
      </c>
      <c r="C489" s="99" t="inlineStr">
        <is>
          <t>14</t>
        </is>
      </c>
      <c r="D489" s="99" t="n">
        <v>14</v>
      </c>
      <c r="E489" s="99" t="inlineStr">
        <is>
          <t>TU-B14</t>
        </is>
      </c>
      <c r="F489" s="99" t="inlineStr">
        <is>
          <t>TU-B14/S2</t>
        </is>
      </c>
      <c r="G489" s="99" t="n">
        <v>14</v>
      </c>
      <c r="H489" s="99" t="inlineStr">
        <is>
          <t>TR-B2</t>
        </is>
      </c>
      <c r="I489" s="99" t="n">
        <v>18</v>
      </c>
      <c r="J489" s="99" t="inlineStr">
        <is>
          <t>Ống 3 Xanh lá / Trắng</t>
        </is>
      </c>
      <c r="K489" s="99" t="inlineStr">
        <is>
          <t>S4-14</t>
        </is>
      </c>
      <c r="L489" s="99" t="inlineStr">
        <is>
          <t>B-21</t>
        </is>
      </c>
      <c r="M489" s="99" t="inlineStr">
        <is>
          <t>PON-14</t>
        </is>
      </c>
      <c r="N489" s="99" t="inlineStr">
        <is>
          <t>Chưa lắp</t>
        </is>
      </c>
      <c r="O489" s="149" t="n"/>
      <c r="P489" s="150" t="n"/>
      <c r="Q489" s="13">
        <f>M489&amp;" &gt; P96#"&amp;U489&amp;" &gt; "&amp;K489&amp;" &gt; P96#"&amp;L489&amp;" &gt; "&amp;R489&amp;" "&amp;S489&amp;" "&amp;T489&amp;" &gt; "&amp;H489&amp;"#"&amp;I489&amp;" &gt; "&amp;F489&amp;" p"&amp;G489</f>
        <v/>
      </c>
      <c r="R489" s="9" t="inlineStr">
        <is>
          <t>ODF-08/09</t>
        </is>
      </c>
      <c r="S489" s="9" t="inlineStr">
        <is>
          <t>Phải</t>
        </is>
      </c>
      <c r="T489" s="9" t="inlineStr">
        <is>
          <t>H3-C6</t>
        </is>
      </c>
      <c r="U489" s="9" t="inlineStr">
        <is>
          <t>B-42</t>
        </is>
      </c>
    </row>
    <row r="490">
      <c r="A490" s="149" t="inlineStr">
        <is>
          <t>B-12A-01</t>
        </is>
      </c>
      <c r="B490" s="99" t="inlineStr">
        <is>
          <t>B</t>
        </is>
      </c>
      <c r="C490" s="99" t="inlineStr">
        <is>
          <t>12A</t>
        </is>
      </c>
      <c r="D490" s="99" t="n">
        <v>1</v>
      </c>
      <c r="E490" s="99" t="inlineStr">
        <is>
          <t>TU-B14</t>
        </is>
      </c>
      <c r="F490" s="99" t="inlineStr">
        <is>
          <t>TU-B14/S1</t>
        </is>
      </c>
      <c r="G490" s="99" t="n">
        <v>1</v>
      </c>
      <c r="H490" s="99" t="inlineStr">
        <is>
          <t>TR-B2</t>
        </is>
      </c>
      <c r="I490" s="99" t="n">
        <v>17</v>
      </c>
      <c r="J490" s="99" t="inlineStr">
        <is>
          <t>Ống 3 Xanh lá / Xám</t>
        </is>
      </c>
      <c r="K490" s="99" t="inlineStr">
        <is>
          <t>S4-13</t>
        </is>
      </c>
      <c r="L490" s="99" t="inlineStr">
        <is>
          <t>B-19</t>
        </is>
      </c>
      <c r="M490" s="99" t="inlineStr">
        <is>
          <t>PON-13</t>
        </is>
      </c>
      <c r="N490" s="99" t="inlineStr">
        <is>
          <t>Chưa lắp</t>
        </is>
      </c>
      <c r="O490" s="149" t="n"/>
      <c r="P490" s="150" t="n"/>
      <c r="Q490" s="13">
        <f>M490&amp;" &gt; P96#"&amp;U490&amp;" &gt; "&amp;K490&amp;" &gt; P96#"&amp;L490&amp;" &gt; "&amp;R490&amp;" "&amp;S490&amp;" "&amp;T490&amp;" &gt; "&amp;H490&amp;"#"&amp;I490&amp;" &gt; "&amp;F490&amp;" p"&amp;G490</f>
        <v/>
      </c>
      <c r="R490" s="9" t="inlineStr">
        <is>
          <t>ODF-08/09</t>
        </is>
      </c>
      <c r="S490" s="9" t="inlineStr">
        <is>
          <t>Phải</t>
        </is>
      </c>
      <c r="T490" s="9" t="inlineStr">
        <is>
          <t>H3-C5</t>
        </is>
      </c>
      <c r="U490" s="9" t="inlineStr">
        <is>
          <t>B-41</t>
        </is>
      </c>
    </row>
    <row r="491">
      <c r="A491" s="149" t="inlineStr">
        <is>
          <t>B-12A-02</t>
        </is>
      </c>
      <c r="B491" s="99" t="inlineStr">
        <is>
          <t>B</t>
        </is>
      </c>
      <c r="C491" s="99" t="inlineStr">
        <is>
          <t>12A</t>
        </is>
      </c>
      <c r="D491" s="99" t="n">
        <v>2</v>
      </c>
      <c r="E491" s="99" t="inlineStr">
        <is>
          <t>TU-B14</t>
        </is>
      </c>
      <c r="F491" s="99" t="inlineStr">
        <is>
          <t>TU-B14/S1</t>
        </is>
      </c>
      <c r="G491" s="99" t="n">
        <v>2</v>
      </c>
      <c r="H491" s="99" t="inlineStr">
        <is>
          <t>TR-B2</t>
        </is>
      </c>
      <c r="I491" s="99" t="n">
        <v>17</v>
      </c>
      <c r="J491" s="99" t="inlineStr">
        <is>
          <t>Ống 3 Xanh lá / Xám</t>
        </is>
      </c>
      <c r="K491" s="99" t="inlineStr">
        <is>
          <t>S4-13</t>
        </is>
      </c>
      <c r="L491" s="99" t="inlineStr">
        <is>
          <t>B-19</t>
        </is>
      </c>
      <c r="M491" s="99" t="inlineStr">
        <is>
          <t>PON-13</t>
        </is>
      </c>
      <c r="N491" s="99" t="inlineStr">
        <is>
          <t>Chưa lắp</t>
        </is>
      </c>
      <c r="O491" s="149" t="n"/>
      <c r="P491" s="150" t="n"/>
      <c r="Q491" s="13">
        <f>M491&amp;" &gt; P96#"&amp;U491&amp;" &gt; "&amp;K491&amp;" &gt; P96#"&amp;L491&amp;" &gt; "&amp;R491&amp;" "&amp;S491&amp;" "&amp;T491&amp;" &gt; "&amp;H491&amp;"#"&amp;I491&amp;" &gt; "&amp;F491&amp;" p"&amp;G491</f>
        <v/>
      </c>
      <c r="R491" s="9" t="inlineStr">
        <is>
          <t>ODF-08/09</t>
        </is>
      </c>
      <c r="S491" s="9" t="inlineStr">
        <is>
          <t>Phải</t>
        </is>
      </c>
      <c r="T491" s="9" t="inlineStr">
        <is>
          <t>H3-C5</t>
        </is>
      </c>
      <c r="U491" s="9" t="inlineStr">
        <is>
          <t>B-41</t>
        </is>
      </c>
    </row>
    <row r="492">
      <c r="A492" s="151" t="inlineStr">
        <is>
          <t>B-12A-03</t>
        </is>
      </c>
      <c r="B492" s="102" t="inlineStr">
        <is>
          <t>B</t>
        </is>
      </c>
      <c r="C492" s="102" t="inlineStr">
        <is>
          <t>12A</t>
        </is>
      </c>
      <c r="D492" s="102" t="n">
        <v>3</v>
      </c>
      <c r="E492" s="102" t="inlineStr">
        <is>
          <t>TU-B14</t>
        </is>
      </c>
      <c r="F492" s="102" t="inlineStr">
        <is>
          <t>TU-B14/S1</t>
        </is>
      </c>
      <c r="G492" s="102" t="n">
        <v>3</v>
      </c>
      <c r="H492" s="102" t="inlineStr">
        <is>
          <t>TR-B2</t>
        </is>
      </c>
      <c r="I492" s="102" t="n">
        <v>17</v>
      </c>
      <c r="J492" s="102" t="inlineStr">
        <is>
          <t>Ống 3 Xanh lá / Xám</t>
        </is>
      </c>
      <c r="K492" s="102" t="inlineStr">
        <is>
          <t>S4-13</t>
        </is>
      </c>
      <c r="L492" s="102" t="inlineStr">
        <is>
          <t>B-19</t>
        </is>
      </c>
      <c r="M492" s="102" t="inlineStr">
        <is>
          <t>PON-13</t>
        </is>
      </c>
      <c r="N492" s="102" t="inlineStr">
        <is>
          <t>Chưa lắp</t>
        </is>
      </c>
      <c r="O492" s="151" t="n"/>
      <c r="P492" s="152" t="n"/>
      <c r="Q492" s="13">
        <f>M492&amp;" &gt; P96#"&amp;U492&amp;" &gt; "&amp;K492&amp;" &gt; P96#"&amp;L492&amp;" &gt; "&amp;R492&amp;" "&amp;S492&amp;" "&amp;T492&amp;" &gt; "&amp;H492&amp;"#"&amp;I492&amp;" &gt; "&amp;F492&amp;" p"&amp;G492</f>
        <v/>
      </c>
      <c r="R492" s="9" t="inlineStr">
        <is>
          <t>ODF-08/09</t>
        </is>
      </c>
      <c r="S492" s="9" t="inlineStr">
        <is>
          <t>Phải</t>
        </is>
      </c>
      <c r="T492" s="9" t="inlineStr">
        <is>
          <t>H3-C5</t>
        </is>
      </c>
      <c r="U492" s="9" t="inlineStr">
        <is>
          <t>B-41</t>
        </is>
      </c>
    </row>
    <row r="493">
      <c r="A493" s="151" t="inlineStr">
        <is>
          <t>B-12A-04</t>
        </is>
      </c>
      <c r="B493" s="102" t="inlineStr">
        <is>
          <t>B</t>
        </is>
      </c>
      <c r="C493" s="102" t="inlineStr">
        <is>
          <t>12A</t>
        </is>
      </c>
      <c r="D493" s="102" t="n">
        <v>4</v>
      </c>
      <c r="E493" s="102" t="inlineStr">
        <is>
          <t>TU-B14</t>
        </is>
      </c>
      <c r="F493" s="102" t="inlineStr">
        <is>
          <t>TU-B14/S1</t>
        </is>
      </c>
      <c r="G493" s="102" t="n">
        <v>4</v>
      </c>
      <c r="H493" s="102" t="inlineStr">
        <is>
          <t>TR-B2</t>
        </is>
      </c>
      <c r="I493" s="102" t="n">
        <v>17</v>
      </c>
      <c r="J493" s="102" t="inlineStr">
        <is>
          <t>Ống 3 Xanh lá / Xám</t>
        </is>
      </c>
      <c r="K493" s="102" t="inlineStr">
        <is>
          <t>S4-13</t>
        </is>
      </c>
      <c r="L493" s="102" t="inlineStr">
        <is>
          <t>B-19</t>
        </is>
      </c>
      <c r="M493" s="102" t="inlineStr">
        <is>
          <t>PON-13</t>
        </is>
      </c>
      <c r="N493" s="102" t="inlineStr">
        <is>
          <t>Chưa lắp</t>
        </is>
      </c>
      <c r="O493" s="151" t="n"/>
      <c r="P493" s="152" t="n"/>
      <c r="Q493" s="13">
        <f>M493&amp;" &gt; P96#"&amp;U493&amp;" &gt; "&amp;K493&amp;" &gt; P96#"&amp;L493&amp;" &gt; "&amp;R493&amp;" "&amp;S493&amp;" "&amp;T493&amp;" &gt; "&amp;H493&amp;"#"&amp;I493&amp;" &gt; "&amp;F493&amp;" p"&amp;G493</f>
        <v/>
      </c>
      <c r="R493" s="9" t="inlineStr">
        <is>
          <t>ODF-08/09</t>
        </is>
      </c>
      <c r="S493" s="9" t="inlineStr">
        <is>
          <t>Phải</t>
        </is>
      </c>
      <c r="T493" s="9" t="inlineStr">
        <is>
          <t>H3-C5</t>
        </is>
      </c>
      <c r="U493" s="9" t="inlineStr">
        <is>
          <t>B-41</t>
        </is>
      </c>
    </row>
    <row r="494">
      <c r="A494" s="151" t="inlineStr">
        <is>
          <t>B-12A-05</t>
        </is>
      </c>
      <c r="B494" s="102" t="inlineStr">
        <is>
          <t>B</t>
        </is>
      </c>
      <c r="C494" s="102" t="inlineStr">
        <is>
          <t>12A</t>
        </is>
      </c>
      <c r="D494" s="102" t="n">
        <v>5</v>
      </c>
      <c r="E494" s="102" t="inlineStr">
        <is>
          <t>TU-B14</t>
        </is>
      </c>
      <c r="F494" s="102" t="inlineStr">
        <is>
          <t>TU-B14/S1</t>
        </is>
      </c>
      <c r="G494" s="102" t="n">
        <v>5</v>
      </c>
      <c r="H494" s="102" t="inlineStr">
        <is>
          <t>TR-B2</t>
        </is>
      </c>
      <c r="I494" s="102" t="n">
        <v>17</v>
      </c>
      <c r="J494" s="102" t="inlineStr">
        <is>
          <t>Ống 3 Xanh lá / Xám</t>
        </is>
      </c>
      <c r="K494" s="102" t="inlineStr">
        <is>
          <t>S4-13</t>
        </is>
      </c>
      <c r="L494" s="102" t="inlineStr">
        <is>
          <t>B-19</t>
        </is>
      </c>
      <c r="M494" s="102" t="inlineStr">
        <is>
          <t>PON-13</t>
        </is>
      </c>
      <c r="N494" s="102" t="inlineStr">
        <is>
          <t>Chưa lắp</t>
        </is>
      </c>
      <c r="O494" s="151" t="n"/>
      <c r="P494" s="152" t="n"/>
      <c r="Q494" s="13">
        <f>M494&amp;" &gt; P96#"&amp;U494&amp;" &gt; "&amp;K494&amp;" &gt; P96#"&amp;L494&amp;" &gt; "&amp;R494&amp;" "&amp;S494&amp;" "&amp;T494&amp;" &gt; "&amp;H494&amp;"#"&amp;I494&amp;" &gt; "&amp;F494&amp;" p"&amp;G494</f>
        <v/>
      </c>
      <c r="R494" s="9" t="inlineStr">
        <is>
          <t>ODF-08/09</t>
        </is>
      </c>
      <c r="S494" s="9" t="inlineStr">
        <is>
          <t>Phải</t>
        </is>
      </c>
      <c r="T494" s="9" t="inlineStr">
        <is>
          <t>H3-C5</t>
        </is>
      </c>
      <c r="U494" s="9" t="inlineStr">
        <is>
          <t>B-41</t>
        </is>
      </c>
    </row>
    <row r="495">
      <c r="A495" s="151" t="inlineStr">
        <is>
          <t>B-12A-06</t>
        </is>
      </c>
      <c r="B495" s="102" t="inlineStr">
        <is>
          <t>B</t>
        </is>
      </c>
      <c r="C495" s="102" t="inlineStr">
        <is>
          <t>12A</t>
        </is>
      </c>
      <c r="D495" s="102" t="n">
        <v>6</v>
      </c>
      <c r="E495" s="102" t="inlineStr">
        <is>
          <t>TU-B14</t>
        </is>
      </c>
      <c r="F495" s="102" t="inlineStr">
        <is>
          <t>TU-B14/S1</t>
        </is>
      </c>
      <c r="G495" s="102" t="n">
        <v>6</v>
      </c>
      <c r="H495" s="102" t="inlineStr">
        <is>
          <t>TR-B2</t>
        </is>
      </c>
      <c r="I495" s="102" t="n">
        <v>17</v>
      </c>
      <c r="J495" s="102" t="inlineStr">
        <is>
          <t>Ống 3 Xanh lá / Xám</t>
        </is>
      </c>
      <c r="K495" s="102" t="inlineStr">
        <is>
          <t>S4-13</t>
        </is>
      </c>
      <c r="L495" s="102" t="inlineStr">
        <is>
          <t>B-19</t>
        </is>
      </c>
      <c r="M495" s="102" t="inlineStr">
        <is>
          <t>PON-13</t>
        </is>
      </c>
      <c r="N495" s="102" t="inlineStr">
        <is>
          <t>Chưa lắp</t>
        </is>
      </c>
      <c r="O495" s="151" t="n"/>
      <c r="P495" s="152" t="n"/>
      <c r="Q495" s="13">
        <f>M495&amp;" &gt; P96#"&amp;U495&amp;" &gt; "&amp;K495&amp;" &gt; P96#"&amp;L495&amp;" &gt; "&amp;R495&amp;" "&amp;S495&amp;" "&amp;T495&amp;" &gt; "&amp;H495&amp;"#"&amp;I495&amp;" &gt; "&amp;F495&amp;" p"&amp;G495</f>
        <v/>
      </c>
      <c r="R495" s="9" t="inlineStr">
        <is>
          <t>ODF-08/09</t>
        </is>
      </c>
      <c r="S495" s="9" t="inlineStr">
        <is>
          <t>Phải</t>
        </is>
      </c>
      <c r="T495" s="9" t="inlineStr">
        <is>
          <t>H3-C5</t>
        </is>
      </c>
      <c r="U495" s="9" t="inlineStr">
        <is>
          <t>B-41</t>
        </is>
      </c>
    </row>
    <row r="496">
      <c r="A496" s="151" t="inlineStr">
        <is>
          <t>B-12A-07</t>
        </is>
      </c>
      <c r="B496" s="102" t="inlineStr">
        <is>
          <t>B</t>
        </is>
      </c>
      <c r="C496" s="102" t="inlineStr">
        <is>
          <t>12A</t>
        </is>
      </c>
      <c r="D496" s="102" t="n">
        <v>7</v>
      </c>
      <c r="E496" s="102" t="inlineStr">
        <is>
          <t>TU-B14</t>
        </is>
      </c>
      <c r="F496" s="102" t="inlineStr">
        <is>
          <t>TU-B14/S1</t>
        </is>
      </c>
      <c r="G496" s="102" t="n">
        <v>7</v>
      </c>
      <c r="H496" s="102" t="inlineStr">
        <is>
          <t>TR-B2</t>
        </is>
      </c>
      <c r="I496" s="102" t="n">
        <v>17</v>
      </c>
      <c r="J496" s="102" t="inlineStr">
        <is>
          <t>Ống 3 Xanh lá / Xám</t>
        </is>
      </c>
      <c r="K496" s="102" t="inlineStr">
        <is>
          <t>S4-13</t>
        </is>
      </c>
      <c r="L496" s="102" t="inlineStr">
        <is>
          <t>B-19</t>
        </is>
      </c>
      <c r="M496" s="102" t="inlineStr">
        <is>
          <t>PON-13</t>
        </is>
      </c>
      <c r="N496" s="102" t="inlineStr">
        <is>
          <t>Chưa lắp</t>
        </is>
      </c>
      <c r="O496" s="151" t="n"/>
      <c r="P496" s="152" t="n"/>
      <c r="Q496" s="13">
        <f>M496&amp;" &gt; P96#"&amp;U496&amp;" &gt; "&amp;K496&amp;" &gt; P96#"&amp;L496&amp;" &gt; "&amp;R496&amp;" "&amp;S496&amp;" "&amp;T496&amp;" &gt; "&amp;H496&amp;"#"&amp;I496&amp;" &gt; "&amp;F496&amp;" p"&amp;G496</f>
        <v/>
      </c>
      <c r="R496" s="9" t="inlineStr">
        <is>
          <t>ODF-08/09</t>
        </is>
      </c>
      <c r="S496" s="9" t="inlineStr">
        <is>
          <t>Phải</t>
        </is>
      </c>
      <c r="T496" s="9" t="inlineStr">
        <is>
          <t>H3-C5</t>
        </is>
      </c>
      <c r="U496" s="9" t="inlineStr">
        <is>
          <t>B-41</t>
        </is>
      </c>
    </row>
    <row r="497">
      <c r="A497" s="151" t="inlineStr">
        <is>
          <t>B-12A-08</t>
        </is>
      </c>
      <c r="B497" s="102" t="inlineStr">
        <is>
          <t>B</t>
        </is>
      </c>
      <c r="C497" s="102" t="inlineStr">
        <is>
          <t>12A</t>
        </is>
      </c>
      <c r="D497" s="102" t="n">
        <v>8</v>
      </c>
      <c r="E497" s="102" t="inlineStr">
        <is>
          <t>TU-B14</t>
        </is>
      </c>
      <c r="F497" s="102" t="inlineStr">
        <is>
          <t>TU-B14/S1</t>
        </is>
      </c>
      <c r="G497" s="102" t="n">
        <v>8</v>
      </c>
      <c r="H497" s="102" t="inlineStr">
        <is>
          <t>TR-B2</t>
        </is>
      </c>
      <c r="I497" s="102" t="n">
        <v>17</v>
      </c>
      <c r="J497" s="102" t="inlineStr">
        <is>
          <t>Ống 3 Xanh lá / Xám</t>
        </is>
      </c>
      <c r="K497" s="102" t="inlineStr">
        <is>
          <t>S4-13</t>
        </is>
      </c>
      <c r="L497" s="102" t="inlineStr">
        <is>
          <t>B-19</t>
        </is>
      </c>
      <c r="M497" s="102" t="inlineStr">
        <is>
          <t>PON-13</t>
        </is>
      </c>
      <c r="N497" s="102" t="inlineStr">
        <is>
          <t>Chưa lắp</t>
        </is>
      </c>
      <c r="O497" s="151" t="n"/>
      <c r="P497" s="152" t="n"/>
      <c r="Q497" s="13">
        <f>M497&amp;" &gt; P96#"&amp;U497&amp;" &gt; "&amp;K497&amp;" &gt; P96#"&amp;L497&amp;" &gt; "&amp;R497&amp;" "&amp;S497&amp;" "&amp;T497&amp;" &gt; "&amp;H497&amp;"#"&amp;I497&amp;" &gt; "&amp;F497&amp;" p"&amp;G497</f>
        <v/>
      </c>
      <c r="R497" s="9" t="inlineStr">
        <is>
          <t>ODF-08/09</t>
        </is>
      </c>
      <c r="S497" s="9" t="inlineStr">
        <is>
          <t>Phải</t>
        </is>
      </c>
      <c r="T497" s="9" t="inlineStr">
        <is>
          <t>H3-C5</t>
        </is>
      </c>
      <c r="U497" s="9" t="inlineStr">
        <is>
          <t>B-41</t>
        </is>
      </c>
    </row>
    <row r="498">
      <c r="A498" s="151" t="inlineStr">
        <is>
          <t>B-12A-09</t>
        </is>
      </c>
      <c r="B498" s="102" t="inlineStr">
        <is>
          <t>B</t>
        </is>
      </c>
      <c r="C498" s="102" t="inlineStr">
        <is>
          <t>12A</t>
        </is>
      </c>
      <c r="D498" s="102" t="n">
        <v>9</v>
      </c>
      <c r="E498" s="102" t="inlineStr">
        <is>
          <t>TU-B14</t>
        </is>
      </c>
      <c r="F498" s="102" t="inlineStr">
        <is>
          <t>TU-B14/S1</t>
        </is>
      </c>
      <c r="G498" s="102" t="n">
        <v>9</v>
      </c>
      <c r="H498" s="102" t="inlineStr">
        <is>
          <t>TR-B2</t>
        </is>
      </c>
      <c r="I498" s="102" t="n">
        <v>17</v>
      </c>
      <c r="J498" s="102" t="inlineStr">
        <is>
          <t>Ống 3 Xanh lá / Xám</t>
        </is>
      </c>
      <c r="K498" s="102" t="inlineStr">
        <is>
          <t>S4-13</t>
        </is>
      </c>
      <c r="L498" s="102" t="inlineStr">
        <is>
          <t>B-19</t>
        </is>
      </c>
      <c r="M498" s="102" t="inlineStr">
        <is>
          <t>PON-13</t>
        </is>
      </c>
      <c r="N498" s="102" t="inlineStr">
        <is>
          <t>Chưa lắp</t>
        </is>
      </c>
      <c r="O498" s="151" t="n"/>
      <c r="P498" s="152" t="n"/>
      <c r="Q498" s="13">
        <f>M498&amp;" &gt; P96#"&amp;U498&amp;" &gt; "&amp;K498&amp;" &gt; P96#"&amp;L498&amp;" &gt; "&amp;R498&amp;" "&amp;S498&amp;" "&amp;T498&amp;" &gt; "&amp;H498&amp;"#"&amp;I498&amp;" &gt; "&amp;F498&amp;" p"&amp;G498</f>
        <v/>
      </c>
      <c r="R498" s="9" t="inlineStr">
        <is>
          <t>ODF-08/09</t>
        </is>
      </c>
      <c r="S498" s="9" t="inlineStr">
        <is>
          <t>Phải</t>
        </is>
      </c>
      <c r="T498" s="9" t="inlineStr">
        <is>
          <t>H3-C5</t>
        </is>
      </c>
      <c r="U498" s="9" t="inlineStr">
        <is>
          <t>B-41</t>
        </is>
      </c>
    </row>
    <row r="499">
      <c r="A499" s="151" t="inlineStr">
        <is>
          <t>B-12A-10</t>
        </is>
      </c>
      <c r="B499" s="102" t="inlineStr">
        <is>
          <t>B</t>
        </is>
      </c>
      <c r="C499" s="102" t="inlineStr">
        <is>
          <t>12A</t>
        </is>
      </c>
      <c r="D499" s="102" t="n">
        <v>10</v>
      </c>
      <c r="E499" s="102" t="inlineStr">
        <is>
          <t>TU-B14</t>
        </is>
      </c>
      <c r="F499" s="102" t="inlineStr">
        <is>
          <t>TU-B14/S1</t>
        </is>
      </c>
      <c r="G499" s="102" t="n">
        <v>10</v>
      </c>
      <c r="H499" s="102" t="inlineStr">
        <is>
          <t>TR-B2</t>
        </is>
      </c>
      <c r="I499" s="102" t="n">
        <v>17</v>
      </c>
      <c r="J499" s="102" t="inlineStr">
        <is>
          <t>Ống 3 Xanh lá / Xám</t>
        </is>
      </c>
      <c r="K499" s="102" t="inlineStr">
        <is>
          <t>S4-13</t>
        </is>
      </c>
      <c r="L499" s="102" t="inlineStr">
        <is>
          <t>B-19</t>
        </is>
      </c>
      <c r="M499" s="102" t="inlineStr">
        <is>
          <t>PON-13</t>
        </is>
      </c>
      <c r="N499" s="102" t="inlineStr">
        <is>
          <t>Chưa lắp</t>
        </is>
      </c>
      <c r="O499" s="151" t="n"/>
      <c r="P499" s="152" t="n"/>
      <c r="Q499" s="13">
        <f>M499&amp;" &gt; P96#"&amp;U499&amp;" &gt; "&amp;K499&amp;" &gt; P96#"&amp;L499&amp;" &gt; "&amp;R499&amp;" "&amp;S499&amp;" "&amp;T499&amp;" &gt; "&amp;H499&amp;"#"&amp;I499&amp;" &gt; "&amp;F499&amp;" p"&amp;G499</f>
        <v/>
      </c>
      <c r="R499" s="9" t="inlineStr">
        <is>
          <t>ODF-08/09</t>
        </is>
      </c>
      <c r="S499" s="9" t="inlineStr">
        <is>
          <t>Phải</t>
        </is>
      </c>
      <c r="T499" s="9" t="inlineStr">
        <is>
          <t>H3-C5</t>
        </is>
      </c>
      <c r="U499" s="9" t="inlineStr">
        <is>
          <t>B-41</t>
        </is>
      </c>
    </row>
    <row r="500">
      <c r="A500" s="151" t="inlineStr">
        <is>
          <t>B-12A-11</t>
        </is>
      </c>
      <c r="B500" s="102" t="inlineStr">
        <is>
          <t>B</t>
        </is>
      </c>
      <c r="C500" s="102" t="inlineStr">
        <is>
          <t>12A</t>
        </is>
      </c>
      <c r="D500" s="102" t="n">
        <v>11</v>
      </c>
      <c r="E500" s="102" t="inlineStr">
        <is>
          <t>TU-B14</t>
        </is>
      </c>
      <c r="F500" s="102" t="inlineStr">
        <is>
          <t>TU-B14/S1</t>
        </is>
      </c>
      <c r="G500" s="102" t="n">
        <v>11</v>
      </c>
      <c r="H500" s="102" t="inlineStr">
        <is>
          <t>TR-B2</t>
        </is>
      </c>
      <c r="I500" s="102" t="n">
        <v>17</v>
      </c>
      <c r="J500" s="102" t="inlineStr">
        <is>
          <t>Ống 3 Xanh lá / Xám</t>
        </is>
      </c>
      <c r="K500" s="102" t="inlineStr">
        <is>
          <t>S4-13</t>
        </is>
      </c>
      <c r="L500" s="102" t="inlineStr">
        <is>
          <t>B-19</t>
        </is>
      </c>
      <c r="M500" s="102" t="inlineStr">
        <is>
          <t>PON-13</t>
        </is>
      </c>
      <c r="N500" s="102" t="inlineStr">
        <is>
          <t>Chưa lắp</t>
        </is>
      </c>
      <c r="O500" s="151" t="n"/>
      <c r="P500" s="152" t="n"/>
      <c r="Q500" s="13">
        <f>M500&amp;" &gt; P96#"&amp;U500&amp;" &gt; "&amp;K500&amp;" &gt; P96#"&amp;L500&amp;" &gt; "&amp;R500&amp;" "&amp;S500&amp;" "&amp;T500&amp;" &gt; "&amp;H500&amp;"#"&amp;I500&amp;" &gt; "&amp;F500&amp;" p"&amp;G500</f>
        <v/>
      </c>
      <c r="R500" s="9" t="inlineStr">
        <is>
          <t>ODF-08/09</t>
        </is>
      </c>
      <c r="S500" s="9" t="inlineStr">
        <is>
          <t>Phải</t>
        </is>
      </c>
      <c r="T500" s="9" t="inlineStr">
        <is>
          <t>H3-C5</t>
        </is>
      </c>
      <c r="U500" s="9" t="inlineStr">
        <is>
          <t>B-41</t>
        </is>
      </c>
    </row>
    <row r="501">
      <c r="A501" s="151" t="inlineStr">
        <is>
          <t>B-12A-12</t>
        </is>
      </c>
      <c r="B501" s="102" t="inlineStr">
        <is>
          <t>B</t>
        </is>
      </c>
      <c r="C501" s="102" t="inlineStr">
        <is>
          <t>12A</t>
        </is>
      </c>
      <c r="D501" s="102" t="n">
        <v>12</v>
      </c>
      <c r="E501" s="102" t="inlineStr">
        <is>
          <t>TU-B14</t>
        </is>
      </c>
      <c r="F501" s="102" t="inlineStr">
        <is>
          <t>TU-B14/S1</t>
        </is>
      </c>
      <c r="G501" s="102" t="n">
        <v>12</v>
      </c>
      <c r="H501" s="102" t="inlineStr">
        <is>
          <t>TR-B2</t>
        </is>
      </c>
      <c r="I501" s="102" t="n">
        <v>17</v>
      </c>
      <c r="J501" s="102" t="inlineStr">
        <is>
          <t>Ống 3 Xanh lá / Xám</t>
        </is>
      </c>
      <c r="K501" s="102" t="inlineStr">
        <is>
          <t>S4-13</t>
        </is>
      </c>
      <c r="L501" s="102" t="inlineStr">
        <is>
          <t>B-19</t>
        </is>
      </c>
      <c r="M501" s="102" t="inlineStr">
        <is>
          <t>PON-13</t>
        </is>
      </c>
      <c r="N501" s="102" t="inlineStr">
        <is>
          <t>Chưa lắp</t>
        </is>
      </c>
      <c r="O501" s="151" t="n"/>
      <c r="P501" s="152" t="n"/>
      <c r="Q501" s="13">
        <f>M501&amp;" &gt; P96#"&amp;U501&amp;" &gt; "&amp;K501&amp;" &gt; P96#"&amp;L501&amp;" &gt; "&amp;R501&amp;" "&amp;S501&amp;" "&amp;T501&amp;" &gt; "&amp;H501&amp;"#"&amp;I501&amp;" &gt; "&amp;F501&amp;" p"&amp;G501</f>
        <v/>
      </c>
      <c r="R501" s="9" t="inlineStr">
        <is>
          <t>ODF-08/09</t>
        </is>
      </c>
      <c r="S501" s="9" t="inlineStr">
        <is>
          <t>Phải</t>
        </is>
      </c>
      <c r="T501" s="9" t="inlineStr">
        <is>
          <t>H3-C5</t>
        </is>
      </c>
      <c r="U501" s="9" t="inlineStr">
        <is>
          <t>B-41</t>
        </is>
      </c>
    </row>
    <row r="502">
      <c r="A502" s="151" t="inlineStr">
        <is>
          <t>B-12A-13</t>
        </is>
      </c>
      <c r="B502" s="102" t="inlineStr">
        <is>
          <t>B</t>
        </is>
      </c>
      <c r="C502" s="102" t="inlineStr">
        <is>
          <t>12A</t>
        </is>
      </c>
      <c r="D502" s="102" t="n">
        <v>13</v>
      </c>
      <c r="E502" s="102" t="inlineStr">
        <is>
          <t>TU-B14</t>
        </is>
      </c>
      <c r="F502" s="102" t="inlineStr">
        <is>
          <t>TU-B14/S1</t>
        </is>
      </c>
      <c r="G502" s="102" t="n">
        <v>13</v>
      </c>
      <c r="H502" s="102" t="inlineStr">
        <is>
          <t>TR-B2</t>
        </is>
      </c>
      <c r="I502" s="102" t="n">
        <v>17</v>
      </c>
      <c r="J502" s="102" t="inlineStr">
        <is>
          <t>Ống 3 Xanh lá / Xám</t>
        </is>
      </c>
      <c r="K502" s="102" t="inlineStr">
        <is>
          <t>S4-13</t>
        </is>
      </c>
      <c r="L502" s="102" t="inlineStr">
        <is>
          <t>B-19</t>
        </is>
      </c>
      <c r="M502" s="102" t="inlineStr">
        <is>
          <t>PON-13</t>
        </is>
      </c>
      <c r="N502" s="102" t="inlineStr">
        <is>
          <t>Chưa lắp</t>
        </is>
      </c>
      <c r="O502" s="151" t="n"/>
      <c r="P502" s="152" t="n"/>
      <c r="Q502" s="13">
        <f>M502&amp;" &gt; P96#"&amp;U502&amp;" &gt; "&amp;K502&amp;" &gt; P96#"&amp;L502&amp;" &gt; "&amp;R502&amp;" "&amp;S502&amp;" "&amp;T502&amp;" &gt; "&amp;H502&amp;"#"&amp;I502&amp;" &gt; "&amp;F502&amp;" p"&amp;G502</f>
        <v/>
      </c>
      <c r="R502" s="9" t="inlineStr">
        <is>
          <t>ODF-08/09</t>
        </is>
      </c>
      <c r="S502" s="9" t="inlineStr">
        <is>
          <t>Phải</t>
        </is>
      </c>
      <c r="T502" s="9" t="inlineStr">
        <is>
          <t>H3-C5</t>
        </is>
      </c>
      <c r="U502" s="9" t="inlineStr">
        <is>
          <t>B-41</t>
        </is>
      </c>
    </row>
    <row r="503">
      <c r="A503" s="151" t="inlineStr">
        <is>
          <t>B-12A-14</t>
        </is>
      </c>
      <c r="B503" s="102" t="inlineStr">
        <is>
          <t>B</t>
        </is>
      </c>
      <c r="C503" s="102" t="inlineStr">
        <is>
          <t>12A</t>
        </is>
      </c>
      <c r="D503" s="102" t="n">
        <v>14</v>
      </c>
      <c r="E503" s="102" t="inlineStr">
        <is>
          <t>TU-B14</t>
        </is>
      </c>
      <c r="F503" s="102" t="inlineStr">
        <is>
          <t>TU-B14/S1</t>
        </is>
      </c>
      <c r="G503" s="102" t="n">
        <v>14</v>
      </c>
      <c r="H503" s="102" t="inlineStr">
        <is>
          <t>TR-B2</t>
        </is>
      </c>
      <c r="I503" s="102" t="n">
        <v>17</v>
      </c>
      <c r="J503" s="102" t="inlineStr">
        <is>
          <t>Ống 3 Xanh lá / Xám</t>
        </is>
      </c>
      <c r="K503" s="102" t="inlineStr">
        <is>
          <t>S4-13</t>
        </is>
      </c>
      <c r="L503" s="102" t="inlineStr">
        <is>
          <t>B-19</t>
        </is>
      </c>
      <c r="M503" s="102" t="inlineStr">
        <is>
          <t>PON-13</t>
        </is>
      </c>
      <c r="N503" s="102" t="inlineStr">
        <is>
          <t>Chưa lắp</t>
        </is>
      </c>
      <c r="O503" s="151" t="n"/>
      <c r="P503" s="152" t="n"/>
      <c r="Q503" s="13">
        <f>M503&amp;" &gt; P96#"&amp;U503&amp;" &gt; "&amp;K503&amp;" &gt; P96#"&amp;L503&amp;" &gt; "&amp;R503&amp;" "&amp;S503&amp;" "&amp;T503&amp;" &gt; "&amp;H503&amp;"#"&amp;I503&amp;" &gt; "&amp;F503&amp;" p"&amp;G503</f>
        <v/>
      </c>
      <c r="R503" s="9" t="inlineStr">
        <is>
          <t>ODF-08/09</t>
        </is>
      </c>
      <c r="S503" s="9" t="inlineStr">
        <is>
          <t>Phải</t>
        </is>
      </c>
      <c r="T503" s="9" t="inlineStr">
        <is>
          <t>H3-C5</t>
        </is>
      </c>
      <c r="U503" s="9" t="inlineStr">
        <is>
          <t>B-41</t>
        </is>
      </c>
    </row>
    <row r="504">
      <c r="A504" s="151" t="inlineStr">
        <is>
          <t>B-12-01</t>
        </is>
      </c>
      <c r="B504" s="102" t="inlineStr">
        <is>
          <t>B</t>
        </is>
      </c>
      <c r="C504" s="102" t="inlineStr">
        <is>
          <t>12</t>
        </is>
      </c>
      <c r="D504" s="102" t="n">
        <v>1</v>
      </c>
      <c r="E504" s="102" t="inlineStr">
        <is>
          <t>TU-B11</t>
        </is>
      </c>
      <c r="F504" s="102" t="inlineStr">
        <is>
          <t>TU-B11/S3</t>
        </is>
      </c>
      <c r="G504" s="102" t="n">
        <v>1</v>
      </c>
      <c r="H504" s="102" t="inlineStr">
        <is>
          <t>TR-B2</t>
        </is>
      </c>
      <c r="I504" s="102" t="n">
        <v>11</v>
      </c>
      <c r="J504" s="102" t="inlineStr">
        <is>
          <t>Ống 2 Cam / Xám</t>
        </is>
      </c>
      <c r="K504" s="102" t="inlineStr">
        <is>
          <t>S4-13</t>
        </is>
      </c>
      <c r="L504" s="102" t="inlineStr">
        <is>
          <t>B-18</t>
        </is>
      </c>
      <c r="M504" s="102" t="inlineStr">
        <is>
          <t>PON-13</t>
        </is>
      </c>
      <c r="N504" s="102" t="inlineStr">
        <is>
          <t>Chưa lắp</t>
        </is>
      </c>
      <c r="O504" s="151" t="n"/>
      <c r="P504" s="152" t="n"/>
      <c r="Q504" s="13">
        <f>M504&amp;" &gt; P96#"&amp;U504&amp;" &gt; "&amp;K504&amp;" &gt; P96#"&amp;L504&amp;" &gt; "&amp;R504&amp;" "&amp;S504&amp;" "&amp;T504&amp;" &gt; "&amp;H504&amp;"#"&amp;I504&amp;" &gt; "&amp;F504&amp;" p"&amp;G504</f>
        <v/>
      </c>
      <c r="R504" s="9" t="inlineStr">
        <is>
          <t>ODF-08/09</t>
        </is>
      </c>
      <c r="S504" s="9" t="inlineStr">
        <is>
          <t>Phải</t>
        </is>
      </c>
      <c r="T504" s="9" t="inlineStr">
        <is>
          <t>H2-C5</t>
        </is>
      </c>
      <c r="U504" s="9" t="inlineStr">
        <is>
          <t>B-41</t>
        </is>
      </c>
    </row>
    <row r="505">
      <c r="A505" s="151" t="inlineStr">
        <is>
          <t>B-12-02</t>
        </is>
      </c>
      <c r="B505" s="102" t="inlineStr">
        <is>
          <t>B</t>
        </is>
      </c>
      <c r="C505" s="102" t="inlineStr">
        <is>
          <t>12</t>
        </is>
      </c>
      <c r="D505" s="102" t="n">
        <v>2</v>
      </c>
      <c r="E505" s="102" t="inlineStr">
        <is>
          <t>TU-B11</t>
        </is>
      </c>
      <c r="F505" s="102" t="inlineStr">
        <is>
          <t>TU-B11/S3</t>
        </is>
      </c>
      <c r="G505" s="102" t="n">
        <v>2</v>
      </c>
      <c r="H505" s="102" t="inlineStr">
        <is>
          <t>TR-B2</t>
        </is>
      </c>
      <c r="I505" s="102" t="n">
        <v>11</v>
      </c>
      <c r="J505" s="102" t="inlineStr">
        <is>
          <t>Ống 2 Cam / Xám</t>
        </is>
      </c>
      <c r="K505" s="102" t="inlineStr">
        <is>
          <t>S4-13</t>
        </is>
      </c>
      <c r="L505" s="102" t="inlineStr">
        <is>
          <t>B-18</t>
        </is>
      </c>
      <c r="M505" s="102" t="inlineStr">
        <is>
          <t>PON-13</t>
        </is>
      </c>
      <c r="N505" s="102" t="inlineStr">
        <is>
          <t>Chưa lắp</t>
        </is>
      </c>
      <c r="O505" s="151" t="n"/>
      <c r="P505" s="152" t="n"/>
      <c r="Q505" s="13">
        <f>M505&amp;" &gt; P96#"&amp;U505&amp;" &gt; "&amp;K505&amp;" &gt; P96#"&amp;L505&amp;" &gt; "&amp;R505&amp;" "&amp;S505&amp;" "&amp;T505&amp;" &gt; "&amp;H505&amp;"#"&amp;I505&amp;" &gt; "&amp;F505&amp;" p"&amp;G505</f>
        <v/>
      </c>
      <c r="R505" s="9" t="inlineStr">
        <is>
          <t>ODF-08/09</t>
        </is>
      </c>
      <c r="S505" s="9" t="inlineStr">
        <is>
          <t>Phải</t>
        </is>
      </c>
      <c r="T505" s="9" t="inlineStr">
        <is>
          <t>H2-C5</t>
        </is>
      </c>
      <c r="U505" s="9" t="inlineStr">
        <is>
          <t>B-41</t>
        </is>
      </c>
    </row>
    <row r="506">
      <c r="A506" s="149" t="inlineStr">
        <is>
          <t>B-12-03</t>
        </is>
      </c>
      <c r="B506" s="99" t="inlineStr">
        <is>
          <t>B</t>
        </is>
      </c>
      <c r="C506" s="99" t="inlineStr">
        <is>
          <t>12</t>
        </is>
      </c>
      <c r="D506" s="99" t="n">
        <v>3</v>
      </c>
      <c r="E506" s="99" t="inlineStr">
        <is>
          <t>TU-B11</t>
        </is>
      </c>
      <c r="F506" s="99" t="inlineStr">
        <is>
          <t>TU-B11/S3</t>
        </is>
      </c>
      <c r="G506" s="99" t="n">
        <v>3</v>
      </c>
      <c r="H506" s="99" t="inlineStr">
        <is>
          <t>TR-B2</t>
        </is>
      </c>
      <c r="I506" s="99" t="n">
        <v>11</v>
      </c>
      <c r="J506" s="99" t="inlineStr">
        <is>
          <t>Ống 2 Cam / Xám</t>
        </is>
      </c>
      <c r="K506" s="99" t="inlineStr">
        <is>
          <t>S4-13</t>
        </is>
      </c>
      <c r="L506" s="99" t="inlineStr">
        <is>
          <t>B-18</t>
        </is>
      </c>
      <c r="M506" s="99" t="inlineStr">
        <is>
          <t>PON-13</t>
        </is>
      </c>
      <c r="N506" s="99" t="inlineStr">
        <is>
          <t>Chưa lắp</t>
        </is>
      </c>
      <c r="O506" s="149" t="n"/>
      <c r="P506" s="150" t="n"/>
      <c r="Q506" s="13">
        <f>M506&amp;" &gt; P96#"&amp;U506&amp;" &gt; "&amp;K506&amp;" &gt; P96#"&amp;L506&amp;" &gt; "&amp;R506&amp;" "&amp;S506&amp;" "&amp;T506&amp;" &gt; "&amp;H506&amp;"#"&amp;I506&amp;" &gt; "&amp;F506&amp;" p"&amp;G506</f>
        <v/>
      </c>
      <c r="R506" s="9" t="inlineStr">
        <is>
          <t>ODF-08/09</t>
        </is>
      </c>
      <c r="S506" s="9" t="inlineStr">
        <is>
          <t>Phải</t>
        </is>
      </c>
      <c r="T506" s="9" t="inlineStr">
        <is>
          <t>H2-C5</t>
        </is>
      </c>
      <c r="U506" s="9" t="inlineStr">
        <is>
          <t>B-41</t>
        </is>
      </c>
    </row>
    <row r="507">
      <c r="A507" s="149" t="inlineStr">
        <is>
          <t>B-12-04</t>
        </is>
      </c>
      <c r="B507" s="99" t="inlineStr">
        <is>
          <t>B</t>
        </is>
      </c>
      <c r="C507" s="99" t="inlineStr">
        <is>
          <t>12</t>
        </is>
      </c>
      <c r="D507" s="99" t="n">
        <v>4</v>
      </c>
      <c r="E507" s="99" t="inlineStr">
        <is>
          <t>TU-B11</t>
        </is>
      </c>
      <c r="F507" s="99" t="inlineStr">
        <is>
          <t>TU-B11/S3</t>
        </is>
      </c>
      <c r="G507" s="99" t="n">
        <v>4</v>
      </c>
      <c r="H507" s="99" t="inlineStr">
        <is>
          <t>TR-B2</t>
        </is>
      </c>
      <c r="I507" s="99" t="n">
        <v>11</v>
      </c>
      <c r="J507" s="99" t="inlineStr">
        <is>
          <t>Ống 2 Cam / Xám</t>
        </is>
      </c>
      <c r="K507" s="99" t="inlineStr">
        <is>
          <t>S4-13</t>
        </is>
      </c>
      <c r="L507" s="99" t="inlineStr">
        <is>
          <t>B-18</t>
        </is>
      </c>
      <c r="M507" s="99" t="inlineStr">
        <is>
          <t>PON-13</t>
        </is>
      </c>
      <c r="N507" s="99" t="inlineStr">
        <is>
          <t>Chưa lắp</t>
        </is>
      </c>
      <c r="O507" s="149" t="n"/>
      <c r="P507" s="150" t="n"/>
      <c r="Q507" s="13">
        <f>M507&amp;" &gt; P96#"&amp;U507&amp;" &gt; "&amp;K507&amp;" &gt; P96#"&amp;L507&amp;" &gt; "&amp;R507&amp;" "&amp;S507&amp;" "&amp;T507&amp;" &gt; "&amp;H507&amp;"#"&amp;I507&amp;" &gt; "&amp;F507&amp;" p"&amp;G507</f>
        <v/>
      </c>
      <c r="R507" s="9" t="inlineStr">
        <is>
          <t>ODF-08/09</t>
        </is>
      </c>
      <c r="S507" s="9" t="inlineStr">
        <is>
          <t>Phải</t>
        </is>
      </c>
      <c r="T507" s="9" t="inlineStr">
        <is>
          <t>H2-C5</t>
        </is>
      </c>
      <c r="U507" s="9" t="inlineStr">
        <is>
          <t>B-41</t>
        </is>
      </c>
    </row>
    <row r="508">
      <c r="A508" s="149" t="inlineStr">
        <is>
          <t>B-12-05</t>
        </is>
      </c>
      <c r="B508" s="99" t="inlineStr">
        <is>
          <t>B</t>
        </is>
      </c>
      <c r="C508" s="99" t="inlineStr">
        <is>
          <t>12</t>
        </is>
      </c>
      <c r="D508" s="99" t="n">
        <v>5</v>
      </c>
      <c r="E508" s="99" t="inlineStr">
        <is>
          <t>TU-B11</t>
        </is>
      </c>
      <c r="F508" s="99" t="inlineStr">
        <is>
          <t>TU-B11/S3</t>
        </is>
      </c>
      <c r="G508" s="99" t="n">
        <v>5</v>
      </c>
      <c r="H508" s="99" t="inlineStr">
        <is>
          <t>TR-B2</t>
        </is>
      </c>
      <c r="I508" s="99" t="n">
        <v>11</v>
      </c>
      <c r="J508" s="99" t="inlineStr">
        <is>
          <t>Ống 2 Cam / Xám</t>
        </is>
      </c>
      <c r="K508" s="99" t="inlineStr">
        <is>
          <t>S4-13</t>
        </is>
      </c>
      <c r="L508" s="99" t="inlineStr">
        <is>
          <t>B-18</t>
        </is>
      </c>
      <c r="M508" s="99" t="inlineStr">
        <is>
          <t>PON-13</t>
        </is>
      </c>
      <c r="N508" s="99" t="inlineStr">
        <is>
          <t>Chưa lắp</t>
        </is>
      </c>
      <c r="O508" s="149" t="n"/>
      <c r="P508" s="150" t="n"/>
      <c r="Q508" s="13">
        <f>M508&amp;" &gt; P96#"&amp;U508&amp;" &gt; "&amp;K508&amp;" &gt; P96#"&amp;L508&amp;" &gt; "&amp;R508&amp;" "&amp;S508&amp;" "&amp;T508&amp;" &gt; "&amp;H508&amp;"#"&amp;I508&amp;" &gt; "&amp;F508&amp;" p"&amp;G508</f>
        <v/>
      </c>
      <c r="R508" s="9" t="inlineStr">
        <is>
          <t>ODF-08/09</t>
        </is>
      </c>
      <c r="S508" s="9" t="inlineStr">
        <is>
          <t>Phải</t>
        </is>
      </c>
      <c r="T508" s="9" t="inlineStr">
        <is>
          <t>H2-C5</t>
        </is>
      </c>
      <c r="U508" s="9" t="inlineStr">
        <is>
          <t>B-41</t>
        </is>
      </c>
    </row>
    <row r="509">
      <c r="A509" s="149" t="inlineStr">
        <is>
          <t>B-12-06</t>
        </is>
      </c>
      <c r="B509" s="99" t="inlineStr">
        <is>
          <t>B</t>
        </is>
      </c>
      <c r="C509" s="99" t="inlineStr">
        <is>
          <t>12</t>
        </is>
      </c>
      <c r="D509" s="99" t="n">
        <v>6</v>
      </c>
      <c r="E509" s="99" t="inlineStr">
        <is>
          <t>TU-B11</t>
        </is>
      </c>
      <c r="F509" s="99" t="inlineStr">
        <is>
          <t>TU-B11/S3</t>
        </is>
      </c>
      <c r="G509" s="99" t="n">
        <v>6</v>
      </c>
      <c r="H509" s="99" t="inlineStr">
        <is>
          <t>TR-B2</t>
        </is>
      </c>
      <c r="I509" s="99" t="n">
        <v>11</v>
      </c>
      <c r="J509" s="99" t="inlineStr">
        <is>
          <t>Ống 2 Cam / Xám</t>
        </is>
      </c>
      <c r="K509" s="99" t="inlineStr">
        <is>
          <t>S4-13</t>
        </is>
      </c>
      <c r="L509" s="99" t="inlineStr">
        <is>
          <t>B-18</t>
        </is>
      </c>
      <c r="M509" s="99" t="inlineStr">
        <is>
          <t>PON-13</t>
        </is>
      </c>
      <c r="N509" s="99" t="inlineStr">
        <is>
          <t>Chưa lắp</t>
        </is>
      </c>
      <c r="O509" s="149" t="n"/>
      <c r="P509" s="150" t="n"/>
      <c r="Q509" s="13">
        <f>M509&amp;" &gt; P96#"&amp;U509&amp;" &gt; "&amp;K509&amp;" &gt; P96#"&amp;L509&amp;" &gt; "&amp;R509&amp;" "&amp;S509&amp;" "&amp;T509&amp;" &gt; "&amp;H509&amp;"#"&amp;I509&amp;" &gt; "&amp;F509&amp;" p"&amp;G509</f>
        <v/>
      </c>
      <c r="R509" s="9" t="inlineStr">
        <is>
          <t>ODF-08/09</t>
        </is>
      </c>
      <c r="S509" s="9" t="inlineStr">
        <is>
          <t>Phải</t>
        </is>
      </c>
      <c r="T509" s="9" t="inlineStr">
        <is>
          <t>H2-C5</t>
        </is>
      </c>
      <c r="U509" s="9" t="inlineStr">
        <is>
          <t>B-41</t>
        </is>
      </c>
    </row>
    <row r="510">
      <c r="A510" s="149" t="inlineStr">
        <is>
          <t>B-12-07</t>
        </is>
      </c>
      <c r="B510" s="99" t="inlineStr">
        <is>
          <t>B</t>
        </is>
      </c>
      <c r="C510" s="99" t="inlineStr">
        <is>
          <t>12</t>
        </is>
      </c>
      <c r="D510" s="99" t="n">
        <v>7</v>
      </c>
      <c r="E510" s="99" t="inlineStr">
        <is>
          <t>TU-B11</t>
        </is>
      </c>
      <c r="F510" s="99" t="inlineStr">
        <is>
          <t>TU-B11/S3</t>
        </is>
      </c>
      <c r="G510" s="99" t="n">
        <v>7</v>
      </c>
      <c r="H510" s="99" t="inlineStr">
        <is>
          <t>TR-B2</t>
        </is>
      </c>
      <c r="I510" s="99" t="n">
        <v>11</v>
      </c>
      <c r="J510" s="99" t="inlineStr">
        <is>
          <t>Ống 2 Cam / Xám</t>
        </is>
      </c>
      <c r="K510" s="99" t="inlineStr">
        <is>
          <t>S4-13</t>
        </is>
      </c>
      <c r="L510" s="99" t="inlineStr">
        <is>
          <t>B-18</t>
        </is>
      </c>
      <c r="M510" s="99" t="inlineStr">
        <is>
          <t>PON-13</t>
        </is>
      </c>
      <c r="N510" s="99" t="inlineStr">
        <is>
          <t>Chưa lắp</t>
        </is>
      </c>
      <c r="O510" s="149" t="n"/>
      <c r="P510" s="150" t="n"/>
      <c r="Q510" s="13">
        <f>M510&amp;" &gt; P96#"&amp;U510&amp;" &gt; "&amp;K510&amp;" &gt; P96#"&amp;L510&amp;" &gt; "&amp;R510&amp;" "&amp;S510&amp;" "&amp;T510&amp;" &gt; "&amp;H510&amp;"#"&amp;I510&amp;" &gt; "&amp;F510&amp;" p"&amp;G510</f>
        <v/>
      </c>
      <c r="R510" s="9" t="inlineStr">
        <is>
          <t>ODF-08/09</t>
        </is>
      </c>
      <c r="S510" s="9" t="inlineStr">
        <is>
          <t>Phải</t>
        </is>
      </c>
      <c r="T510" s="9" t="inlineStr">
        <is>
          <t>H2-C5</t>
        </is>
      </c>
      <c r="U510" s="9" t="inlineStr">
        <is>
          <t>B-41</t>
        </is>
      </c>
    </row>
    <row r="511">
      <c r="A511" s="149" t="inlineStr">
        <is>
          <t>B-12-08</t>
        </is>
      </c>
      <c r="B511" s="99" t="inlineStr">
        <is>
          <t>B</t>
        </is>
      </c>
      <c r="C511" s="99" t="inlineStr">
        <is>
          <t>12</t>
        </is>
      </c>
      <c r="D511" s="99" t="n">
        <v>8</v>
      </c>
      <c r="E511" s="99" t="inlineStr">
        <is>
          <t>TU-B11</t>
        </is>
      </c>
      <c r="F511" s="99" t="inlineStr">
        <is>
          <t>TU-B11/S3</t>
        </is>
      </c>
      <c r="G511" s="99" t="n">
        <v>8</v>
      </c>
      <c r="H511" s="99" t="inlineStr">
        <is>
          <t>TR-B2</t>
        </is>
      </c>
      <c r="I511" s="99" t="n">
        <v>11</v>
      </c>
      <c r="J511" s="99" t="inlineStr">
        <is>
          <t>Ống 2 Cam / Xám</t>
        </is>
      </c>
      <c r="K511" s="99" t="inlineStr">
        <is>
          <t>S4-13</t>
        </is>
      </c>
      <c r="L511" s="99" t="inlineStr">
        <is>
          <t>B-18</t>
        </is>
      </c>
      <c r="M511" s="99" t="inlineStr">
        <is>
          <t>PON-13</t>
        </is>
      </c>
      <c r="N511" s="99" t="inlineStr">
        <is>
          <t>Chưa lắp</t>
        </is>
      </c>
      <c r="O511" s="149" t="n"/>
      <c r="P511" s="150" t="n"/>
      <c r="Q511" s="13">
        <f>M511&amp;" &gt; P96#"&amp;U511&amp;" &gt; "&amp;K511&amp;" &gt; P96#"&amp;L511&amp;" &gt; "&amp;R511&amp;" "&amp;S511&amp;" "&amp;T511&amp;" &gt; "&amp;H511&amp;"#"&amp;I511&amp;" &gt; "&amp;F511&amp;" p"&amp;G511</f>
        <v/>
      </c>
      <c r="R511" s="9" t="inlineStr">
        <is>
          <t>ODF-08/09</t>
        </is>
      </c>
      <c r="S511" s="9" t="inlineStr">
        <is>
          <t>Phải</t>
        </is>
      </c>
      <c r="T511" s="9" t="inlineStr">
        <is>
          <t>H2-C5</t>
        </is>
      </c>
      <c r="U511" s="9" t="inlineStr">
        <is>
          <t>B-41</t>
        </is>
      </c>
    </row>
    <row r="512">
      <c r="A512" s="149" t="inlineStr">
        <is>
          <t>B-12-09</t>
        </is>
      </c>
      <c r="B512" s="99" t="inlineStr">
        <is>
          <t>B</t>
        </is>
      </c>
      <c r="C512" s="99" t="inlineStr">
        <is>
          <t>12</t>
        </is>
      </c>
      <c r="D512" s="99" t="n">
        <v>9</v>
      </c>
      <c r="E512" s="99" t="inlineStr">
        <is>
          <t>TU-B11</t>
        </is>
      </c>
      <c r="F512" s="99" t="inlineStr">
        <is>
          <t>TU-B11/S3</t>
        </is>
      </c>
      <c r="G512" s="99" t="n">
        <v>9</v>
      </c>
      <c r="H512" s="99" t="inlineStr">
        <is>
          <t>TR-B2</t>
        </is>
      </c>
      <c r="I512" s="99" t="n">
        <v>11</v>
      </c>
      <c r="J512" s="99" t="inlineStr">
        <is>
          <t>Ống 2 Cam / Xám</t>
        </is>
      </c>
      <c r="K512" s="99" t="inlineStr">
        <is>
          <t>S4-13</t>
        </is>
      </c>
      <c r="L512" s="99" t="inlineStr">
        <is>
          <t>B-18</t>
        </is>
      </c>
      <c r="M512" s="99" t="inlineStr">
        <is>
          <t>PON-13</t>
        </is>
      </c>
      <c r="N512" s="99" t="inlineStr">
        <is>
          <t>Chưa lắp</t>
        </is>
      </c>
      <c r="O512" s="149" t="n"/>
      <c r="P512" s="150" t="n"/>
      <c r="Q512" s="13">
        <f>M512&amp;" &gt; P96#"&amp;U512&amp;" &gt; "&amp;K512&amp;" &gt; P96#"&amp;L512&amp;" &gt; "&amp;R512&amp;" "&amp;S512&amp;" "&amp;T512&amp;" &gt; "&amp;H512&amp;"#"&amp;I512&amp;" &gt; "&amp;F512&amp;" p"&amp;G512</f>
        <v/>
      </c>
      <c r="R512" s="9" t="inlineStr">
        <is>
          <t>ODF-08/09</t>
        </is>
      </c>
      <c r="S512" s="9" t="inlineStr">
        <is>
          <t>Phải</t>
        </is>
      </c>
      <c r="T512" s="9" t="inlineStr">
        <is>
          <t>H2-C5</t>
        </is>
      </c>
      <c r="U512" s="9" t="inlineStr">
        <is>
          <t>B-41</t>
        </is>
      </c>
    </row>
    <row r="513">
      <c r="A513" s="149" t="inlineStr">
        <is>
          <t>B-12-10</t>
        </is>
      </c>
      <c r="B513" s="99" t="inlineStr">
        <is>
          <t>B</t>
        </is>
      </c>
      <c r="C513" s="99" t="inlineStr">
        <is>
          <t>12</t>
        </is>
      </c>
      <c r="D513" s="99" t="n">
        <v>10</v>
      </c>
      <c r="E513" s="99" t="inlineStr">
        <is>
          <t>TU-B11</t>
        </is>
      </c>
      <c r="F513" s="99" t="inlineStr">
        <is>
          <t>TU-B11/S3</t>
        </is>
      </c>
      <c r="G513" s="99" t="n">
        <v>10</v>
      </c>
      <c r="H513" s="99" t="inlineStr">
        <is>
          <t>TR-B2</t>
        </is>
      </c>
      <c r="I513" s="99" t="n">
        <v>11</v>
      </c>
      <c r="J513" s="99" t="inlineStr">
        <is>
          <t>Ống 2 Cam / Xám</t>
        </is>
      </c>
      <c r="K513" s="99" t="inlineStr">
        <is>
          <t>S4-13</t>
        </is>
      </c>
      <c r="L513" s="99" t="inlineStr">
        <is>
          <t>B-18</t>
        </is>
      </c>
      <c r="M513" s="99" t="inlineStr">
        <is>
          <t>PON-13</t>
        </is>
      </c>
      <c r="N513" s="99" t="inlineStr">
        <is>
          <t>Chưa lắp</t>
        </is>
      </c>
      <c r="O513" s="149" t="n"/>
      <c r="P513" s="150" t="n"/>
      <c r="Q513" s="13">
        <f>M513&amp;" &gt; P96#"&amp;U513&amp;" &gt; "&amp;K513&amp;" &gt; P96#"&amp;L513&amp;" &gt; "&amp;R513&amp;" "&amp;S513&amp;" "&amp;T513&amp;" &gt; "&amp;H513&amp;"#"&amp;I513&amp;" &gt; "&amp;F513&amp;" p"&amp;G513</f>
        <v/>
      </c>
      <c r="R513" s="9" t="inlineStr">
        <is>
          <t>ODF-08/09</t>
        </is>
      </c>
      <c r="S513" s="9" t="inlineStr">
        <is>
          <t>Phải</t>
        </is>
      </c>
      <c r="T513" s="9" t="inlineStr">
        <is>
          <t>H2-C5</t>
        </is>
      </c>
      <c r="U513" s="9" t="inlineStr">
        <is>
          <t>B-41</t>
        </is>
      </c>
    </row>
    <row r="514">
      <c r="A514" s="149" t="inlineStr">
        <is>
          <t>B-12-11</t>
        </is>
      </c>
      <c r="B514" s="99" t="inlineStr">
        <is>
          <t>B</t>
        </is>
      </c>
      <c r="C514" s="99" t="inlineStr">
        <is>
          <t>12</t>
        </is>
      </c>
      <c r="D514" s="99" t="n">
        <v>11</v>
      </c>
      <c r="E514" s="99" t="inlineStr">
        <is>
          <t>TU-B11</t>
        </is>
      </c>
      <c r="F514" s="99" t="inlineStr">
        <is>
          <t>TU-B11/S3</t>
        </is>
      </c>
      <c r="G514" s="99" t="n">
        <v>11</v>
      </c>
      <c r="H514" s="99" t="inlineStr">
        <is>
          <t>TR-B2</t>
        </is>
      </c>
      <c r="I514" s="99" t="n">
        <v>11</v>
      </c>
      <c r="J514" s="99" t="inlineStr">
        <is>
          <t>Ống 2 Cam / Xám</t>
        </is>
      </c>
      <c r="K514" s="99" t="inlineStr">
        <is>
          <t>S4-13</t>
        </is>
      </c>
      <c r="L514" s="99" t="inlineStr">
        <is>
          <t>B-18</t>
        </is>
      </c>
      <c r="M514" s="99" t="inlineStr">
        <is>
          <t>PON-13</t>
        </is>
      </c>
      <c r="N514" s="99" t="inlineStr">
        <is>
          <t>Chưa lắp</t>
        </is>
      </c>
      <c r="O514" s="149" t="n"/>
      <c r="P514" s="150" t="n"/>
      <c r="Q514" s="13">
        <f>M514&amp;" &gt; P96#"&amp;U514&amp;" &gt; "&amp;K514&amp;" &gt; P96#"&amp;L514&amp;" &gt; "&amp;R514&amp;" "&amp;S514&amp;" "&amp;T514&amp;" &gt; "&amp;H514&amp;"#"&amp;I514&amp;" &gt; "&amp;F514&amp;" p"&amp;G514</f>
        <v/>
      </c>
      <c r="R514" s="9" t="inlineStr">
        <is>
          <t>ODF-08/09</t>
        </is>
      </c>
      <c r="S514" s="9" t="inlineStr">
        <is>
          <t>Phải</t>
        </is>
      </c>
      <c r="T514" s="9" t="inlineStr">
        <is>
          <t>H2-C5</t>
        </is>
      </c>
      <c r="U514" s="9" t="inlineStr">
        <is>
          <t>B-41</t>
        </is>
      </c>
    </row>
    <row r="515">
      <c r="A515" s="149" t="inlineStr">
        <is>
          <t>B-12-12</t>
        </is>
      </c>
      <c r="B515" s="99" t="inlineStr">
        <is>
          <t>B</t>
        </is>
      </c>
      <c r="C515" s="99" t="inlineStr">
        <is>
          <t>12</t>
        </is>
      </c>
      <c r="D515" s="99" t="n">
        <v>12</v>
      </c>
      <c r="E515" s="99" t="inlineStr">
        <is>
          <t>TU-B11</t>
        </is>
      </c>
      <c r="F515" s="99" t="inlineStr">
        <is>
          <t>TU-B11/S3</t>
        </is>
      </c>
      <c r="G515" s="99" t="n">
        <v>12</v>
      </c>
      <c r="H515" s="99" t="inlineStr">
        <is>
          <t>TR-B2</t>
        </is>
      </c>
      <c r="I515" s="99" t="n">
        <v>11</v>
      </c>
      <c r="J515" s="99" t="inlineStr">
        <is>
          <t>Ống 2 Cam / Xám</t>
        </is>
      </c>
      <c r="K515" s="99" t="inlineStr">
        <is>
          <t>S4-13</t>
        </is>
      </c>
      <c r="L515" s="99" t="inlineStr">
        <is>
          <t>B-18</t>
        </is>
      </c>
      <c r="M515" s="99" t="inlineStr">
        <is>
          <t>PON-13</t>
        </is>
      </c>
      <c r="N515" s="99" t="inlineStr">
        <is>
          <t>Chưa lắp</t>
        </is>
      </c>
      <c r="O515" s="149" t="n"/>
      <c r="P515" s="150" t="n"/>
      <c r="Q515" s="13">
        <f>M515&amp;" &gt; P96#"&amp;U515&amp;" &gt; "&amp;K515&amp;" &gt; P96#"&amp;L515&amp;" &gt; "&amp;R515&amp;" "&amp;S515&amp;" "&amp;T515&amp;" &gt; "&amp;H515&amp;"#"&amp;I515&amp;" &gt; "&amp;F515&amp;" p"&amp;G515</f>
        <v/>
      </c>
      <c r="R515" s="9" t="inlineStr">
        <is>
          <t>ODF-08/09</t>
        </is>
      </c>
      <c r="S515" s="9" t="inlineStr">
        <is>
          <t>Phải</t>
        </is>
      </c>
      <c r="T515" s="9" t="inlineStr">
        <is>
          <t>H2-C5</t>
        </is>
      </c>
      <c r="U515" s="9" t="inlineStr">
        <is>
          <t>B-41</t>
        </is>
      </c>
    </row>
    <row r="516">
      <c r="A516" s="149" t="inlineStr">
        <is>
          <t>B-12-13</t>
        </is>
      </c>
      <c r="B516" s="99" t="inlineStr">
        <is>
          <t>B</t>
        </is>
      </c>
      <c r="C516" s="99" t="inlineStr">
        <is>
          <t>12</t>
        </is>
      </c>
      <c r="D516" s="99" t="n">
        <v>13</v>
      </c>
      <c r="E516" s="99" t="inlineStr">
        <is>
          <t>TU-B11</t>
        </is>
      </c>
      <c r="F516" s="99" t="inlineStr">
        <is>
          <t>TU-B11/S3</t>
        </is>
      </c>
      <c r="G516" s="99" t="n">
        <v>13</v>
      </c>
      <c r="H516" s="99" t="inlineStr">
        <is>
          <t>TR-B2</t>
        </is>
      </c>
      <c r="I516" s="99" t="n">
        <v>11</v>
      </c>
      <c r="J516" s="99" t="inlineStr">
        <is>
          <t>Ống 2 Cam / Xám</t>
        </is>
      </c>
      <c r="K516" s="99" t="inlineStr">
        <is>
          <t>S4-13</t>
        </is>
      </c>
      <c r="L516" s="99" t="inlineStr">
        <is>
          <t>B-18</t>
        </is>
      </c>
      <c r="M516" s="99" t="inlineStr">
        <is>
          <t>PON-13</t>
        </is>
      </c>
      <c r="N516" s="99" t="inlineStr">
        <is>
          <t>Chưa lắp</t>
        </is>
      </c>
      <c r="O516" s="149" t="n"/>
      <c r="P516" s="150" t="n"/>
      <c r="Q516" s="13">
        <f>M516&amp;" &gt; P96#"&amp;U516&amp;" &gt; "&amp;K516&amp;" &gt; P96#"&amp;L516&amp;" &gt; "&amp;R516&amp;" "&amp;S516&amp;" "&amp;T516&amp;" &gt; "&amp;H516&amp;"#"&amp;I516&amp;" &gt; "&amp;F516&amp;" p"&amp;G516</f>
        <v/>
      </c>
      <c r="R516" s="9" t="inlineStr">
        <is>
          <t>ODF-08/09</t>
        </is>
      </c>
      <c r="S516" s="9" t="inlineStr">
        <is>
          <t>Phải</t>
        </is>
      </c>
      <c r="T516" s="9" t="inlineStr">
        <is>
          <t>H2-C5</t>
        </is>
      </c>
      <c r="U516" s="9" t="inlineStr">
        <is>
          <t>B-41</t>
        </is>
      </c>
    </row>
    <row r="517">
      <c r="A517" s="149" t="inlineStr">
        <is>
          <t>B-12-14</t>
        </is>
      </c>
      <c r="B517" s="99" t="inlineStr">
        <is>
          <t>B</t>
        </is>
      </c>
      <c r="C517" s="99" t="inlineStr">
        <is>
          <t>12</t>
        </is>
      </c>
      <c r="D517" s="99" t="n">
        <v>14</v>
      </c>
      <c r="E517" s="99" t="inlineStr">
        <is>
          <t>TU-B11</t>
        </is>
      </c>
      <c r="F517" s="99" t="inlineStr">
        <is>
          <t>TU-B11/S3</t>
        </is>
      </c>
      <c r="G517" s="99" t="n">
        <v>14</v>
      </c>
      <c r="H517" s="99" t="inlineStr">
        <is>
          <t>TR-B2</t>
        </is>
      </c>
      <c r="I517" s="99" t="n">
        <v>11</v>
      </c>
      <c r="J517" s="99" t="inlineStr">
        <is>
          <t>Ống 2 Cam / Xám</t>
        </is>
      </c>
      <c r="K517" s="99" t="inlineStr">
        <is>
          <t>S4-13</t>
        </is>
      </c>
      <c r="L517" s="99" t="inlineStr">
        <is>
          <t>B-18</t>
        </is>
      </c>
      <c r="M517" s="99" t="inlineStr">
        <is>
          <t>PON-13</t>
        </is>
      </c>
      <c r="N517" s="99" t="inlineStr">
        <is>
          <t>Chưa lắp</t>
        </is>
      </c>
      <c r="O517" s="149" t="n"/>
      <c r="P517" s="150" t="n"/>
      <c r="Q517" s="13">
        <f>M517&amp;" &gt; P96#"&amp;U517&amp;" &gt; "&amp;K517&amp;" &gt; P96#"&amp;L517&amp;" &gt; "&amp;R517&amp;" "&amp;S517&amp;" "&amp;T517&amp;" &gt; "&amp;H517&amp;"#"&amp;I517&amp;" &gt; "&amp;F517&amp;" p"&amp;G517</f>
        <v/>
      </c>
      <c r="R517" s="9" t="inlineStr">
        <is>
          <t>ODF-08/09</t>
        </is>
      </c>
      <c r="S517" s="9" t="inlineStr">
        <is>
          <t>Phải</t>
        </is>
      </c>
      <c r="T517" s="9" t="inlineStr">
        <is>
          <t>H2-C5</t>
        </is>
      </c>
      <c r="U517" s="9" t="inlineStr">
        <is>
          <t>B-41</t>
        </is>
      </c>
    </row>
    <row r="518">
      <c r="A518" s="149" t="inlineStr">
        <is>
          <t>B-11-01</t>
        </is>
      </c>
      <c r="B518" s="99" t="inlineStr">
        <is>
          <t>B</t>
        </is>
      </c>
      <c r="C518" s="99" t="inlineStr">
        <is>
          <t>11</t>
        </is>
      </c>
      <c r="D518" s="99" t="n">
        <v>1</v>
      </c>
      <c r="E518" s="99" t="inlineStr">
        <is>
          <t>TU-B11</t>
        </is>
      </c>
      <c r="F518" s="99" t="inlineStr">
        <is>
          <t>TU-B11/S2</t>
        </is>
      </c>
      <c r="G518" s="99" t="n">
        <v>1</v>
      </c>
      <c r="H518" s="99" t="inlineStr">
        <is>
          <t>TR-B2</t>
        </is>
      </c>
      <c r="I518" s="99" t="n">
        <v>10</v>
      </c>
      <c r="J518" s="99" t="inlineStr">
        <is>
          <t>Ống 2 Cam / Nâu</t>
        </is>
      </c>
      <c r="K518" s="99" t="inlineStr">
        <is>
          <t>S4-13</t>
        </is>
      </c>
      <c r="L518" s="99" t="inlineStr">
        <is>
          <t>B-17</t>
        </is>
      </c>
      <c r="M518" s="99" t="inlineStr">
        <is>
          <t>PON-13</t>
        </is>
      </c>
      <c r="N518" s="99" t="inlineStr">
        <is>
          <t>Chưa lắp</t>
        </is>
      </c>
      <c r="O518" s="149" t="n"/>
      <c r="P518" s="150" t="n"/>
      <c r="Q518" s="13">
        <f>M518&amp;" &gt; P96#"&amp;U518&amp;" &gt; "&amp;K518&amp;" &gt; P96#"&amp;L518&amp;" &gt; "&amp;R518&amp;" "&amp;S518&amp;" "&amp;T518&amp;" &gt; "&amp;H518&amp;"#"&amp;I518&amp;" &gt; "&amp;F518&amp;" p"&amp;G518</f>
        <v/>
      </c>
      <c r="R518" s="9" t="inlineStr">
        <is>
          <t>ODF-08/09</t>
        </is>
      </c>
      <c r="S518" s="9" t="inlineStr">
        <is>
          <t>Phải</t>
        </is>
      </c>
      <c r="T518" s="9" t="inlineStr">
        <is>
          <t>H2-C4</t>
        </is>
      </c>
      <c r="U518" s="9" t="inlineStr">
        <is>
          <t>B-41</t>
        </is>
      </c>
    </row>
    <row r="519">
      <c r="A519" s="149" t="inlineStr">
        <is>
          <t>B-11-02</t>
        </is>
      </c>
      <c r="B519" s="99" t="inlineStr">
        <is>
          <t>B</t>
        </is>
      </c>
      <c r="C519" s="99" t="inlineStr">
        <is>
          <t>11</t>
        </is>
      </c>
      <c r="D519" s="99" t="n">
        <v>2</v>
      </c>
      <c r="E519" s="99" t="inlineStr">
        <is>
          <t>TU-B11</t>
        </is>
      </c>
      <c r="F519" s="99" t="inlineStr">
        <is>
          <t>TU-B11/S2</t>
        </is>
      </c>
      <c r="G519" s="99" t="n">
        <v>2</v>
      </c>
      <c r="H519" s="99" t="inlineStr">
        <is>
          <t>TR-B2</t>
        </is>
      </c>
      <c r="I519" s="99" t="n">
        <v>10</v>
      </c>
      <c r="J519" s="99" t="inlineStr">
        <is>
          <t>Ống 2 Cam / Nâu</t>
        </is>
      </c>
      <c r="K519" s="99" t="inlineStr">
        <is>
          <t>S4-13</t>
        </is>
      </c>
      <c r="L519" s="99" t="inlineStr">
        <is>
          <t>B-17</t>
        </is>
      </c>
      <c r="M519" s="99" t="inlineStr">
        <is>
          <t>PON-13</t>
        </is>
      </c>
      <c r="N519" s="99" t="inlineStr">
        <is>
          <t>Chưa lắp</t>
        </is>
      </c>
      <c r="O519" s="149" t="n"/>
      <c r="P519" s="150" t="n"/>
      <c r="Q519" s="13">
        <f>M519&amp;" &gt; P96#"&amp;U519&amp;" &gt; "&amp;K519&amp;" &gt; P96#"&amp;L519&amp;" &gt; "&amp;R519&amp;" "&amp;S519&amp;" "&amp;T519&amp;" &gt; "&amp;H519&amp;"#"&amp;I519&amp;" &gt; "&amp;F519&amp;" p"&amp;G519</f>
        <v/>
      </c>
      <c r="R519" s="9" t="inlineStr">
        <is>
          <t>ODF-08/09</t>
        </is>
      </c>
      <c r="S519" s="9" t="inlineStr">
        <is>
          <t>Phải</t>
        </is>
      </c>
      <c r="T519" s="9" t="inlineStr">
        <is>
          <t>H2-C4</t>
        </is>
      </c>
      <c r="U519" s="9" t="inlineStr">
        <is>
          <t>B-41</t>
        </is>
      </c>
    </row>
    <row r="520">
      <c r="A520" s="151" t="inlineStr">
        <is>
          <t>B-11-03</t>
        </is>
      </c>
      <c r="B520" s="102" t="inlineStr">
        <is>
          <t>B</t>
        </is>
      </c>
      <c r="C520" s="102" t="inlineStr">
        <is>
          <t>11</t>
        </is>
      </c>
      <c r="D520" s="102" t="n">
        <v>3</v>
      </c>
      <c r="E520" s="102" t="inlineStr">
        <is>
          <t>TU-B11</t>
        </is>
      </c>
      <c r="F520" s="102" t="inlineStr">
        <is>
          <t>TU-B11/S2</t>
        </is>
      </c>
      <c r="G520" s="102" t="n">
        <v>3</v>
      </c>
      <c r="H520" s="102" t="inlineStr">
        <is>
          <t>TR-B2</t>
        </is>
      </c>
      <c r="I520" s="102" t="n">
        <v>10</v>
      </c>
      <c r="J520" s="102" t="inlineStr">
        <is>
          <t>Ống 2 Cam / Nâu</t>
        </is>
      </c>
      <c r="K520" s="102" t="inlineStr">
        <is>
          <t>S4-13</t>
        </is>
      </c>
      <c r="L520" s="102" t="inlineStr">
        <is>
          <t>B-17</t>
        </is>
      </c>
      <c r="M520" s="102" t="inlineStr">
        <is>
          <t>PON-13</t>
        </is>
      </c>
      <c r="N520" s="102" t="inlineStr">
        <is>
          <t>Chưa lắp</t>
        </is>
      </c>
      <c r="O520" s="151" t="n"/>
      <c r="P520" s="152" t="n"/>
      <c r="Q520" s="13">
        <f>M520&amp;" &gt; P96#"&amp;U520&amp;" &gt; "&amp;K520&amp;" &gt; P96#"&amp;L520&amp;" &gt; "&amp;R520&amp;" "&amp;S520&amp;" "&amp;T520&amp;" &gt; "&amp;H520&amp;"#"&amp;I520&amp;" &gt; "&amp;F520&amp;" p"&amp;G520</f>
        <v/>
      </c>
      <c r="R520" s="9" t="inlineStr">
        <is>
          <t>ODF-08/09</t>
        </is>
      </c>
      <c r="S520" s="9" t="inlineStr">
        <is>
          <t>Phải</t>
        </is>
      </c>
      <c r="T520" s="9" t="inlineStr">
        <is>
          <t>H2-C4</t>
        </is>
      </c>
      <c r="U520" s="9" t="inlineStr">
        <is>
          <t>B-41</t>
        </is>
      </c>
    </row>
    <row r="521">
      <c r="A521" s="151" t="inlineStr">
        <is>
          <t>B-11-04</t>
        </is>
      </c>
      <c r="B521" s="102" t="inlineStr">
        <is>
          <t>B</t>
        </is>
      </c>
      <c r="C521" s="102" t="inlineStr">
        <is>
          <t>11</t>
        </is>
      </c>
      <c r="D521" s="102" t="n">
        <v>4</v>
      </c>
      <c r="E521" s="102" t="inlineStr">
        <is>
          <t>TU-B11</t>
        </is>
      </c>
      <c r="F521" s="102" t="inlineStr">
        <is>
          <t>TU-B11/S2</t>
        </is>
      </c>
      <c r="G521" s="102" t="n">
        <v>4</v>
      </c>
      <c r="H521" s="102" t="inlineStr">
        <is>
          <t>TR-B2</t>
        </is>
      </c>
      <c r="I521" s="102" t="n">
        <v>10</v>
      </c>
      <c r="J521" s="102" t="inlineStr">
        <is>
          <t>Ống 2 Cam / Nâu</t>
        </is>
      </c>
      <c r="K521" s="102" t="inlineStr">
        <is>
          <t>S4-13</t>
        </is>
      </c>
      <c r="L521" s="102" t="inlineStr">
        <is>
          <t>B-17</t>
        </is>
      </c>
      <c r="M521" s="102" t="inlineStr">
        <is>
          <t>PON-13</t>
        </is>
      </c>
      <c r="N521" s="102" t="inlineStr">
        <is>
          <t>Chưa lắp</t>
        </is>
      </c>
      <c r="O521" s="151" t="n"/>
      <c r="P521" s="152" t="n"/>
      <c r="Q521" s="13">
        <f>M521&amp;" &gt; P96#"&amp;U521&amp;" &gt; "&amp;K521&amp;" &gt; P96#"&amp;L521&amp;" &gt; "&amp;R521&amp;" "&amp;S521&amp;" "&amp;T521&amp;" &gt; "&amp;H521&amp;"#"&amp;I521&amp;" &gt; "&amp;F521&amp;" p"&amp;G521</f>
        <v/>
      </c>
      <c r="R521" s="9" t="inlineStr">
        <is>
          <t>ODF-08/09</t>
        </is>
      </c>
      <c r="S521" s="9" t="inlineStr">
        <is>
          <t>Phải</t>
        </is>
      </c>
      <c r="T521" s="9" t="inlineStr">
        <is>
          <t>H2-C4</t>
        </is>
      </c>
      <c r="U521" s="9" t="inlineStr">
        <is>
          <t>B-41</t>
        </is>
      </c>
    </row>
    <row r="522">
      <c r="A522" s="151" t="inlineStr">
        <is>
          <t>B-11-05</t>
        </is>
      </c>
      <c r="B522" s="102" t="inlineStr">
        <is>
          <t>B</t>
        </is>
      </c>
      <c r="C522" s="102" t="inlineStr">
        <is>
          <t>11</t>
        </is>
      </c>
      <c r="D522" s="102" t="n">
        <v>5</v>
      </c>
      <c r="E522" s="102" t="inlineStr">
        <is>
          <t>TU-B11</t>
        </is>
      </c>
      <c r="F522" s="102" t="inlineStr">
        <is>
          <t>TU-B11/S2</t>
        </is>
      </c>
      <c r="G522" s="102" t="n">
        <v>5</v>
      </c>
      <c r="H522" s="102" t="inlineStr">
        <is>
          <t>TR-B2</t>
        </is>
      </c>
      <c r="I522" s="102" t="n">
        <v>10</v>
      </c>
      <c r="J522" s="102" t="inlineStr">
        <is>
          <t>Ống 2 Cam / Nâu</t>
        </is>
      </c>
      <c r="K522" s="102" t="inlineStr">
        <is>
          <t>S4-13</t>
        </is>
      </c>
      <c r="L522" s="102" t="inlineStr">
        <is>
          <t>B-17</t>
        </is>
      </c>
      <c r="M522" s="102" t="inlineStr">
        <is>
          <t>PON-13</t>
        </is>
      </c>
      <c r="N522" s="102" t="inlineStr">
        <is>
          <t>Chưa lắp</t>
        </is>
      </c>
      <c r="O522" s="151" t="n"/>
      <c r="P522" s="152" t="n"/>
      <c r="Q522" s="13">
        <f>M522&amp;" &gt; P96#"&amp;U522&amp;" &gt; "&amp;K522&amp;" &gt; P96#"&amp;L522&amp;" &gt; "&amp;R522&amp;" "&amp;S522&amp;" "&amp;T522&amp;" &gt; "&amp;H522&amp;"#"&amp;I522&amp;" &gt; "&amp;F522&amp;" p"&amp;G522</f>
        <v/>
      </c>
      <c r="R522" s="9" t="inlineStr">
        <is>
          <t>ODF-08/09</t>
        </is>
      </c>
      <c r="S522" s="9" t="inlineStr">
        <is>
          <t>Phải</t>
        </is>
      </c>
      <c r="T522" s="9" t="inlineStr">
        <is>
          <t>H2-C4</t>
        </is>
      </c>
      <c r="U522" s="9" t="inlineStr">
        <is>
          <t>B-41</t>
        </is>
      </c>
    </row>
    <row r="523">
      <c r="A523" s="151" t="inlineStr">
        <is>
          <t>B-11-06</t>
        </is>
      </c>
      <c r="B523" s="102" t="inlineStr">
        <is>
          <t>B</t>
        </is>
      </c>
      <c r="C523" s="102" t="inlineStr">
        <is>
          <t>11</t>
        </is>
      </c>
      <c r="D523" s="102" t="n">
        <v>6</v>
      </c>
      <c r="E523" s="102" t="inlineStr">
        <is>
          <t>TU-B11</t>
        </is>
      </c>
      <c r="F523" s="102" t="inlineStr">
        <is>
          <t>TU-B11/S2</t>
        </is>
      </c>
      <c r="G523" s="102" t="n">
        <v>6</v>
      </c>
      <c r="H523" s="102" t="inlineStr">
        <is>
          <t>TR-B2</t>
        </is>
      </c>
      <c r="I523" s="102" t="n">
        <v>10</v>
      </c>
      <c r="J523" s="102" t="inlineStr">
        <is>
          <t>Ống 2 Cam / Nâu</t>
        </is>
      </c>
      <c r="K523" s="102" t="inlineStr">
        <is>
          <t>S4-13</t>
        </is>
      </c>
      <c r="L523" s="102" t="inlineStr">
        <is>
          <t>B-17</t>
        </is>
      </c>
      <c r="M523" s="102" t="inlineStr">
        <is>
          <t>PON-13</t>
        </is>
      </c>
      <c r="N523" s="102" t="inlineStr">
        <is>
          <t>Chưa lắp</t>
        </is>
      </c>
      <c r="O523" s="151" t="n"/>
      <c r="P523" s="152" t="n"/>
      <c r="Q523" s="13">
        <f>M523&amp;" &gt; P96#"&amp;U523&amp;" &gt; "&amp;K523&amp;" &gt; P96#"&amp;L523&amp;" &gt; "&amp;R523&amp;" "&amp;S523&amp;" "&amp;T523&amp;" &gt; "&amp;H523&amp;"#"&amp;I523&amp;" &gt; "&amp;F523&amp;" p"&amp;G523</f>
        <v/>
      </c>
      <c r="R523" s="9" t="inlineStr">
        <is>
          <t>ODF-08/09</t>
        </is>
      </c>
      <c r="S523" s="9" t="inlineStr">
        <is>
          <t>Phải</t>
        </is>
      </c>
      <c r="T523" s="9" t="inlineStr">
        <is>
          <t>H2-C4</t>
        </is>
      </c>
      <c r="U523" s="9" t="inlineStr">
        <is>
          <t>B-41</t>
        </is>
      </c>
    </row>
    <row r="524">
      <c r="A524" s="151" t="inlineStr">
        <is>
          <t>B-11-07</t>
        </is>
      </c>
      <c r="B524" s="102" t="inlineStr">
        <is>
          <t>B</t>
        </is>
      </c>
      <c r="C524" s="102" t="inlineStr">
        <is>
          <t>11</t>
        </is>
      </c>
      <c r="D524" s="102" t="n">
        <v>7</v>
      </c>
      <c r="E524" s="102" t="inlineStr">
        <is>
          <t>TU-B11</t>
        </is>
      </c>
      <c r="F524" s="102" t="inlineStr">
        <is>
          <t>TU-B11/S2</t>
        </is>
      </c>
      <c r="G524" s="102" t="n">
        <v>7</v>
      </c>
      <c r="H524" s="102" t="inlineStr">
        <is>
          <t>TR-B2</t>
        </is>
      </c>
      <c r="I524" s="102" t="n">
        <v>10</v>
      </c>
      <c r="J524" s="102" t="inlineStr">
        <is>
          <t>Ống 2 Cam / Nâu</t>
        </is>
      </c>
      <c r="K524" s="102" t="inlineStr">
        <is>
          <t>S4-13</t>
        </is>
      </c>
      <c r="L524" s="102" t="inlineStr">
        <is>
          <t>B-17</t>
        </is>
      </c>
      <c r="M524" s="102" t="inlineStr">
        <is>
          <t>PON-13</t>
        </is>
      </c>
      <c r="N524" s="102" t="inlineStr">
        <is>
          <t>Chưa lắp</t>
        </is>
      </c>
      <c r="O524" s="151" t="n"/>
      <c r="P524" s="152" t="n"/>
      <c r="Q524" s="13">
        <f>M524&amp;" &gt; P96#"&amp;U524&amp;" &gt; "&amp;K524&amp;" &gt; P96#"&amp;L524&amp;" &gt; "&amp;R524&amp;" "&amp;S524&amp;" "&amp;T524&amp;" &gt; "&amp;H524&amp;"#"&amp;I524&amp;" &gt; "&amp;F524&amp;" p"&amp;G524</f>
        <v/>
      </c>
      <c r="R524" s="9" t="inlineStr">
        <is>
          <t>ODF-08/09</t>
        </is>
      </c>
      <c r="S524" s="9" t="inlineStr">
        <is>
          <t>Phải</t>
        </is>
      </c>
      <c r="T524" s="9" t="inlineStr">
        <is>
          <t>H2-C4</t>
        </is>
      </c>
      <c r="U524" s="9" t="inlineStr">
        <is>
          <t>B-41</t>
        </is>
      </c>
    </row>
    <row r="525">
      <c r="A525" s="151" t="inlineStr">
        <is>
          <t>B-11-08</t>
        </is>
      </c>
      <c r="B525" s="102" t="inlineStr">
        <is>
          <t>B</t>
        </is>
      </c>
      <c r="C525" s="102" t="inlineStr">
        <is>
          <t>11</t>
        </is>
      </c>
      <c r="D525" s="102" t="n">
        <v>8</v>
      </c>
      <c r="E525" s="102" t="inlineStr">
        <is>
          <t>TU-B11</t>
        </is>
      </c>
      <c r="F525" s="102" t="inlineStr">
        <is>
          <t>TU-B11/S2</t>
        </is>
      </c>
      <c r="G525" s="102" t="n">
        <v>8</v>
      </c>
      <c r="H525" s="102" t="inlineStr">
        <is>
          <t>TR-B2</t>
        </is>
      </c>
      <c r="I525" s="102" t="n">
        <v>10</v>
      </c>
      <c r="J525" s="102" t="inlineStr">
        <is>
          <t>Ống 2 Cam / Nâu</t>
        </is>
      </c>
      <c r="K525" s="102" t="inlineStr">
        <is>
          <t>S4-13</t>
        </is>
      </c>
      <c r="L525" s="102" t="inlineStr">
        <is>
          <t>B-17</t>
        </is>
      </c>
      <c r="M525" s="102" t="inlineStr">
        <is>
          <t>PON-13</t>
        </is>
      </c>
      <c r="N525" s="102" t="inlineStr">
        <is>
          <t>Chưa lắp</t>
        </is>
      </c>
      <c r="O525" s="151" t="n"/>
      <c r="P525" s="152" t="n"/>
      <c r="Q525" s="13">
        <f>M525&amp;" &gt; P96#"&amp;U525&amp;" &gt; "&amp;K525&amp;" &gt; P96#"&amp;L525&amp;" &gt; "&amp;R525&amp;" "&amp;S525&amp;" "&amp;T525&amp;" &gt; "&amp;H525&amp;"#"&amp;I525&amp;" &gt; "&amp;F525&amp;" p"&amp;G525</f>
        <v/>
      </c>
      <c r="R525" s="9" t="inlineStr">
        <is>
          <t>ODF-08/09</t>
        </is>
      </c>
      <c r="S525" s="9" t="inlineStr">
        <is>
          <t>Phải</t>
        </is>
      </c>
      <c r="T525" s="9" t="inlineStr">
        <is>
          <t>H2-C4</t>
        </is>
      </c>
      <c r="U525" s="9" t="inlineStr">
        <is>
          <t>B-41</t>
        </is>
      </c>
    </row>
    <row r="526">
      <c r="A526" s="151" t="inlineStr">
        <is>
          <t>B-11-09</t>
        </is>
      </c>
      <c r="B526" s="102" t="inlineStr">
        <is>
          <t>B</t>
        </is>
      </c>
      <c r="C526" s="102" t="inlineStr">
        <is>
          <t>11</t>
        </is>
      </c>
      <c r="D526" s="102" t="n">
        <v>9</v>
      </c>
      <c r="E526" s="102" t="inlineStr">
        <is>
          <t>TU-B11</t>
        </is>
      </c>
      <c r="F526" s="102" t="inlineStr">
        <is>
          <t>TU-B11/S2</t>
        </is>
      </c>
      <c r="G526" s="102" t="n">
        <v>9</v>
      </c>
      <c r="H526" s="102" t="inlineStr">
        <is>
          <t>TR-B2</t>
        </is>
      </c>
      <c r="I526" s="102" t="n">
        <v>10</v>
      </c>
      <c r="J526" s="102" t="inlineStr">
        <is>
          <t>Ống 2 Cam / Nâu</t>
        </is>
      </c>
      <c r="K526" s="102" t="inlineStr">
        <is>
          <t>S4-13</t>
        </is>
      </c>
      <c r="L526" s="102" t="inlineStr">
        <is>
          <t>B-17</t>
        </is>
      </c>
      <c r="M526" s="102" t="inlineStr">
        <is>
          <t>PON-13</t>
        </is>
      </c>
      <c r="N526" s="102" t="inlineStr">
        <is>
          <t>Chưa lắp</t>
        </is>
      </c>
      <c r="O526" s="151" t="n"/>
      <c r="P526" s="152" t="n"/>
      <c r="Q526" s="13">
        <f>M526&amp;" &gt; P96#"&amp;U526&amp;" &gt; "&amp;K526&amp;" &gt; P96#"&amp;L526&amp;" &gt; "&amp;R526&amp;" "&amp;S526&amp;" "&amp;T526&amp;" &gt; "&amp;H526&amp;"#"&amp;I526&amp;" &gt; "&amp;F526&amp;" p"&amp;G526</f>
        <v/>
      </c>
      <c r="R526" s="9" t="inlineStr">
        <is>
          <t>ODF-08/09</t>
        </is>
      </c>
      <c r="S526" s="9" t="inlineStr">
        <is>
          <t>Phải</t>
        </is>
      </c>
      <c r="T526" s="9" t="inlineStr">
        <is>
          <t>H2-C4</t>
        </is>
      </c>
      <c r="U526" s="9" t="inlineStr">
        <is>
          <t>B-41</t>
        </is>
      </c>
    </row>
    <row r="527">
      <c r="A527" s="151" t="inlineStr">
        <is>
          <t>B-11-10</t>
        </is>
      </c>
      <c r="B527" s="102" t="inlineStr">
        <is>
          <t>B</t>
        </is>
      </c>
      <c r="C527" s="102" t="inlineStr">
        <is>
          <t>11</t>
        </is>
      </c>
      <c r="D527" s="102" t="n">
        <v>10</v>
      </c>
      <c r="E527" s="102" t="inlineStr">
        <is>
          <t>TU-B11</t>
        </is>
      </c>
      <c r="F527" s="102" t="inlineStr">
        <is>
          <t>TU-B11/S2</t>
        </is>
      </c>
      <c r="G527" s="102" t="n">
        <v>10</v>
      </c>
      <c r="H527" s="102" t="inlineStr">
        <is>
          <t>TR-B2</t>
        </is>
      </c>
      <c r="I527" s="102" t="n">
        <v>10</v>
      </c>
      <c r="J527" s="102" t="inlineStr">
        <is>
          <t>Ống 2 Cam / Nâu</t>
        </is>
      </c>
      <c r="K527" s="102" t="inlineStr">
        <is>
          <t>S4-13</t>
        </is>
      </c>
      <c r="L527" s="102" t="inlineStr">
        <is>
          <t>B-17</t>
        </is>
      </c>
      <c r="M527" s="102" t="inlineStr">
        <is>
          <t>PON-13</t>
        </is>
      </c>
      <c r="N527" s="102" t="inlineStr">
        <is>
          <t>Chưa lắp</t>
        </is>
      </c>
      <c r="O527" s="151" t="n"/>
      <c r="P527" s="152" t="n"/>
      <c r="Q527" s="13">
        <f>M527&amp;" &gt; P96#"&amp;U527&amp;" &gt; "&amp;K527&amp;" &gt; P96#"&amp;L527&amp;" &gt; "&amp;R527&amp;" "&amp;S527&amp;" "&amp;T527&amp;" &gt; "&amp;H527&amp;"#"&amp;I527&amp;" &gt; "&amp;F527&amp;" p"&amp;G527</f>
        <v/>
      </c>
      <c r="R527" s="9" t="inlineStr">
        <is>
          <t>ODF-08/09</t>
        </is>
      </c>
      <c r="S527" s="9" t="inlineStr">
        <is>
          <t>Phải</t>
        </is>
      </c>
      <c r="T527" s="9" t="inlineStr">
        <is>
          <t>H2-C4</t>
        </is>
      </c>
      <c r="U527" s="9" t="inlineStr">
        <is>
          <t>B-41</t>
        </is>
      </c>
    </row>
    <row r="528">
      <c r="A528" s="151" t="inlineStr">
        <is>
          <t>B-11-11</t>
        </is>
      </c>
      <c r="B528" s="102" t="inlineStr">
        <is>
          <t>B</t>
        </is>
      </c>
      <c r="C528" s="102" t="inlineStr">
        <is>
          <t>11</t>
        </is>
      </c>
      <c r="D528" s="102" t="n">
        <v>11</v>
      </c>
      <c r="E528" s="102" t="inlineStr">
        <is>
          <t>TU-B11</t>
        </is>
      </c>
      <c r="F528" s="102" t="inlineStr">
        <is>
          <t>TU-B11/S2</t>
        </is>
      </c>
      <c r="G528" s="102" t="n">
        <v>11</v>
      </c>
      <c r="H528" s="102" t="inlineStr">
        <is>
          <t>TR-B2</t>
        </is>
      </c>
      <c r="I528" s="102" t="n">
        <v>10</v>
      </c>
      <c r="J528" s="102" t="inlineStr">
        <is>
          <t>Ống 2 Cam / Nâu</t>
        </is>
      </c>
      <c r="K528" s="102" t="inlineStr">
        <is>
          <t>S4-13</t>
        </is>
      </c>
      <c r="L528" s="102" t="inlineStr">
        <is>
          <t>B-17</t>
        </is>
      </c>
      <c r="M528" s="102" t="inlineStr">
        <is>
          <t>PON-13</t>
        </is>
      </c>
      <c r="N528" s="102" t="inlineStr">
        <is>
          <t>Chưa lắp</t>
        </is>
      </c>
      <c r="O528" s="151" t="n"/>
      <c r="P528" s="152" t="n"/>
      <c r="Q528" s="13">
        <f>M528&amp;" &gt; P96#"&amp;U528&amp;" &gt; "&amp;K528&amp;" &gt; P96#"&amp;L528&amp;" &gt; "&amp;R528&amp;" "&amp;S528&amp;" "&amp;T528&amp;" &gt; "&amp;H528&amp;"#"&amp;I528&amp;" &gt; "&amp;F528&amp;" p"&amp;G528</f>
        <v/>
      </c>
      <c r="R528" s="9" t="inlineStr">
        <is>
          <t>ODF-08/09</t>
        </is>
      </c>
      <c r="S528" s="9" t="inlineStr">
        <is>
          <t>Phải</t>
        </is>
      </c>
      <c r="T528" s="9" t="inlineStr">
        <is>
          <t>H2-C4</t>
        </is>
      </c>
      <c r="U528" s="9" t="inlineStr">
        <is>
          <t>B-41</t>
        </is>
      </c>
    </row>
    <row r="529">
      <c r="A529" s="151" t="inlineStr">
        <is>
          <t>B-11-12</t>
        </is>
      </c>
      <c r="B529" s="102" t="inlineStr">
        <is>
          <t>B</t>
        </is>
      </c>
      <c r="C529" s="102" t="inlineStr">
        <is>
          <t>11</t>
        </is>
      </c>
      <c r="D529" s="102" t="n">
        <v>12</v>
      </c>
      <c r="E529" s="102" t="inlineStr">
        <is>
          <t>TU-B11</t>
        </is>
      </c>
      <c r="F529" s="102" t="inlineStr">
        <is>
          <t>TU-B11/S2</t>
        </is>
      </c>
      <c r="G529" s="102" t="n">
        <v>12</v>
      </c>
      <c r="H529" s="102" t="inlineStr">
        <is>
          <t>TR-B2</t>
        </is>
      </c>
      <c r="I529" s="102" t="n">
        <v>10</v>
      </c>
      <c r="J529" s="102" t="inlineStr">
        <is>
          <t>Ống 2 Cam / Nâu</t>
        </is>
      </c>
      <c r="K529" s="102" t="inlineStr">
        <is>
          <t>S4-13</t>
        </is>
      </c>
      <c r="L529" s="102" t="inlineStr">
        <is>
          <t>B-17</t>
        </is>
      </c>
      <c r="M529" s="102" t="inlineStr">
        <is>
          <t>PON-13</t>
        </is>
      </c>
      <c r="N529" s="102" t="inlineStr">
        <is>
          <t>Chưa lắp</t>
        </is>
      </c>
      <c r="O529" s="151" t="n"/>
      <c r="P529" s="152" t="n"/>
      <c r="Q529" s="13">
        <f>M529&amp;" &gt; P96#"&amp;U529&amp;" &gt; "&amp;K529&amp;" &gt; P96#"&amp;L529&amp;" &gt; "&amp;R529&amp;" "&amp;S529&amp;" "&amp;T529&amp;" &gt; "&amp;H529&amp;"#"&amp;I529&amp;" &gt; "&amp;F529&amp;" p"&amp;G529</f>
        <v/>
      </c>
      <c r="R529" s="9" t="inlineStr">
        <is>
          <t>ODF-08/09</t>
        </is>
      </c>
      <c r="S529" s="9" t="inlineStr">
        <is>
          <t>Phải</t>
        </is>
      </c>
      <c r="T529" s="9" t="inlineStr">
        <is>
          <t>H2-C4</t>
        </is>
      </c>
      <c r="U529" s="9" t="inlineStr">
        <is>
          <t>B-41</t>
        </is>
      </c>
    </row>
    <row r="530">
      <c r="A530" s="151" t="inlineStr">
        <is>
          <t>B-11-13</t>
        </is>
      </c>
      <c r="B530" s="102" t="inlineStr">
        <is>
          <t>B</t>
        </is>
      </c>
      <c r="C530" s="102" t="inlineStr">
        <is>
          <t>11</t>
        </is>
      </c>
      <c r="D530" s="102" t="n">
        <v>13</v>
      </c>
      <c r="E530" s="102" t="inlineStr">
        <is>
          <t>TU-B11</t>
        </is>
      </c>
      <c r="F530" s="102" t="inlineStr">
        <is>
          <t>TU-B11/S2</t>
        </is>
      </c>
      <c r="G530" s="102" t="n">
        <v>13</v>
      </c>
      <c r="H530" s="102" t="inlineStr">
        <is>
          <t>TR-B2</t>
        </is>
      </c>
      <c r="I530" s="102" t="n">
        <v>10</v>
      </c>
      <c r="J530" s="102" t="inlineStr">
        <is>
          <t>Ống 2 Cam / Nâu</t>
        </is>
      </c>
      <c r="K530" s="102" t="inlineStr">
        <is>
          <t>S4-13</t>
        </is>
      </c>
      <c r="L530" s="102" t="inlineStr">
        <is>
          <t>B-17</t>
        </is>
      </c>
      <c r="M530" s="102" t="inlineStr">
        <is>
          <t>PON-13</t>
        </is>
      </c>
      <c r="N530" s="102" t="inlineStr">
        <is>
          <t>Chưa lắp</t>
        </is>
      </c>
      <c r="O530" s="151" t="n"/>
      <c r="P530" s="152" t="n"/>
      <c r="Q530" s="13">
        <f>M530&amp;" &gt; P96#"&amp;U530&amp;" &gt; "&amp;K530&amp;" &gt; P96#"&amp;L530&amp;" &gt; "&amp;R530&amp;" "&amp;S530&amp;" "&amp;T530&amp;" &gt; "&amp;H530&amp;"#"&amp;I530&amp;" &gt; "&amp;F530&amp;" p"&amp;G530</f>
        <v/>
      </c>
      <c r="R530" s="9" t="inlineStr">
        <is>
          <t>ODF-08/09</t>
        </is>
      </c>
      <c r="S530" s="9" t="inlineStr">
        <is>
          <t>Phải</t>
        </is>
      </c>
      <c r="T530" s="9" t="inlineStr">
        <is>
          <t>H2-C4</t>
        </is>
      </c>
      <c r="U530" s="9" t="inlineStr">
        <is>
          <t>B-41</t>
        </is>
      </c>
    </row>
    <row r="531">
      <c r="A531" s="151" t="inlineStr">
        <is>
          <t>B-11-14</t>
        </is>
      </c>
      <c r="B531" s="102" t="inlineStr">
        <is>
          <t>B</t>
        </is>
      </c>
      <c r="C531" s="102" t="inlineStr">
        <is>
          <t>11</t>
        </is>
      </c>
      <c r="D531" s="102" t="n">
        <v>14</v>
      </c>
      <c r="E531" s="102" t="inlineStr">
        <is>
          <t>TU-B11</t>
        </is>
      </c>
      <c r="F531" s="102" t="inlineStr">
        <is>
          <t>TU-B11/S2</t>
        </is>
      </c>
      <c r="G531" s="102" t="n">
        <v>14</v>
      </c>
      <c r="H531" s="102" t="inlineStr">
        <is>
          <t>TR-B2</t>
        </is>
      </c>
      <c r="I531" s="102" t="n">
        <v>10</v>
      </c>
      <c r="J531" s="102" t="inlineStr">
        <is>
          <t>Ống 2 Cam / Nâu</t>
        </is>
      </c>
      <c r="K531" s="102" t="inlineStr">
        <is>
          <t>S4-13</t>
        </is>
      </c>
      <c r="L531" s="102" t="inlineStr">
        <is>
          <t>B-17</t>
        </is>
      </c>
      <c r="M531" s="102" t="inlineStr">
        <is>
          <t>PON-13</t>
        </is>
      </c>
      <c r="N531" s="102" t="inlineStr">
        <is>
          <t>Chưa lắp</t>
        </is>
      </c>
      <c r="O531" s="151" t="n"/>
      <c r="P531" s="152" t="n"/>
      <c r="Q531" s="13">
        <f>M531&amp;" &gt; P96#"&amp;U531&amp;" &gt; "&amp;K531&amp;" &gt; P96#"&amp;L531&amp;" &gt; "&amp;R531&amp;" "&amp;S531&amp;" "&amp;T531&amp;" &gt; "&amp;H531&amp;"#"&amp;I531&amp;" &gt; "&amp;F531&amp;" p"&amp;G531</f>
        <v/>
      </c>
      <c r="R531" s="9" t="inlineStr">
        <is>
          <t>ODF-08/09</t>
        </is>
      </c>
      <c r="S531" s="9" t="inlineStr">
        <is>
          <t>Phải</t>
        </is>
      </c>
      <c r="T531" s="9" t="inlineStr">
        <is>
          <t>H2-C4</t>
        </is>
      </c>
      <c r="U531" s="9" t="inlineStr">
        <is>
          <t>B-41</t>
        </is>
      </c>
    </row>
    <row r="532">
      <c r="A532" s="151" t="inlineStr">
        <is>
          <t>B-10-01</t>
        </is>
      </c>
      <c r="B532" s="102" t="inlineStr">
        <is>
          <t>B</t>
        </is>
      </c>
      <c r="C532" s="102" t="inlineStr">
        <is>
          <t>10</t>
        </is>
      </c>
      <c r="D532" s="102" t="n">
        <v>1</v>
      </c>
      <c r="E532" s="102" t="inlineStr">
        <is>
          <t>TU-B11</t>
        </is>
      </c>
      <c r="F532" s="102" t="inlineStr">
        <is>
          <t>TU-B11/S1</t>
        </is>
      </c>
      <c r="G532" s="102" t="n">
        <v>1</v>
      </c>
      <c r="H532" s="102" t="inlineStr">
        <is>
          <t>TR-B2</t>
        </is>
      </c>
      <c r="I532" s="102" t="n">
        <v>9</v>
      </c>
      <c r="J532" s="102" t="inlineStr">
        <is>
          <t>Ống 2 Cam / Xanh lá</t>
        </is>
      </c>
      <c r="K532" s="102" t="inlineStr">
        <is>
          <t>S4-12</t>
        </is>
      </c>
      <c r="L532" s="102" t="inlineStr">
        <is>
          <t>B-15</t>
        </is>
      </c>
      <c r="M532" s="102" t="inlineStr">
        <is>
          <t>PON-12</t>
        </is>
      </c>
      <c r="N532" s="102" t="inlineStr">
        <is>
          <t>Chưa lắp</t>
        </is>
      </c>
      <c r="O532" s="151" t="n"/>
      <c r="P532" s="152" t="n"/>
      <c r="Q532" s="13">
        <f>M532&amp;" &gt; P96#"&amp;U532&amp;" &gt; "&amp;K532&amp;" &gt; P96#"&amp;L532&amp;" &gt; "&amp;R532&amp;" "&amp;S532&amp;" "&amp;T532&amp;" &gt; "&amp;H532&amp;"#"&amp;I532&amp;" &gt; "&amp;F532&amp;" p"&amp;G532</f>
        <v/>
      </c>
      <c r="R532" s="9" t="inlineStr">
        <is>
          <t>ODF-08/09</t>
        </is>
      </c>
      <c r="S532" s="9" t="inlineStr">
        <is>
          <t>Phải</t>
        </is>
      </c>
      <c r="T532" s="9" t="inlineStr">
        <is>
          <t>H2-C3</t>
        </is>
      </c>
      <c r="U532" s="9" t="inlineStr">
        <is>
          <t>B-40</t>
        </is>
      </c>
    </row>
    <row r="533">
      <c r="A533" s="151" t="inlineStr">
        <is>
          <t>B-10-02</t>
        </is>
      </c>
      <c r="B533" s="102" t="inlineStr">
        <is>
          <t>B</t>
        </is>
      </c>
      <c r="C533" s="102" t="inlineStr">
        <is>
          <t>10</t>
        </is>
      </c>
      <c r="D533" s="102" t="n">
        <v>2</v>
      </c>
      <c r="E533" s="102" t="inlineStr">
        <is>
          <t>TU-B11</t>
        </is>
      </c>
      <c r="F533" s="102" t="inlineStr">
        <is>
          <t>TU-B11/S1</t>
        </is>
      </c>
      <c r="G533" s="102" t="n">
        <v>2</v>
      </c>
      <c r="H533" s="102" t="inlineStr">
        <is>
          <t>TR-B2</t>
        </is>
      </c>
      <c r="I533" s="102" t="n">
        <v>9</v>
      </c>
      <c r="J533" s="102" t="inlineStr">
        <is>
          <t>Ống 2 Cam / Xanh lá</t>
        </is>
      </c>
      <c r="K533" s="102" t="inlineStr">
        <is>
          <t>S4-12</t>
        </is>
      </c>
      <c r="L533" s="102" t="inlineStr">
        <is>
          <t>B-15</t>
        </is>
      </c>
      <c r="M533" s="102" t="inlineStr">
        <is>
          <t>PON-12</t>
        </is>
      </c>
      <c r="N533" s="102" t="inlineStr">
        <is>
          <t>Chưa lắp</t>
        </is>
      </c>
      <c r="O533" s="151" t="n"/>
      <c r="P533" s="152" t="n"/>
      <c r="Q533" s="13">
        <f>M533&amp;" &gt; P96#"&amp;U533&amp;" &gt; "&amp;K533&amp;" &gt; P96#"&amp;L533&amp;" &gt; "&amp;R533&amp;" "&amp;S533&amp;" "&amp;T533&amp;" &gt; "&amp;H533&amp;"#"&amp;I533&amp;" &gt; "&amp;F533&amp;" p"&amp;G533</f>
        <v/>
      </c>
      <c r="R533" s="9" t="inlineStr">
        <is>
          <t>ODF-08/09</t>
        </is>
      </c>
      <c r="S533" s="9" t="inlineStr">
        <is>
          <t>Phải</t>
        </is>
      </c>
      <c r="T533" s="9" t="inlineStr">
        <is>
          <t>H2-C3</t>
        </is>
      </c>
      <c r="U533" s="9" t="inlineStr">
        <is>
          <t>B-40</t>
        </is>
      </c>
    </row>
    <row r="534">
      <c r="A534" s="149" t="inlineStr">
        <is>
          <t>B-10-03</t>
        </is>
      </c>
      <c r="B534" s="99" t="inlineStr">
        <is>
          <t>B</t>
        </is>
      </c>
      <c r="C534" s="99" t="inlineStr">
        <is>
          <t>10</t>
        </is>
      </c>
      <c r="D534" s="99" t="n">
        <v>3</v>
      </c>
      <c r="E534" s="99" t="inlineStr">
        <is>
          <t>TU-B11</t>
        </is>
      </c>
      <c r="F534" s="99" t="inlineStr">
        <is>
          <t>TU-B11/S1</t>
        </is>
      </c>
      <c r="G534" s="99" t="n">
        <v>3</v>
      </c>
      <c r="H534" s="99" t="inlineStr">
        <is>
          <t>TR-B2</t>
        </is>
      </c>
      <c r="I534" s="99" t="n">
        <v>9</v>
      </c>
      <c r="J534" s="99" t="inlineStr">
        <is>
          <t>Ống 2 Cam / Xanh lá</t>
        </is>
      </c>
      <c r="K534" s="99" t="inlineStr">
        <is>
          <t>S4-12</t>
        </is>
      </c>
      <c r="L534" s="99" t="inlineStr">
        <is>
          <t>B-15</t>
        </is>
      </c>
      <c r="M534" s="99" t="inlineStr">
        <is>
          <t>PON-12</t>
        </is>
      </c>
      <c r="N534" s="99" t="inlineStr">
        <is>
          <t>Chưa lắp</t>
        </is>
      </c>
      <c r="O534" s="149" t="n"/>
      <c r="P534" s="150" t="n"/>
      <c r="Q534" s="13">
        <f>M534&amp;" &gt; P96#"&amp;U534&amp;" &gt; "&amp;K534&amp;" &gt; P96#"&amp;L534&amp;" &gt; "&amp;R534&amp;" "&amp;S534&amp;" "&amp;T534&amp;" &gt; "&amp;H534&amp;"#"&amp;I534&amp;" &gt; "&amp;F534&amp;" p"&amp;G534</f>
        <v/>
      </c>
      <c r="R534" s="9" t="inlineStr">
        <is>
          <t>ODF-08/09</t>
        </is>
      </c>
      <c r="S534" s="9" t="inlineStr">
        <is>
          <t>Phải</t>
        </is>
      </c>
      <c r="T534" s="9" t="inlineStr">
        <is>
          <t>H2-C3</t>
        </is>
      </c>
      <c r="U534" s="9" t="inlineStr">
        <is>
          <t>B-40</t>
        </is>
      </c>
    </row>
    <row r="535">
      <c r="A535" s="149" t="inlineStr">
        <is>
          <t>B-10-04</t>
        </is>
      </c>
      <c r="B535" s="99" t="inlineStr">
        <is>
          <t>B</t>
        </is>
      </c>
      <c r="C535" s="99" t="inlineStr">
        <is>
          <t>10</t>
        </is>
      </c>
      <c r="D535" s="99" t="n">
        <v>4</v>
      </c>
      <c r="E535" s="99" t="inlineStr">
        <is>
          <t>TU-B11</t>
        </is>
      </c>
      <c r="F535" s="99" t="inlineStr">
        <is>
          <t>TU-B11/S1</t>
        </is>
      </c>
      <c r="G535" s="99" t="n">
        <v>4</v>
      </c>
      <c r="H535" s="99" t="inlineStr">
        <is>
          <t>TR-B2</t>
        </is>
      </c>
      <c r="I535" s="99" t="n">
        <v>9</v>
      </c>
      <c r="J535" s="99" t="inlineStr">
        <is>
          <t>Ống 2 Cam / Xanh lá</t>
        </is>
      </c>
      <c r="K535" s="99" t="inlineStr">
        <is>
          <t>S4-12</t>
        </is>
      </c>
      <c r="L535" s="99" t="inlineStr">
        <is>
          <t>B-15</t>
        </is>
      </c>
      <c r="M535" s="99" t="inlineStr">
        <is>
          <t>PON-12</t>
        </is>
      </c>
      <c r="N535" s="99" t="inlineStr">
        <is>
          <t>Chưa lắp</t>
        </is>
      </c>
      <c r="O535" s="149" t="n"/>
      <c r="P535" s="150" t="n"/>
      <c r="Q535" s="13">
        <f>M535&amp;" &gt; P96#"&amp;U535&amp;" &gt; "&amp;K535&amp;" &gt; P96#"&amp;L535&amp;" &gt; "&amp;R535&amp;" "&amp;S535&amp;" "&amp;T535&amp;" &gt; "&amp;H535&amp;"#"&amp;I535&amp;" &gt; "&amp;F535&amp;" p"&amp;G535</f>
        <v/>
      </c>
      <c r="R535" s="9" t="inlineStr">
        <is>
          <t>ODF-08/09</t>
        </is>
      </c>
      <c r="S535" s="9" t="inlineStr">
        <is>
          <t>Phải</t>
        </is>
      </c>
      <c r="T535" s="9" t="inlineStr">
        <is>
          <t>H2-C3</t>
        </is>
      </c>
      <c r="U535" s="9" t="inlineStr">
        <is>
          <t>B-40</t>
        </is>
      </c>
    </row>
    <row r="536">
      <c r="A536" s="149" t="inlineStr">
        <is>
          <t>B-10-05</t>
        </is>
      </c>
      <c r="B536" s="99" t="inlineStr">
        <is>
          <t>B</t>
        </is>
      </c>
      <c r="C536" s="99" t="inlineStr">
        <is>
          <t>10</t>
        </is>
      </c>
      <c r="D536" s="99" t="n">
        <v>5</v>
      </c>
      <c r="E536" s="99" t="inlineStr">
        <is>
          <t>TU-B11</t>
        </is>
      </c>
      <c r="F536" s="99" t="inlineStr">
        <is>
          <t>TU-B11/S1</t>
        </is>
      </c>
      <c r="G536" s="99" t="n">
        <v>5</v>
      </c>
      <c r="H536" s="99" t="inlineStr">
        <is>
          <t>TR-B2</t>
        </is>
      </c>
      <c r="I536" s="99" t="n">
        <v>9</v>
      </c>
      <c r="J536" s="99" t="inlineStr">
        <is>
          <t>Ống 2 Cam / Xanh lá</t>
        </is>
      </c>
      <c r="K536" s="99" t="inlineStr">
        <is>
          <t>S4-12</t>
        </is>
      </c>
      <c r="L536" s="99" t="inlineStr">
        <is>
          <t>B-15</t>
        </is>
      </c>
      <c r="M536" s="99" t="inlineStr">
        <is>
          <t>PON-12</t>
        </is>
      </c>
      <c r="N536" s="99" t="inlineStr">
        <is>
          <t>Chưa lắp</t>
        </is>
      </c>
      <c r="O536" s="149" t="n"/>
      <c r="P536" s="150" t="n"/>
      <c r="Q536" s="13">
        <f>M536&amp;" &gt; P96#"&amp;U536&amp;" &gt; "&amp;K536&amp;" &gt; P96#"&amp;L536&amp;" &gt; "&amp;R536&amp;" "&amp;S536&amp;" "&amp;T536&amp;" &gt; "&amp;H536&amp;"#"&amp;I536&amp;" &gt; "&amp;F536&amp;" p"&amp;G536</f>
        <v/>
      </c>
      <c r="R536" s="9" t="inlineStr">
        <is>
          <t>ODF-08/09</t>
        </is>
      </c>
      <c r="S536" s="9" t="inlineStr">
        <is>
          <t>Phải</t>
        </is>
      </c>
      <c r="T536" s="9" t="inlineStr">
        <is>
          <t>H2-C3</t>
        </is>
      </c>
      <c r="U536" s="9" t="inlineStr">
        <is>
          <t>B-40</t>
        </is>
      </c>
    </row>
    <row r="537">
      <c r="A537" s="149" t="inlineStr">
        <is>
          <t>B-10-06</t>
        </is>
      </c>
      <c r="B537" s="99" t="inlineStr">
        <is>
          <t>B</t>
        </is>
      </c>
      <c r="C537" s="99" t="inlineStr">
        <is>
          <t>10</t>
        </is>
      </c>
      <c r="D537" s="99" t="n">
        <v>6</v>
      </c>
      <c r="E537" s="99" t="inlineStr">
        <is>
          <t>TU-B11</t>
        </is>
      </c>
      <c r="F537" s="99" t="inlineStr">
        <is>
          <t>TU-B11/S1</t>
        </is>
      </c>
      <c r="G537" s="99" t="n">
        <v>6</v>
      </c>
      <c r="H537" s="99" t="inlineStr">
        <is>
          <t>TR-B2</t>
        </is>
      </c>
      <c r="I537" s="99" t="n">
        <v>9</v>
      </c>
      <c r="J537" s="99" t="inlineStr">
        <is>
          <t>Ống 2 Cam / Xanh lá</t>
        </is>
      </c>
      <c r="K537" s="99" t="inlineStr">
        <is>
          <t>S4-12</t>
        </is>
      </c>
      <c r="L537" s="99" t="inlineStr">
        <is>
          <t>B-15</t>
        </is>
      </c>
      <c r="M537" s="99" t="inlineStr">
        <is>
          <t>PON-12</t>
        </is>
      </c>
      <c r="N537" s="99" t="inlineStr">
        <is>
          <t>Chưa lắp</t>
        </is>
      </c>
      <c r="O537" s="149" t="n"/>
      <c r="P537" s="150" t="n"/>
      <c r="Q537" s="13">
        <f>M537&amp;" &gt; P96#"&amp;U537&amp;" &gt; "&amp;K537&amp;" &gt; P96#"&amp;L537&amp;" &gt; "&amp;R537&amp;" "&amp;S537&amp;" "&amp;T537&amp;" &gt; "&amp;H537&amp;"#"&amp;I537&amp;" &gt; "&amp;F537&amp;" p"&amp;G537</f>
        <v/>
      </c>
      <c r="R537" s="9" t="inlineStr">
        <is>
          <t>ODF-08/09</t>
        </is>
      </c>
      <c r="S537" s="9" t="inlineStr">
        <is>
          <t>Phải</t>
        </is>
      </c>
      <c r="T537" s="9" t="inlineStr">
        <is>
          <t>H2-C3</t>
        </is>
      </c>
      <c r="U537" s="9" t="inlineStr">
        <is>
          <t>B-40</t>
        </is>
      </c>
    </row>
    <row r="538">
      <c r="A538" s="149" t="inlineStr">
        <is>
          <t>B-10-07</t>
        </is>
      </c>
      <c r="B538" s="99" t="inlineStr">
        <is>
          <t>B</t>
        </is>
      </c>
      <c r="C538" s="99" t="inlineStr">
        <is>
          <t>10</t>
        </is>
      </c>
      <c r="D538" s="99" t="n">
        <v>7</v>
      </c>
      <c r="E538" s="99" t="inlineStr">
        <is>
          <t>TU-B11</t>
        </is>
      </c>
      <c r="F538" s="99" t="inlineStr">
        <is>
          <t>TU-B11/S1</t>
        </is>
      </c>
      <c r="G538" s="99" t="n">
        <v>7</v>
      </c>
      <c r="H538" s="99" t="inlineStr">
        <is>
          <t>TR-B2</t>
        </is>
      </c>
      <c r="I538" s="99" t="n">
        <v>9</v>
      </c>
      <c r="J538" s="99" t="inlineStr">
        <is>
          <t>Ống 2 Cam / Xanh lá</t>
        </is>
      </c>
      <c r="K538" s="99" t="inlineStr">
        <is>
          <t>S4-12</t>
        </is>
      </c>
      <c r="L538" s="99" t="inlineStr">
        <is>
          <t>B-15</t>
        </is>
      </c>
      <c r="M538" s="99" t="inlineStr">
        <is>
          <t>PON-12</t>
        </is>
      </c>
      <c r="N538" s="99" t="inlineStr">
        <is>
          <t>Chưa lắp</t>
        </is>
      </c>
      <c r="O538" s="149" t="n"/>
      <c r="P538" s="150" t="n"/>
      <c r="Q538" s="13">
        <f>M538&amp;" &gt; P96#"&amp;U538&amp;" &gt; "&amp;K538&amp;" &gt; P96#"&amp;L538&amp;" &gt; "&amp;R538&amp;" "&amp;S538&amp;" "&amp;T538&amp;" &gt; "&amp;H538&amp;"#"&amp;I538&amp;" &gt; "&amp;F538&amp;" p"&amp;G538</f>
        <v/>
      </c>
      <c r="R538" s="9" t="inlineStr">
        <is>
          <t>ODF-08/09</t>
        </is>
      </c>
      <c r="S538" s="9" t="inlineStr">
        <is>
          <t>Phải</t>
        </is>
      </c>
      <c r="T538" s="9" t="inlineStr">
        <is>
          <t>H2-C3</t>
        </is>
      </c>
      <c r="U538" s="9" t="inlineStr">
        <is>
          <t>B-40</t>
        </is>
      </c>
    </row>
    <row r="539">
      <c r="A539" s="149" t="inlineStr">
        <is>
          <t>B-10-08</t>
        </is>
      </c>
      <c r="B539" s="99" t="inlineStr">
        <is>
          <t>B</t>
        </is>
      </c>
      <c r="C539" s="99" t="inlineStr">
        <is>
          <t>10</t>
        </is>
      </c>
      <c r="D539" s="99" t="n">
        <v>8</v>
      </c>
      <c r="E539" s="99" t="inlineStr">
        <is>
          <t>TU-B11</t>
        </is>
      </c>
      <c r="F539" s="99" t="inlineStr">
        <is>
          <t>TU-B11/S1</t>
        </is>
      </c>
      <c r="G539" s="99" t="n">
        <v>8</v>
      </c>
      <c r="H539" s="99" t="inlineStr">
        <is>
          <t>TR-B2</t>
        </is>
      </c>
      <c r="I539" s="99" t="n">
        <v>9</v>
      </c>
      <c r="J539" s="99" t="inlineStr">
        <is>
          <t>Ống 2 Cam / Xanh lá</t>
        </is>
      </c>
      <c r="K539" s="99" t="inlineStr">
        <is>
          <t>S4-12</t>
        </is>
      </c>
      <c r="L539" s="99" t="inlineStr">
        <is>
          <t>B-15</t>
        </is>
      </c>
      <c r="M539" s="99" t="inlineStr">
        <is>
          <t>PON-12</t>
        </is>
      </c>
      <c r="N539" s="99" t="inlineStr">
        <is>
          <t>Chưa lắp</t>
        </is>
      </c>
      <c r="O539" s="149" t="n"/>
      <c r="P539" s="150" t="n"/>
      <c r="Q539" s="13">
        <f>M539&amp;" &gt; P96#"&amp;U539&amp;" &gt; "&amp;K539&amp;" &gt; P96#"&amp;L539&amp;" &gt; "&amp;R539&amp;" "&amp;S539&amp;" "&amp;T539&amp;" &gt; "&amp;H539&amp;"#"&amp;I539&amp;" &gt; "&amp;F539&amp;" p"&amp;G539</f>
        <v/>
      </c>
      <c r="R539" s="9" t="inlineStr">
        <is>
          <t>ODF-08/09</t>
        </is>
      </c>
      <c r="S539" s="9" t="inlineStr">
        <is>
          <t>Phải</t>
        </is>
      </c>
      <c r="T539" s="9" t="inlineStr">
        <is>
          <t>H2-C3</t>
        </is>
      </c>
      <c r="U539" s="9" t="inlineStr">
        <is>
          <t>B-40</t>
        </is>
      </c>
    </row>
    <row r="540">
      <c r="A540" s="149" t="inlineStr">
        <is>
          <t>B-10-09</t>
        </is>
      </c>
      <c r="B540" s="99" t="inlineStr">
        <is>
          <t>B</t>
        </is>
      </c>
      <c r="C540" s="99" t="inlineStr">
        <is>
          <t>10</t>
        </is>
      </c>
      <c r="D540" s="99" t="n">
        <v>9</v>
      </c>
      <c r="E540" s="99" t="inlineStr">
        <is>
          <t>TU-B11</t>
        </is>
      </c>
      <c r="F540" s="99" t="inlineStr">
        <is>
          <t>TU-B11/S1</t>
        </is>
      </c>
      <c r="G540" s="99" t="n">
        <v>9</v>
      </c>
      <c r="H540" s="99" t="inlineStr">
        <is>
          <t>TR-B2</t>
        </is>
      </c>
      <c r="I540" s="99" t="n">
        <v>9</v>
      </c>
      <c r="J540" s="99" t="inlineStr">
        <is>
          <t>Ống 2 Cam / Xanh lá</t>
        </is>
      </c>
      <c r="K540" s="99" t="inlineStr">
        <is>
          <t>S4-12</t>
        </is>
      </c>
      <c r="L540" s="99" t="inlineStr">
        <is>
          <t>B-15</t>
        </is>
      </c>
      <c r="M540" s="99" t="inlineStr">
        <is>
          <t>PON-12</t>
        </is>
      </c>
      <c r="N540" s="99" t="inlineStr">
        <is>
          <t>Chưa lắp</t>
        </is>
      </c>
      <c r="O540" s="149" t="n"/>
      <c r="P540" s="150" t="n"/>
      <c r="Q540" s="13">
        <f>M540&amp;" &gt; P96#"&amp;U540&amp;" &gt; "&amp;K540&amp;" &gt; P96#"&amp;L540&amp;" &gt; "&amp;R540&amp;" "&amp;S540&amp;" "&amp;T540&amp;" &gt; "&amp;H540&amp;"#"&amp;I540&amp;" &gt; "&amp;F540&amp;" p"&amp;G540</f>
        <v/>
      </c>
      <c r="R540" s="9" t="inlineStr">
        <is>
          <t>ODF-08/09</t>
        </is>
      </c>
      <c r="S540" s="9" t="inlineStr">
        <is>
          <t>Phải</t>
        </is>
      </c>
      <c r="T540" s="9" t="inlineStr">
        <is>
          <t>H2-C3</t>
        </is>
      </c>
      <c r="U540" s="9" t="inlineStr">
        <is>
          <t>B-40</t>
        </is>
      </c>
    </row>
    <row r="541">
      <c r="A541" s="149" t="inlineStr">
        <is>
          <t>B-10-10</t>
        </is>
      </c>
      <c r="B541" s="99" t="inlineStr">
        <is>
          <t>B</t>
        </is>
      </c>
      <c r="C541" s="99" t="inlineStr">
        <is>
          <t>10</t>
        </is>
      </c>
      <c r="D541" s="99" t="n">
        <v>10</v>
      </c>
      <c r="E541" s="99" t="inlineStr">
        <is>
          <t>TU-B11</t>
        </is>
      </c>
      <c r="F541" s="99" t="inlineStr">
        <is>
          <t>TU-B11/S1</t>
        </is>
      </c>
      <c r="G541" s="99" t="n">
        <v>10</v>
      </c>
      <c r="H541" s="99" t="inlineStr">
        <is>
          <t>TR-B2</t>
        </is>
      </c>
      <c r="I541" s="99" t="n">
        <v>9</v>
      </c>
      <c r="J541" s="99" t="inlineStr">
        <is>
          <t>Ống 2 Cam / Xanh lá</t>
        </is>
      </c>
      <c r="K541" s="99" t="inlineStr">
        <is>
          <t>S4-12</t>
        </is>
      </c>
      <c r="L541" s="99" t="inlineStr">
        <is>
          <t>B-15</t>
        </is>
      </c>
      <c r="M541" s="99" t="inlineStr">
        <is>
          <t>PON-12</t>
        </is>
      </c>
      <c r="N541" s="99" t="inlineStr">
        <is>
          <t>Chưa lắp</t>
        </is>
      </c>
      <c r="O541" s="149" t="n"/>
      <c r="P541" s="150" t="n"/>
      <c r="Q541" s="13">
        <f>M541&amp;" &gt; P96#"&amp;U541&amp;" &gt; "&amp;K541&amp;" &gt; P96#"&amp;L541&amp;" &gt; "&amp;R541&amp;" "&amp;S541&amp;" "&amp;T541&amp;" &gt; "&amp;H541&amp;"#"&amp;I541&amp;" &gt; "&amp;F541&amp;" p"&amp;G541</f>
        <v/>
      </c>
      <c r="R541" s="9" t="inlineStr">
        <is>
          <t>ODF-08/09</t>
        </is>
      </c>
      <c r="S541" s="9" t="inlineStr">
        <is>
          <t>Phải</t>
        </is>
      </c>
      <c r="T541" s="9" t="inlineStr">
        <is>
          <t>H2-C3</t>
        </is>
      </c>
      <c r="U541" s="9" t="inlineStr">
        <is>
          <t>B-40</t>
        </is>
      </c>
    </row>
    <row r="542">
      <c r="A542" s="149" t="inlineStr">
        <is>
          <t>B-10-11</t>
        </is>
      </c>
      <c r="B542" s="99" t="inlineStr">
        <is>
          <t>B</t>
        </is>
      </c>
      <c r="C542" s="99" t="inlineStr">
        <is>
          <t>10</t>
        </is>
      </c>
      <c r="D542" s="99" t="n">
        <v>11</v>
      </c>
      <c r="E542" s="99" t="inlineStr">
        <is>
          <t>TU-B11</t>
        </is>
      </c>
      <c r="F542" s="99" t="inlineStr">
        <is>
          <t>TU-B11/S1</t>
        </is>
      </c>
      <c r="G542" s="99" t="n">
        <v>11</v>
      </c>
      <c r="H542" s="99" t="inlineStr">
        <is>
          <t>TR-B2</t>
        </is>
      </c>
      <c r="I542" s="99" t="n">
        <v>9</v>
      </c>
      <c r="J542" s="99" t="inlineStr">
        <is>
          <t>Ống 2 Cam / Xanh lá</t>
        </is>
      </c>
      <c r="K542" s="99" t="inlineStr">
        <is>
          <t>S4-12</t>
        </is>
      </c>
      <c r="L542" s="99" t="inlineStr">
        <is>
          <t>B-15</t>
        </is>
      </c>
      <c r="M542" s="99" t="inlineStr">
        <is>
          <t>PON-12</t>
        </is>
      </c>
      <c r="N542" s="99" t="inlineStr">
        <is>
          <t>Chưa lắp</t>
        </is>
      </c>
      <c r="O542" s="149" t="n"/>
      <c r="P542" s="150" t="n"/>
      <c r="Q542" s="13">
        <f>M542&amp;" &gt; P96#"&amp;U542&amp;" &gt; "&amp;K542&amp;" &gt; P96#"&amp;L542&amp;" &gt; "&amp;R542&amp;" "&amp;S542&amp;" "&amp;T542&amp;" &gt; "&amp;H542&amp;"#"&amp;I542&amp;" &gt; "&amp;F542&amp;" p"&amp;G542</f>
        <v/>
      </c>
      <c r="R542" s="9" t="inlineStr">
        <is>
          <t>ODF-08/09</t>
        </is>
      </c>
      <c r="S542" s="9" t="inlineStr">
        <is>
          <t>Phải</t>
        </is>
      </c>
      <c r="T542" s="9" t="inlineStr">
        <is>
          <t>H2-C3</t>
        </is>
      </c>
      <c r="U542" s="9" t="inlineStr">
        <is>
          <t>B-40</t>
        </is>
      </c>
    </row>
    <row r="543">
      <c r="A543" s="149" t="inlineStr">
        <is>
          <t>B-10-12</t>
        </is>
      </c>
      <c r="B543" s="99" t="inlineStr">
        <is>
          <t>B</t>
        </is>
      </c>
      <c r="C543" s="99" t="inlineStr">
        <is>
          <t>10</t>
        </is>
      </c>
      <c r="D543" s="99" t="n">
        <v>12</v>
      </c>
      <c r="E543" s="99" t="inlineStr">
        <is>
          <t>TU-B11</t>
        </is>
      </c>
      <c r="F543" s="99" t="inlineStr">
        <is>
          <t>TU-B11/S1</t>
        </is>
      </c>
      <c r="G543" s="99" t="n">
        <v>12</v>
      </c>
      <c r="H543" s="99" t="inlineStr">
        <is>
          <t>TR-B2</t>
        </is>
      </c>
      <c r="I543" s="99" t="n">
        <v>9</v>
      </c>
      <c r="J543" s="99" t="inlineStr">
        <is>
          <t>Ống 2 Cam / Xanh lá</t>
        </is>
      </c>
      <c r="K543" s="99" t="inlineStr">
        <is>
          <t>S4-12</t>
        </is>
      </c>
      <c r="L543" s="99" t="inlineStr">
        <is>
          <t>B-15</t>
        </is>
      </c>
      <c r="M543" s="99" t="inlineStr">
        <is>
          <t>PON-12</t>
        </is>
      </c>
      <c r="N543" s="99" t="inlineStr">
        <is>
          <t>Chưa lắp</t>
        </is>
      </c>
      <c r="O543" s="149" t="n"/>
      <c r="P543" s="150" t="n"/>
      <c r="Q543" s="13">
        <f>M543&amp;" &gt; P96#"&amp;U543&amp;" &gt; "&amp;K543&amp;" &gt; P96#"&amp;L543&amp;" &gt; "&amp;R543&amp;" "&amp;S543&amp;" "&amp;T543&amp;" &gt; "&amp;H543&amp;"#"&amp;I543&amp;" &gt; "&amp;F543&amp;" p"&amp;G543</f>
        <v/>
      </c>
      <c r="R543" s="9" t="inlineStr">
        <is>
          <t>ODF-08/09</t>
        </is>
      </c>
      <c r="S543" s="9" t="inlineStr">
        <is>
          <t>Phải</t>
        </is>
      </c>
      <c r="T543" s="9" t="inlineStr">
        <is>
          <t>H2-C3</t>
        </is>
      </c>
      <c r="U543" s="9" t="inlineStr">
        <is>
          <t>B-40</t>
        </is>
      </c>
    </row>
    <row r="544">
      <c r="A544" s="149" t="inlineStr">
        <is>
          <t>B-10-13</t>
        </is>
      </c>
      <c r="B544" s="99" t="inlineStr">
        <is>
          <t>B</t>
        </is>
      </c>
      <c r="C544" s="99" t="inlineStr">
        <is>
          <t>10</t>
        </is>
      </c>
      <c r="D544" s="99" t="n">
        <v>13</v>
      </c>
      <c r="E544" s="99" t="inlineStr">
        <is>
          <t>TU-B11</t>
        </is>
      </c>
      <c r="F544" s="99" t="inlineStr">
        <is>
          <t>TU-B11/S1</t>
        </is>
      </c>
      <c r="G544" s="99" t="n">
        <v>13</v>
      </c>
      <c r="H544" s="99" t="inlineStr">
        <is>
          <t>TR-B2</t>
        </is>
      </c>
      <c r="I544" s="99" t="n">
        <v>9</v>
      </c>
      <c r="J544" s="99" t="inlineStr">
        <is>
          <t>Ống 2 Cam / Xanh lá</t>
        </is>
      </c>
      <c r="K544" s="99" t="inlineStr">
        <is>
          <t>S4-12</t>
        </is>
      </c>
      <c r="L544" s="99" t="inlineStr">
        <is>
          <t>B-15</t>
        </is>
      </c>
      <c r="M544" s="99" t="inlineStr">
        <is>
          <t>PON-12</t>
        </is>
      </c>
      <c r="N544" s="99" t="inlineStr">
        <is>
          <t>Chưa lắp</t>
        </is>
      </c>
      <c r="O544" s="149" t="n"/>
      <c r="P544" s="150" t="n"/>
      <c r="Q544" s="13">
        <f>M544&amp;" &gt; P96#"&amp;U544&amp;" &gt; "&amp;K544&amp;" &gt; P96#"&amp;L544&amp;" &gt; "&amp;R544&amp;" "&amp;S544&amp;" "&amp;T544&amp;" &gt; "&amp;H544&amp;"#"&amp;I544&amp;" &gt; "&amp;F544&amp;" p"&amp;G544</f>
        <v/>
      </c>
      <c r="R544" s="9" t="inlineStr">
        <is>
          <t>ODF-08/09</t>
        </is>
      </c>
      <c r="S544" s="9" t="inlineStr">
        <is>
          <t>Phải</t>
        </is>
      </c>
      <c r="T544" s="9" t="inlineStr">
        <is>
          <t>H2-C3</t>
        </is>
      </c>
      <c r="U544" s="9" t="inlineStr">
        <is>
          <t>B-40</t>
        </is>
      </c>
    </row>
    <row r="545">
      <c r="A545" s="149" t="inlineStr">
        <is>
          <t>B-10-14</t>
        </is>
      </c>
      <c r="B545" s="99" t="inlineStr">
        <is>
          <t>B</t>
        </is>
      </c>
      <c r="C545" s="99" t="inlineStr">
        <is>
          <t>10</t>
        </is>
      </c>
      <c r="D545" s="99" t="n">
        <v>14</v>
      </c>
      <c r="E545" s="99" t="inlineStr">
        <is>
          <t>TU-B11</t>
        </is>
      </c>
      <c r="F545" s="99" t="inlineStr">
        <is>
          <t>TU-B11/S1</t>
        </is>
      </c>
      <c r="G545" s="99" t="n">
        <v>14</v>
      </c>
      <c r="H545" s="99" t="inlineStr">
        <is>
          <t>TR-B2</t>
        </is>
      </c>
      <c r="I545" s="99" t="n">
        <v>9</v>
      </c>
      <c r="J545" s="99" t="inlineStr">
        <is>
          <t>Ống 2 Cam / Xanh lá</t>
        </is>
      </c>
      <c r="K545" s="99" t="inlineStr">
        <is>
          <t>S4-12</t>
        </is>
      </c>
      <c r="L545" s="99" t="inlineStr">
        <is>
          <t>B-15</t>
        </is>
      </c>
      <c r="M545" s="99" t="inlineStr">
        <is>
          <t>PON-12</t>
        </is>
      </c>
      <c r="N545" s="99" t="inlineStr">
        <is>
          <t>Chưa lắp</t>
        </is>
      </c>
      <c r="O545" s="149" t="n"/>
      <c r="P545" s="150" t="n"/>
      <c r="Q545" s="13">
        <f>M545&amp;" &gt; P96#"&amp;U545&amp;" &gt; "&amp;K545&amp;" &gt; P96#"&amp;L545&amp;" &gt; "&amp;R545&amp;" "&amp;S545&amp;" "&amp;T545&amp;" &gt; "&amp;H545&amp;"#"&amp;I545&amp;" &gt; "&amp;F545&amp;" p"&amp;G545</f>
        <v/>
      </c>
      <c r="R545" s="9" t="inlineStr">
        <is>
          <t>ODF-08/09</t>
        </is>
      </c>
      <c r="S545" s="9" t="inlineStr">
        <is>
          <t>Phải</t>
        </is>
      </c>
      <c r="T545" s="9" t="inlineStr">
        <is>
          <t>H2-C3</t>
        </is>
      </c>
      <c r="U545" s="9" t="inlineStr">
        <is>
          <t>B-40</t>
        </is>
      </c>
    </row>
    <row r="546">
      <c r="A546" s="149" t="inlineStr">
        <is>
          <t>B-9-01</t>
        </is>
      </c>
      <c r="B546" s="99" t="inlineStr">
        <is>
          <t>B</t>
        </is>
      </c>
      <c r="C546" s="99" t="inlineStr">
        <is>
          <t>9</t>
        </is>
      </c>
      <c r="D546" s="99" t="n">
        <v>1</v>
      </c>
      <c r="E546" s="99" t="inlineStr">
        <is>
          <t>TU-B8</t>
        </is>
      </c>
      <c r="F546" s="99" t="inlineStr">
        <is>
          <t>TU-B8/S3</t>
        </is>
      </c>
      <c r="G546" s="99" t="n">
        <v>1</v>
      </c>
      <c r="H546" s="99" t="inlineStr">
        <is>
          <t>TR-B2</t>
        </is>
      </c>
      <c r="I546" s="99" t="n">
        <v>3</v>
      </c>
      <c r="J546" s="99" t="inlineStr">
        <is>
          <t>Ống 1 Xanh dương / Xanh lá</t>
        </is>
      </c>
      <c r="K546" s="99" t="inlineStr">
        <is>
          <t>S4-12</t>
        </is>
      </c>
      <c r="L546" s="99" t="inlineStr">
        <is>
          <t>B-14</t>
        </is>
      </c>
      <c r="M546" s="99" t="inlineStr">
        <is>
          <t>PON-12</t>
        </is>
      </c>
      <c r="N546" s="99" t="inlineStr">
        <is>
          <t>Chưa lắp</t>
        </is>
      </c>
      <c r="O546" s="149" t="n"/>
      <c r="P546" s="150" t="n"/>
      <c r="Q546" s="13">
        <f>M546&amp;" &gt; P96#"&amp;U546&amp;" &gt; "&amp;K546&amp;" &gt; P96#"&amp;L546&amp;" &gt; "&amp;R546&amp;" "&amp;S546&amp;" "&amp;T546&amp;" &gt; "&amp;H546&amp;"#"&amp;I546&amp;" &gt; "&amp;F546&amp;" p"&amp;G546</f>
        <v/>
      </c>
      <c r="R546" s="9" t="inlineStr">
        <is>
          <t>ODF-08/09</t>
        </is>
      </c>
      <c r="S546" s="9" t="inlineStr">
        <is>
          <t>Phải</t>
        </is>
      </c>
      <c r="T546" s="9" t="inlineStr">
        <is>
          <t>H1-C3</t>
        </is>
      </c>
      <c r="U546" s="9" t="inlineStr">
        <is>
          <t>B-40</t>
        </is>
      </c>
    </row>
    <row r="547">
      <c r="A547" s="149" t="inlineStr">
        <is>
          <t>B-9-02</t>
        </is>
      </c>
      <c r="B547" s="99" t="inlineStr">
        <is>
          <t>B</t>
        </is>
      </c>
      <c r="C547" s="99" t="inlineStr">
        <is>
          <t>9</t>
        </is>
      </c>
      <c r="D547" s="99" t="n">
        <v>2</v>
      </c>
      <c r="E547" s="99" t="inlineStr">
        <is>
          <t>TU-B8</t>
        </is>
      </c>
      <c r="F547" s="99" t="inlineStr">
        <is>
          <t>TU-B8/S3</t>
        </is>
      </c>
      <c r="G547" s="99" t="n">
        <v>2</v>
      </c>
      <c r="H547" s="99" t="inlineStr">
        <is>
          <t>TR-B2</t>
        </is>
      </c>
      <c r="I547" s="99" t="n">
        <v>3</v>
      </c>
      <c r="J547" s="99" t="inlineStr">
        <is>
          <t>Ống 1 Xanh dương / Xanh lá</t>
        </is>
      </c>
      <c r="K547" s="99" t="inlineStr">
        <is>
          <t>S4-12</t>
        </is>
      </c>
      <c r="L547" s="99" t="inlineStr">
        <is>
          <t>B-14</t>
        </is>
      </c>
      <c r="M547" s="99" t="inlineStr">
        <is>
          <t>PON-12</t>
        </is>
      </c>
      <c r="N547" s="99" t="inlineStr">
        <is>
          <t>Chưa lắp</t>
        </is>
      </c>
      <c r="O547" s="149" t="n"/>
      <c r="P547" s="150" t="n"/>
      <c r="Q547" s="13">
        <f>M547&amp;" &gt; P96#"&amp;U547&amp;" &gt; "&amp;K547&amp;" &gt; P96#"&amp;L547&amp;" &gt; "&amp;R547&amp;" "&amp;S547&amp;" "&amp;T547&amp;" &gt; "&amp;H547&amp;"#"&amp;I547&amp;" &gt; "&amp;F547&amp;" p"&amp;G547</f>
        <v/>
      </c>
      <c r="R547" s="9" t="inlineStr">
        <is>
          <t>ODF-08/09</t>
        </is>
      </c>
      <c r="S547" s="9" t="inlineStr">
        <is>
          <t>Phải</t>
        </is>
      </c>
      <c r="T547" s="9" t="inlineStr">
        <is>
          <t>H1-C3</t>
        </is>
      </c>
      <c r="U547" s="9" t="inlineStr">
        <is>
          <t>B-40</t>
        </is>
      </c>
    </row>
    <row r="548">
      <c r="A548" s="151" t="inlineStr">
        <is>
          <t>B-9-03</t>
        </is>
      </c>
      <c r="B548" s="102" t="inlineStr">
        <is>
          <t>B</t>
        </is>
      </c>
      <c r="C548" s="102" t="inlineStr">
        <is>
          <t>9</t>
        </is>
      </c>
      <c r="D548" s="102" t="n">
        <v>3</v>
      </c>
      <c r="E548" s="102" t="inlineStr">
        <is>
          <t>TU-B8</t>
        </is>
      </c>
      <c r="F548" s="102" t="inlineStr">
        <is>
          <t>TU-B8/S3</t>
        </is>
      </c>
      <c r="G548" s="102" t="n">
        <v>3</v>
      </c>
      <c r="H548" s="102" t="inlineStr">
        <is>
          <t>TR-B2</t>
        </is>
      </c>
      <c r="I548" s="102" t="n">
        <v>3</v>
      </c>
      <c r="J548" s="102" t="inlineStr">
        <is>
          <t>Ống 1 Xanh dương / Xanh lá</t>
        </is>
      </c>
      <c r="K548" s="102" t="inlineStr">
        <is>
          <t>S4-12</t>
        </is>
      </c>
      <c r="L548" s="102" t="inlineStr">
        <is>
          <t>B-14</t>
        </is>
      </c>
      <c r="M548" s="102" t="inlineStr">
        <is>
          <t>PON-12</t>
        </is>
      </c>
      <c r="N548" s="102" t="inlineStr">
        <is>
          <t>Chưa lắp</t>
        </is>
      </c>
      <c r="O548" s="151" t="n"/>
      <c r="P548" s="152" t="n"/>
      <c r="Q548" s="13">
        <f>M548&amp;" &gt; P96#"&amp;U548&amp;" &gt; "&amp;K548&amp;" &gt; P96#"&amp;L548&amp;" &gt; "&amp;R548&amp;" "&amp;S548&amp;" "&amp;T548&amp;" &gt; "&amp;H548&amp;"#"&amp;I548&amp;" &gt; "&amp;F548&amp;" p"&amp;G548</f>
        <v/>
      </c>
      <c r="R548" s="9" t="inlineStr">
        <is>
          <t>ODF-08/09</t>
        </is>
      </c>
      <c r="S548" s="9" t="inlineStr">
        <is>
          <t>Phải</t>
        </is>
      </c>
      <c r="T548" s="9" t="inlineStr">
        <is>
          <t>H1-C3</t>
        </is>
      </c>
      <c r="U548" s="9" t="inlineStr">
        <is>
          <t>B-40</t>
        </is>
      </c>
    </row>
    <row r="549">
      <c r="A549" s="151" t="inlineStr">
        <is>
          <t>B-9-04</t>
        </is>
      </c>
      <c r="B549" s="102" t="inlineStr">
        <is>
          <t>B</t>
        </is>
      </c>
      <c r="C549" s="102" t="inlineStr">
        <is>
          <t>9</t>
        </is>
      </c>
      <c r="D549" s="102" t="n">
        <v>4</v>
      </c>
      <c r="E549" s="102" t="inlineStr">
        <is>
          <t>TU-B8</t>
        </is>
      </c>
      <c r="F549" s="102" t="inlineStr">
        <is>
          <t>TU-B8/S3</t>
        </is>
      </c>
      <c r="G549" s="102" t="n">
        <v>4</v>
      </c>
      <c r="H549" s="102" t="inlineStr">
        <is>
          <t>TR-B2</t>
        </is>
      </c>
      <c r="I549" s="102" t="n">
        <v>3</v>
      </c>
      <c r="J549" s="102" t="inlineStr">
        <is>
          <t>Ống 1 Xanh dương / Xanh lá</t>
        </is>
      </c>
      <c r="K549" s="102" t="inlineStr">
        <is>
          <t>S4-12</t>
        </is>
      </c>
      <c r="L549" s="102" t="inlineStr">
        <is>
          <t>B-14</t>
        </is>
      </c>
      <c r="M549" s="102" t="inlineStr">
        <is>
          <t>PON-12</t>
        </is>
      </c>
      <c r="N549" s="102" t="inlineStr">
        <is>
          <t>Chưa lắp</t>
        </is>
      </c>
      <c r="O549" s="151" t="n"/>
      <c r="P549" s="152" t="n"/>
      <c r="Q549" s="13">
        <f>M549&amp;" &gt; P96#"&amp;U549&amp;" &gt; "&amp;K549&amp;" &gt; P96#"&amp;L549&amp;" &gt; "&amp;R549&amp;" "&amp;S549&amp;" "&amp;T549&amp;" &gt; "&amp;H549&amp;"#"&amp;I549&amp;" &gt; "&amp;F549&amp;" p"&amp;G549</f>
        <v/>
      </c>
      <c r="R549" s="9" t="inlineStr">
        <is>
          <t>ODF-08/09</t>
        </is>
      </c>
      <c r="S549" s="9" t="inlineStr">
        <is>
          <t>Phải</t>
        </is>
      </c>
      <c r="T549" s="9" t="inlineStr">
        <is>
          <t>H1-C3</t>
        </is>
      </c>
      <c r="U549" s="9" t="inlineStr">
        <is>
          <t>B-40</t>
        </is>
      </c>
    </row>
    <row r="550">
      <c r="A550" s="151" t="inlineStr">
        <is>
          <t>B-9-05</t>
        </is>
      </c>
      <c r="B550" s="102" t="inlineStr">
        <is>
          <t>B</t>
        </is>
      </c>
      <c r="C550" s="102" t="inlineStr">
        <is>
          <t>9</t>
        </is>
      </c>
      <c r="D550" s="102" t="n">
        <v>5</v>
      </c>
      <c r="E550" s="102" t="inlineStr">
        <is>
          <t>TU-B8</t>
        </is>
      </c>
      <c r="F550" s="102" t="inlineStr">
        <is>
          <t>TU-B8/S3</t>
        </is>
      </c>
      <c r="G550" s="102" t="n">
        <v>5</v>
      </c>
      <c r="H550" s="102" t="inlineStr">
        <is>
          <t>TR-B2</t>
        </is>
      </c>
      <c r="I550" s="102" t="n">
        <v>3</v>
      </c>
      <c r="J550" s="102" t="inlineStr">
        <is>
          <t>Ống 1 Xanh dương / Xanh lá</t>
        </is>
      </c>
      <c r="K550" s="102" t="inlineStr">
        <is>
          <t>S4-12</t>
        </is>
      </c>
      <c r="L550" s="102" t="inlineStr">
        <is>
          <t>B-14</t>
        </is>
      </c>
      <c r="M550" s="102" t="inlineStr">
        <is>
          <t>PON-12</t>
        </is>
      </c>
      <c r="N550" s="102" t="inlineStr">
        <is>
          <t>Chưa lắp</t>
        </is>
      </c>
      <c r="O550" s="151" t="n"/>
      <c r="P550" s="152" t="n"/>
      <c r="Q550" s="13">
        <f>M550&amp;" &gt; P96#"&amp;U550&amp;" &gt; "&amp;K550&amp;" &gt; P96#"&amp;L550&amp;" &gt; "&amp;R550&amp;" "&amp;S550&amp;" "&amp;T550&amp;" &gt; "&amp;H550&amp;"#"&amp;I550&amp;" &gt; "&amp;F550&amp;" p"&amp;G550</f>
        <v/>
      </c>
      <c r="R550" s="9" t="inlineStr">
        <is>
          <t>ODF-08/09</t>
        </is>
      </c>
      <c r="S550" s="9" t="inlineStr">
        <is>
          <t>Phải</t>
        </is>
      </c>
      <c r="T550" s="9" t="inlineStr">
        <is>
          <t>H1-C3</t>
        </is>
      </c>
      <c r="U550" s="9" t="inlineStr">
        <is>
          <t>B-40</t>
        </is>
      </c>
    </row>
    <row r="551">
      <c r="A551" s="151" t="inlineStr">
        <is>
          <t>B-9-06</t>
        </is>
      </c>
      <c r="B551" s="102" t="inlineStr">
        <is>
          <t>B</t>
        </is>
      </c>
      <c r="C551" s="102" t="inlineStr">
        <is>
          <t>9</t>
        </is>
      </c>
      <c r="D551" s="102" t="n">
        <v>6</v>
      </c>
      <c r="E551" s="102" t="inlineStr">
        <is>
          <t>TU-B8</t>
        </is>
      </c>
      <c r="F551" s="102" t="inlineStr">
        <is>
          <t>TU-B8/S3</t>
        </is>
      </c>
      <c r="G551" s="102" t="n">
        <v>6</v>
      </c>
      <c r="H551" s="102" t="inlineStr">
        <is>
          <t>TR-B2</t>
        </is>
      </c>
      <c r="I551" s="102" t="n">
        <v>3</v>
      </c>
      <c r="J551" s="102" t="inlineStr">
        <is>
          <t>Ống 1 Xanh dương / Xanh lá</t>
        </is>
      </c>
      <c r="K551" s="102" t="inlineStr">
        <is>
          <t>S4-12</t>
        </is>
      </c>
      <c r="L551" s="102" t="inlineStr">
        <is>
          <t>B-14</t>
        </is>
      </c>
      <c r="M551" s="102" t="inlineStr">
        <is>
          <t>PON-12</t>
        </is>
      </c>
      <c r="N551" s="102" t="inlineStr">
        <is>
          <t>Chưa lắp</t>
        </is>
      </c>
      <c r="O551" s="151" t="n"/>
      <c r="P551" s="152" t="n"/>
      <c r="Q551" s="13">
        <f>M551&amp;" &gt; P96#"&amp;U551&amp;" &gt; "&amp;K551&amp;" &gt; P96#"&amp;L551&amp;" &gt; "&amp;R551&amp;" "&amp;S551&amp;" "&amp;T551&amp;" &gt; "&amp;H551&amp;"#"&amp;I551&amp;" &gt; "&amp;F551&amp;" p"&amp;G551</f>
        <v/>
      </c>
      <c r="R551" s="9" t="inlineStr">
        <is>
          <t>ODF-08/09</t>
        </is>
      </c>
      <c r="S551" s="9" t="inlineStr">
        <is>
          <t>Phải</t>
        </is>
      </c>
      <c r="T551" s="9" t="inlineStr">
        <is>
          <t>H1-C3</t>
        </is>
      </c>
      <c r="U551" s="9" t="inlineStr">
        <is>
          <t>B-40</t>
        </is>
      </c>
    </row>
    <row r="552">
      <c r="A552" s="151" t="inlineStr">
        <is>
          <t>B-9-07</t>
        </is>
      </c>
      <c r="B552" s="102" t="inlineStr">
        <is>
          <t>B</t>
        </is>
      </c>
      <c r="C552" s="102" t="inlineStr">
        <is>
          <t>9</t>
        </is>
      </c>
      <c r="D552" s="102" t="n">
        <v>7</v>
      </c>
      <c r="E552" s="102" t="inlineStr">
        <is>
          <t>TU-B8</t>
        </is>
      </c>
      <c r="F552" s="102" t="inlineStr">
        <is>
          <t>TU-B8/S3</t>
        </is>
      </c>
      <c r="G552" s="102" t="n">
        <v>7</v>
      </c>
      <c r="H552" s="102" t="inlineStr">
        <is>
          <t>TR-B2</t>
        </is>
      </c>
      <c r="I552" s="102" t="n">
        <v>3</v>
      </c>
      <c r="J552" s="102" t="inlineStr">
        <is>
          <t>Ống 1 Xanh dương / Xanh lá</t>
        </is>
      </c>
      <c r="K552" s="102" t="inlineStr">
        <is>
          <t>S4-12</t>
        </is>
      </c>
      <c r="L552" s="102" t="inlineStr">
        <is>
          <t>B-14</t>
        </is>
      </c>
      <c r="M552" s="102" t="inlineStr">
        <is>
          <t>PON-12</t>
        </is>
      </c>
      <c r="N552" s="102" t="inlineStr">
        <is>
          <t>Chưa lắp</t>
        </is>
      </c>
      <c r="O552" s="151" t="n"/>
      <c r="P552" s="152" t="n"/>
      <c r="Q552" s="13">
        <f>M552&amp;" &gt; P96#"&amp;U552&amp;" &gt; "&amp;K552&amp;" &gt; P96#"&amp;L552&amp;" &gt; "&amp;R552&amp;" "&amp;S552&amp;" "&amp;T552&amp;" &gt; "&amp;H552&amp;"#"&amp;I552&amp;" &gt; "&amp;F552&amp;" p"&amp;G552</f>
        <v/>
      </c>
      <c r="R552" s="9" t="inlineStr">
        <is>
          <t>ODF-08/09</t>
        </is>
      </c>
      <c r="S552" s="9" t="inlineStr">
        <is>
          <t>Phải</t>
        </is>
      </c>
      <c r="T552" s="9" t="inlineStr">
        <is>
          <t>H1-C3</t>
        </is>
      </c>
      <c r="U552" s="9" t="inlineStr">
        <is>
          <t>B-40</t>
        </is>
      </c>
    </row>
    <row r="553">
      <c r="A553" s="151" t="inlineStr">
        <is>
          <t>B-9-08</t>
        </is>
      </c>
      <c r="B553" s="102" t="inlineStr">
        <is>
          <t>B</t>
        </is>
      </c>
      <c r="C553" s="102" t="inlineStr">
        <is>
          <t>9</t>
        </is>
      </c>
      <c r="D553" s="102" t="n">
        <v>8</v>
      </c>
      <c r="E553" s="102" t="inlineStr">
        <is>
          <t>TU-B8</t>
        </is>
      </c>
      <c r="F553" s="102" t="inlineStr">
        <is>
          <t>TU-B8/S3</t>
        </is>
      </c>
      <c r="G553" s="102" t="n">
        <v>8</v>
      </c>
      <c r="H553" s="102" t="inlineStr">
        <is>
          <t>TR-B2</t>
        </is>
      </c>
      <c r="I553" s="102" t="n">
        <v>3</v>
      </c>
      <c r="J553" s="102" t="inlineStr">
        <is>
          <t>Ống 1 Xanh dương / Xanh lá</t>
        </is>
      </c>
      <c r="K553" s="102" t="inlineStr">
        <is>
          <t>S4-12</t>
        </is>
      </c>
      <c r="L553" s="102" t="inlineStr">
        <is>
          <t>B-14</t>
        </is>
      </c>
      <c r="M553" s="102" t="inlineStr">
        <is>
          <t>PON-12</t>
        </is>
      </c>
      <c r="N553" s="102" t="inlineStr">
        <is>
          <t>Chưa lắp</t>
        </is>
      </c>
      <c r="O553" s="151" t="n"/>
      <c r="P553" s="152" t="n"/>
      <c r="Q553" s="13">
        <f>M553&amp;" &gt; P96#"&amp;U553&amp;" &gt; "&amp;K553&amp;" &gt; P96#"&amp;L553&amp;" &gt; "&amp;R553&amp;" "&amp;S553&amp;" "&amp;T553&amp;" &gt; "&amp;H553&amp;"#"&amp;I553&amp;" &gt; "&amp;F553&amp;" p"&amp;G553</f>
        <v/>
      </c>
      <c r="R553" s="9" t="inlineStr">
        <is>
          <t>ODF-08/09</t>
        </is>
      </c>
      <c r="S553" s="9" t="inlineStr">
        <is>
          <t>Phải</t>
        </is>
      </c>
      <c r="T553" s="9" t="inlineStr">
        <is>
          <t>H1-C3</t>
        </is>
      </c>
      <c r="U553" s="9" t="inlineStr">
        <is>
          <t>B-40</t>
        </is>
      </c>
    </row>
    <row r="554">
      <c r="A554" s="151" t="inlineStr">
        <is>
          <t>B-9-09</t>
        </is>
      </c>
      <c r="B554" s="102" t="inlineStr">
        <is>
          <t>B</t>
        </is>
      </c>
      <c r="C554" s="102" t="inlineStr">
        <is>
          <t>9</t>
        </is>
      </c>
      <c r="D554" s="102" t="n">
        <v>9</v>
      </c>
      <c r="E554" s="102" t="inlineStr">
        <is>
          <t>TU-B8</t>
        </is>
      </c>
      <c r="F554" s="102" t="inlineStr">
        <is>
          <t>TU-B8/S3</t>
        </is>
      </c>
      <c r="G554" s="102" t="n">
        <v>9</v>
      </c>
      <c r="H554" s="102" t="inlineStr">
        <is>
          <t>TR-B2</t>
        </is>
      </c>
      <c r="I554" s="102" t="n">
        <v>3</v>
      </c>
      <c r="J554" s="102" t="inlineStr">
        <is>
          <t>Ống 1 Xanh dương / Xanh lá</t>
        </is>
      </c>
      <c r="K554" s="102" t="inlineStr">
        <is>
          <t>S4-12</t>
        </is>
      </c>
      <c r="L554" s="102" t="inlineStr">
        <is>
          <t>B-14</t>
        </is>
      </c>
      <c r="M554" s="102" t="inlineStr">
        <is>
          <t>PON-12</t>
        </is>
      </c>
      <c r="N554" s="102" t="inlineStr">
        <is>
          <t>Chưa lắp</t>
        </is>
      </c>
      <c r="O554" s="151" t="n"/>
      <c r="P554" s="152" t="n"/>
      <c r="Q554" s="13">
        <f>M554&amp;" &gt; P96#"&amp;U554&amp;" &gt; "&amp;K554&amp;" &gt; P96#"&amp;L554&amp;" &gt; "&amp;R554&amp;" "&amp;S554&amp;" "&amp;T554&amp;" &gt; "&amp;H554&amp;"#"&amp;I554&amp;" &gt; "&amp;F554&amp;" p"&amp;G554</f>
        <v/>
      </c>
      <c r="R554" s="9" t="inlineStr">
        <is>
          <t>ODF-08/09</t>
        </is>
      </c>
      <c r="S554" s="9" t="inlineStr">
        <is>
          <t>Phải</t>
        </is>
      </c>
      <c r="T554" s="9" t="inlineStr">
        <is>
          <t>H1-C3</t>
        </is>
      </c>
      <c r="U554" s="9" t="inlineStr">
        <is>
          <t>B-40</t>
        </is>
      </c>
    </row>
    <row r="555">
      <c r="A555" s="151" t="inlineStr">
        <is>
          <t>B-9-10</t>
        </is>
      </c>
      <c r="B555" s="102" t="inlineStr">
        <is>
          <t>B</t>
        </is>
      </c>
      <c r="C555" s="102" t="inlineStr">
        <is>
          <t>9</t>
        </is>
      </c>
      <c r="D555" s="102" t="n">
        <v>10</v>
      </c>
      <c r="E555" s="102" t="inlineStr">
        <is>
          <t>TU-B8</t>
        </is>
      </c>
      <c r="F555" s="102" t="inlineStr">
        <is>
          <t>TU-B8/S3</t>
        </is>
      </c>
      <c r="G555" s="102" t="n">
        <v>10</v>
      </c>
      <c r="H555" s="102" t="inlineStr">
        <is>
          <t>TR-B2</t>
        </is>
      </c>
      <c r="I555" s="102" t="n">
        <v>3</v>
      </c>
      <c r="J555" s="102" t="inlineStr">
        <is>
          <t>Ống 1 Xanh dương / Xanh lá</t>
        </is>
      </c>
      <c r="K555" s="102" t="inlineStr">
        <is>
          <t>S4-12</t>
        </is>
      </c>
      <c r="L555" s="102" t="inlineStr">
        <is>
          <t>B-14</t>
        </is>
      </c>
      <c r="M555" s="102" t="inlineStr">
        <is>
          <t>PON-12</t>
        </is>
      </c>
      <c r="N555" s="102" t="inlineStr">
        <is>
          <t>Chưa lắp</t>
        </is>
      </c>
      <c r="O555" s="151" t="n"/>
      <c r="P555" s="152" t="n"/>
      <c r="Q555" s="13">
        <f>M555&amp;" &gt; P96#"&amp;U555&amp;" &gt; "&amp;K555&amp;" &gt; P96#"&amp;L555&amp;" &gt; "&amp;R555&amp;" "&amp;S555&amp;" "&amp;T555&amp;" &gt; "&amp;H555&amp;"#"&amp;I555&amp;" &gt; "&amp;F555&amp;" p"&amp;G555</f>
        <v/>
      </c>
      <c r="R555" s="9" t="inlineStr">
        <is>
          <t>ODF-08/09</t>
        </is>
      </c>
      <c r="S555" s="9" t="inlineStr">
        <is>
          <t>Phải</t>
        </is>
      </c>
      <c r="T555" s="9" t="inlineStr">
        <is>
          <t>H1-C3</t>
        </is>
      </c>
      <c r="U555" s="9" t="inlineStr">
        <is>
          <t>B-40</t>
        </is>
      </c>
    </row>
    <row r="556">
      <c r="A556" s="151" t="inlineStr">
        <is>
          <t>B-9-11</t>
        </is>
      </c>
      <c r="B556" s="102" t="inlineStr">
        <is>
          <t>B</t>
        </is>
      </c>
      <c r="C556" s="102" t="inlineStr">
        <is>
          <t>9</t>
        </is>
      </c>
      <c r="D556" s="102" t="n">
        <v>11</v>
      </c>
      <c r="E556" s="102" t="inlineStr">
        <is>
          <t>TU-B8</t>
        </is>
      </c>
      <c r="F556" s="102" t="inlineStr">
        <is>
          <t>TU-B8/S3</t>
        </is>
      </c>
      <c r="G556" s="102" t="n">
        <v>11</v>
      </c>
      <c r="H556" s="102" t="inlineStr">
        <is>
          <t>TR-B2</t>
        </is>
      </c>
      <c r="I556" s="102" t="n">
        <v>3</v>
      </c>
      <c r="J556" s="102" t="inlineStr">
        <is>
          <t>Ống 1 Xanh dương / Xanh lá</t>
        </is>
      </c>
      <c r="K556" s="102" t="inlineStr">
        <is>
          <t>S4-12</t>
        </is>
      </c>
      <c r="L556" s="102" t="inlineStr">
        <is>
          <t>B-14</t>
        </is>
      </c>
      <c r="M556" s="102" t="inlineStr">
        <is>
          <t>PON-12</t>
        </is>
      </c>
      <c r="N556" s="102" t="inlineStr">
        <is>
          <t>Chưa lắp</t>
        </is>
      </c>
      <c r="O556" s="151" t="n"/>
      <c r="P556" s="152" t="n"/>
      <c r="Q556" s="13">
        <f>M556&amp;" &gt; P96#"&amp;U556&amp;" &gt; "&amp;K556&amp;" &gt; P96#"&amp;L556&amp;" &gt; "&amp;R556&amp;" "&amp;S556&amp;" "&amp;T556&amp;" &gt; "&amp;H556&amp;"#"&amp;I556&amp;" &gt; "&amp;F556&amp;" p"&amp;G556</f>
        <v/>
      </c>
      <c r="R556" s="9" t="inlineStr">
        <is>
          <t>ODF-08/09</t>
        </is>
      </c>
      <c r="S556" s="9" t="inlineStr">
        <is>
          <t>Phải</t>
        </is>
      </c>
      <c r="T556" s="9" t="inlineStr">
        <is>
          <t>H1-C3</t>
        </is>
      </c>
      <c r="U556" s="9" t="inlineStr">
        <is>
          <t>B-40</t>
        </is>
      </c>
    </row>
    <row r="557">
      <c r="A557" s="151" t="inlineStr">
        <is>
          <t>B-9-12</t>
        </is>
      </c>
      <c r="B557" s="102" t="inlineStr">
        <is>
          <t>B</t>
        </is>
      </c>
      <c r="C557" s="102" t="inlineStr">
        <is>
          <t>9</t>
        </is>
      </c>
      <c r="D557" s="102" t="n">
        <v>12</v>
      </c>
      <c r="E557" s="102" t="inlineStr">
        <is>
          <t>TU-B8</t>
        </is>
      </c>
      <c r="F557" s="102" t="inlineStr">
        <is>
          <t>TU-B8/S3</t>
        </is>
      </c>
      <c r="G557" s="102" t="n">
        <v>12</v>
      </c>
      <c r="H557" s="102" t="inlineStr">
        <is>
          <t>TR-B2</t>
        </is>
      </c>
      <c r="I557" s="102" t="n">
        <v>3</v>
      </c>
      <c r="J557" s="102" t="inlineStr">
        <is>
          <t>Ống 1 Xanh dương / Xanh lá</t>
        </is>
      </c>
      <c r="K557" s="102" t="inlineStr">
        <is>
          <t>S4-12</t>
        </is>
      </c>
      <c r="L557" s="102" t="inlineStr">
        <is>
          <t>B-14</t>
        </is>
      </c>
      <c r="M557" s="102" t="inlineStr">
        <is>
          <t>PON-12</t>
        </is>
      </c>
      <c r="N557" s="102" t="inlineStr">
        <is>
          <t>Chưa lắp</t>
        </is>
      </c>
      <c r="O557" s="151" t="n"/>
      <c r="P557" s="152" t="n"/>
      <c r="Q557" s="13">
        <f>M557&amp;" &gt; P96#"&amp;U557&amp;" &gt; "&amp;K557&amp;" &gt; P96#"&amp;L557&amp;" &gt; "&amp;R557&amp;" "&amp;S557&amp;" "&amp;T557&amp;" &gt; "&amp;H557&amp;"#"&amp;I557&amp;" &gt; "&amp;F557&amp;" p"&amp;G557</f>
        <v/>
      </c>
      <c r="R557" s="9" t="inlineStr">
        <is>
          <t>ODF-08/09</t>
        </is>
      </c>
      <c r="S557" s="9" t="inlineStr">
        <is>
          <t>Phải</t>
        </is>
      </c>
      <c r="T557" s="9" t="inlineStr">
        <is>
          <t>H1-C3</t>
        </is>
      </c>
      <c r="U557" s="9" t="inlineStr">
        <is>
          <t>B-40</t>
        </is>
      </c>
    </row>
    <row r="558">
      <c r="A558" s="151" t="inlineStr">
        <is>
          <t>B-9-13</t>
        </is>
      </c>
      <c r="B558" s="102" t="inlineStr">
        <is>
          <t>B</t>
        </is>
      </c>
      <c r="C558" s="102" t="inlineStr">
        <is>
          <t>9</t>
        </is>
      </c>
      <c r="D558" s="102" t="n">
        <v>13</v>
      </c>
      <c r="E558" s="102" t="inlineStr">
        <is>
          <t>TU-B8</t>
        </is>
      </c>
      <c r="F558" s="102" t="inlineStr">
        <is>
          <t>TU-B8/S3</t>
        </is>
      </c>
      <c r="G558" s="102" t="n">
        <v>13</v>
      </c>
      <c r="H558" s="102" t="inlineStr">
        <is>
          <t>TR-B2</t>
        </is>
      </c>
      <c r="I558" s="102" t="n">
        <v>3</v>
      </c>
      <c r="J558" s="102" t="inlineStr">
        <is>
          <t>Ống 1 Xanh dương / Xanh lá</t>
        </is>
      </c>
      <c r="K558" s="102" t="inlineStr">
        <is>
          <t>S4-12</t>
        </is>
      </c>
      <c r="L558" s="102" t="inlineStr">
        <is>
          <t>B-14</t>
        </is>
      </c>
      <c r="M558" s="102" t="inlineStr">
        <is>
          <t>PON-12</t>
        </is>
      </c>
      <c r="N558" s="102" t="inlineStr">
        <is>
          <t>Chưa lắp</t>
        </is>
      </c>
      <c r="O558" s="151" t="n"/>
      <c r="P558" s="152" t="n"/>
      <c r="Q558" s="13">
        <f>M558&amp;" &gt; P96#"&amp;U558&amp;" &gt; "&amp;K558&amp;" &gt; P96#"&amp;L558&amp;" &gt; "&amp;R558&amp;" "&amp;S558&amp;" "&amp;T558&amp;" &gt; "&amp;H558&amp;"#"&amp;I558&amp;" &gt; "&amp;F558&amp;" p"&amp;G558</f>
        <v/>
      </c>
      <c r="R558" s="9" t="inlineStr">
        <is>
          <t>ODF-08/09</t>
        </is>
      </c>
      <c r="S558" s="9" t="inlineStr">
        <is>
          <t>Phải</t>
        </is>
      </c>
      <c r="T558" s="9" t="inlineStr">
        <is>
          <t>H1-C3</t>
        </is>
      </c>
      <c r="U558" s="9" t="inlineStr">
        <is>
          <t>B-40</t>
        </is>
      </c>
    </row>
    <row r="559">
      <c r="A559" s="151" t="inlineStr">
        <is>
          <t>B-9-14</t>
        </is>
      </c>
      <c r="B559" s="102" t="inlineStr">
        <is>
          <t>B</t>
        </is>
      </c>
      <c r="C559" s="102" t="inlineStr">
        <is>
          <t>9</t>
        </is>
      </c>
      <c r="D559" s="102" t="n">
        <v>14</v>
      </c>
      <c r="E559" s="102" t="inlineStr">
        <is>
          <t>TU-B8</t>
        </is>
      </c>
      <c r="F559" s="102" t="inlineStr">
        <is>
          <t>TU-B8/S3</t>
        </is>
      </c>
      <c r="G559" s="102" t="n">
        <v>14</v>
      </c>
      <c r="H559" s="102" t="inlineStr">
        <is>
          <t>TR-B2</t>
        </is>
      </c>
      <c r="I559" s="102" t="n">
        <v>3</v>
      </c>
      <c r="J559" s="102" t="inlineStr">
        <is>
          <t>Ống 1 Xanh dương / Xanh lá</t>
        </is>
      </c>
      <c r="K559" s="102" t="inlineStr">
        <is>
          <t>S4-12</t>
        </is>
      </c>
      <c r="L559" s="102" t="inlineStr">
        <is>
          <t>B-14</t>
        </is>
      </c>
      <c r="M559" s="102" t="inlineStr">
        <is>
          <t>PON-12</t>
        </is>
      </c>
      <c r="N559" s="102" t="inlineStr">
        <is>
          <t>Chưa lắp</t>
        </is>
      </c>
      <c r="O559" s="151" t="n"/>
      <c r="P559" s="152" t="n"/>
      <c r="Q559" s="13">
        <f>M559&amp;" &gt; P96#"&amp;U559&amp;" &gt; "&amp;K559&amp;" &gt; P96#"&amp;L559&amp;" &gt; "&amp;R559&amp;" "&amp;S559&amp;" "&amp;T559&amp;" &gt; "&amp;H559&amp;"#"&amp;I559&amp;" &gt; "&amp;F559&amp;" p"&amp;G559</f>
        <v/>
      </c>
      <c r="R559" s="9" t="inlineStr">
        <is>
          <t>ODF-08/09</t>
        </is>
      </c>
      <c r="S559" s="9" t="inlineStr">
        <is>
          <t>Phải</t>
        </is>
      </c>
      <c r="T559" s="9" t="inlineStr">
        <is>
          <t>H1-C3</t>
        </is>
      </c>
      <c r="U559" s="9" t="inlineStr">
        <is>
          <t>B-40</t>
        </is>
      </c>
    </row>
    <row r="560">
      <c r="A560" s="151" t="inlineStr">
        <is>
          <t>B-8-01</t>
        </is>
      </c>
      <c r="B560" s="102" t="inlineStr">
        <is>
          <t>B</t>
        </is>
      </c>
      <c r="C560" s="102" t="inlineStr">
        <is>
          <t>8</t>
        </is>
      </c>
      <c r="D560" s="102" t="n">
        <v>1</v>
      </c>
      <c r="E560" s="102" t="inlineStr">
        <is>
          <t>TU-B8</t>
        </is>
      </c>
      <c r="F560" s="102" t="inlineStr">
        <is>
          <t>TU-B8/S2</t>
        </is>
      </c>
      <c r="G560" s="102" t="n">
        <v>1</v>
      </c>
      <c r="H560" s="102" t="inlineStr">
        <is>
          <t>TR-B2</t>
        </is>
      </c>
      <c r="I560" s="102" t="n">
        <v>2</v>
      </c>
      <c r="J560" s="102" t="inlineStr">
        <is>
          <t>Ống 1 Xanh dương / Cam</t>
        </is>
      </c>
      <c r="K560" s="102" t="inlineStr">
        <is>
          <t>S4-12</t>
        </is>
      </c>
      <c r="L560" s="102" t="inlineStr">
        <is>
          <t>B-13</t>
        </is>
      </c>
      <c r="M560" s="102" t="inlineStr">
        <is>
          <t>PON-12</t>
        </is>
      </c>
      <c r="N560" s="102" t="inlineStr">
        <is>
          <t>Chưa lắp</t>
        </is>
      </c>
      <c r="O560" s="151" t="n"/>
      <c r="P560" s="152" t="n"/>
      <c r="Q560" s="13">
        <f>M560&amp;" &gt; P96#"&amp;U560&amp;" &gt; "&amp;K560&amp;" &gt; P96#"&amp;L560&amp;" &gt; "&amp;R560&amp;" "&amp;S560&amp;" "&amp;T560&amp;" &gt; "&amp;H560&amp;"#"&amp;I560&amp;" &gt; "&amp;F560&amp;" p"&amp;G560</f>
        <v/>
      </c>
      <c r="R560" s="9" t="inlineStr">
        <is>
          <t>ODF-08/09</t>
        </is>
      </c>
      <c r="S560" s="9" t="inlineStr">
        <is>
          <t>Phải</t>
        </is>
      </c>
      <c r="T560" s="9" t="inlineStr">
        <is>
          <t>H1-C2</t>
        </is>
      </c>
      <c r="U560" s="9" t="inlineStr">
        <is>
          <t>B-40</t>
        </is>
      </c>
    </row>
    <row r="561">
      <c r="A561" s="151" t="inlineStr">
        <is>
          <t>B-8-02</t>
        </is>
      </c>
      <c r="B561" s="102" t="inlineStr">
        <is>
          <t>B</t>
        </is>
      </c>
      <c r="C561" s="102" t="inlineStr">
        <is>
          <t>8</t>
        </is>
      </c>
      <c r="D561" s="102" t="n">
        <v>2</v>
      </c>
      <c r="E561" s="102" t="inlineStr">
        <is>
          <t>TU-B8</t>
        </is>
      </c>
      <c r="F561" s="102" t="inlineStr">
        <is>
          <t>TU-B8/S2</t>
        </is>
      </c>
      <c r="G561" s="102" t="n">
        <v>2</v>
      </c>
      <c r="H561" s="102" t="inlineStr">
        <is>
          <t>TR-B2</t>
        </is>
      </c>
      <c r="I561" s="102" t="n">
        <v>2</v>
      </c>
      <c r="J561" s="102" t="inlineStr">
        <is>
          <t>Ống 1 Xanh dương / Cam</t>
        </is>
      </c>
      <c r="K561" s="102" t="inlineStr">
        <is>
          <t>S4-12</t>
        </is>
      </c>
      <c r="L561" s="102" t="inlineStr">
        <is>
          <t>B-13</t>
        </is>
      </c>
      <c r="M561" s="102" t="inlineStr">
        <is>
          <t>PON-12</t>
        </is>
      </c>
      <c r="N561" s="102" t="inlineStr">
        <is>
          <t>Chưa lắp</t>
        </is>
      </c>
      <c r="O561" s="151" t="n"/>
      <c r="P561" s="152" t="n"/>
      <c r="Q561" s="13">
        <f>M561&amp;" &gt; P96#"&amp;U561&amp;" &gt; "&amp;K561&amp;" &gt; P96#"&amp;L561&amp;" &gt; "&amp;R561&amp;" "&amp;S561&amp;" "&amp;T561&amp;" &gt; "&amp;H561&amp;"#"&amp;I561&amp;" &gt; "&amp;F561&amp;" p"&amp;G561</f>
        <v/>
      </c>
      <c r="R561" s="9" t="inlineStr">
        <is>
          <t>ODF-08/09</t>
        </is>
      </c>
      <c r="S561" s="9" t="inlineStr">
        <is>
          <t>Phải</t>
        </is>
      </c>
      <c r="T561" s="9" t="inlineStr">
        <is>
          <t>H1-C2</t>
        </is>
      </c>
      <c r="U561" s="9" t="inlineStr">
        <is>
          <t>B-40</t>
        </is>
      </c>
    </row>
    <row r="562">
      <c r="A562" s="149" t="inlineStr">
        <is>
          <t>B-8-03</t>
        </is>
      </c>
      <c r="B562" s="99" t="inlineStr">
        <is>
          <t>B</t>
        </is>
      </c>
      <c r="C562" s="99" t="inlineStr">
        <is>
          <t>8</t>
        </is>
      </c>
      <c r="D562" s="99" t="n">
        <v>3</v>
      </c>
      <c r="E562" s="99" t="inlineStr">
        <is>
          <t>TU-B8</t>
        </is>
      </c>
      <c r="F562" s="99" t="inlineStr">
        <is>
          <t>TU-B8/S2</t>
        </is>
      </c>
      <c r="G562" s="99" t="n">
        <v>3</v>
      </c>
      <c r="H562" s="99" t="inlineStr">
        <is>
          <t>TR-B2</t>
        </is>
      </c>
      <c r="I562" s="99" t="n">
        <v>2</v>
      </c>
      <c r="J562" s="99" t="inlineStr">
        <is>
          <t>Ống 1 Xanh dương / Cam</t>
        </is>
      </c>
      <c r="K562" s="99" t="inlineStr">
        <is>
          <t>S4-12</t>
        </is>
      </c>
      <c r="L562" s="99" t="inlineStr">
        <is>
          <t>B-13</t>
        </is>
      </c>
      <c r="M562" s="99" t="inlineStr">
        <is>
          <t>PON-12</t>
        </is>
      </c>
      <c r="N562" s="99" t="inlineStr">
        <is>
          <t>Chưa lắp</t>
        </is>
      </c>
      <c r="O562" s="149" t="n"/>
      <c r="P562" s="150" t="n"/>
      <c r="Q562" s="13">
        <f>M562&amp;" &gt; P96#"&amp;U562&amp;" &gt; "&amp;K562&amp;" &gt; P96#"&amp;L562&amp;" &gt; "&amp;R562&amp;" "&amp;S562&amp;" "&amp;T562&amp;" &gt; "&amp;H562&amp;"#"&amp;I562&amp;" &gt; "&amp;F562&amp;" p"&amp;G562</f>
        <v/>
      </c>
      <c r="R562" s="9" t="inlineStr">
        <is>
          <t>ODF-08/09</t>
        </is>
      </c>
      <c r="S562" s="9" t="inlineStr">
        <is>
          <t>Phải</t>
        </is>
      </c>
      <c r="T562" s="9" t="inlineStr">
        <is>
          <t>H1-C2</t>
        </is>
      </c>
      <c r="U562" s="9" t="inlineStr">
        <is>
          <t>B-40</t>
        </is>
      </c>
    </row>
    <row r="563">
      <c r="A563" s="149" t="inlineStr">
        <is>
          <t>B-8-04</t>
        </is>
      </c>
      <c r="B563" s="99" t="inlineStr">
        <is>
          <t>B</t>
        </is>
      </c>
      <c r="C563" s="99" t="inlineStr">
        <is>
          <t>8</t>
        </is>
      </c>
      <c r="D563" s="99" t="n">
        <v>4</v>
      </c>
      <c r="E563" s="99" t="inlineStr">
        <is>
          <t>TU-B8</t>
        </is>
      </c>
      <c r="F563" s="99" t="inlineStr">
        <is>
          <t>TU-B8/S2</t>
        </is>
      </c>
      <c r="G563" s="99" t="n">
        <v>4</v>
      </c>
      <c r="H563" s="99" t="inlineStr">
        <is>
          <t>TR-B2</t>
        </is>
      </c>
      <c r="I563" s="99" t="n">
        <v>2</v>
      </c>
      <c r="J563" s="99" t="inlineStr">
        <is>
          <t>Ống 1 Xanh dương / Cam</t>
        </is>
      </c>
      <c r="K563" s="99" t="inlineStr">
        <is>
          <t>S4-12</t>
        </is>
      </c>
      <c r="L563" s="99" t="inlineStr">
        <is>
          <t>B-13</t>
        </is>
      </c>
      <c r="M563" s="99" t="inlineStr">
        <is>
          <t>PON-12</t>
        </is>
      </c>
      <c r="N563" s="99" t="inlineStr">
        <is>
          <t>Chưa lắp</t>
        </is>
      </c>
      <c r="O563" s="149" t="n"/>
      <c r="P563" s="150" t="n"/>
      <c r="Q563" s="13">
        <f>M563&amp;" &gt; P96#"&amp;U563&amp;" &gt; "&amp;K563&amp;" &gt; P96#"&amp;L563&amp;" &gt; "&amp;R563&amp;" "&amp;S563&amp;" "&amp;T563&amp;" &gt; "&amp;H563&amp;"#"&amp;I563&amp;" &gt; "&amp;F563&amp;" p"&amp;G563</f>
        <v/>
      </c>
      <c r="R563" s="9" t="inlineStr">
        <is>
          <t>ODF-08/09</t>
        </is>
      </c>
      <c r="S563" s="9" t="inlineStr">
        <is>
          <t>Phải</t>
        </is>
      </c>
      <c r="T563" s="9" t="inlineStr">
        <is>
          <t>H1-C2</t>
        </is>
      </c>
      <c r="U563" s="9" t="inlineStr">
        <is>
          <t>B-40</t>
        </is>
      </c>
    </row>
    <row r="564">
      <c r="A564" s="149" t="inlineStr">
        <is>
          <t>B-8-05</t>
        </is>
      </c>
      <c r="B564" s="99" t="inlineStr">
        <is>
          <t>B</t>
        </is>
      </c>
      <c r="C564" s="99" t="inlineStr">
        <is>
          <t>8</t>
        </is>
      </c>
      <c r="D564" s="99" t="n">
        <v>5</v>
      </c>
      <c r="E564" s="99" t="inlineStr">
        <is>
          <t>TU-B8</t>
        </is>
      </c>
      <c r="F564" s="99" t="inlineStr">
        <is>
          <t>TU-B8/S2</t>
        </is>
      </c>
      <c r="G564" s="99" t="n">
        <v>5</v>
      </c>
      <c r="H564" s="99" t="inlineStr">
        <is>
          <t>TR-B2</t>
        </is>
      </c>
      <c r="I564" s="99" t="n">
        <v>2</v>
      </c>
      <c r="J564" s="99" t="inlineStr">
        <is>
          <t>Ống 1 Xanh dương / Cam</t>
        </is>
      </c>
      <c r="K564" s="99" t="inlineStr">
        <is>
          <t>S4-12</t>
        </is>
      </c>
      <c r="L564" s="99" t="inlineStr">
        <is>
          <t>B-13</t>
        </is>
      </c>
      <c r="M564" s="99" t="inlineStr">
        <is>
          <t>PON-12</t>
        </is>
      </c>
      <c r="N564" s="99" t="inlineStr">
        <is>
          <t>Chưa lắp</t>
        </is>
      </c>
      <c r="O564" s="149" t="n"/>
      <c r="P564" s="150" t="n"/>
      <c r="Q564" s="13">
        <f>M564&amp;" &gt; P96#"&amp;U564&amp;" &gt; "&amp;K564&amp;" &gt; P96#"&amp;L564&amp;" &gt; "&amp;R564&amp;" "&amp;S564&amp;" "&amp;T564&amp;" &gt; "&amp;H564&amp;"#"&amp;I564&amp;" &gt; "&amp;F564&amp;" p"&amp;G564</f>
        <v/>
      </c>
      <c r="R564" s="9" t="inlineStr">
        <is>
          <t>ODF-08/09</t>
        </is>
      </c>
      <c r="S564" s="9" t="inlineStr">
        <is>
          <t>Phải</t>
        </is>
      </c>
      <c r="T564" s="9" t="inlineStr">
        <is>
          <t>H1-C2</t>
        </is>
      </c>
      <c r="U564" s="9" t="inlineStr">
        <is>
          <t>B-40</t>
        </is>
      </c>
    </row>
    <row r="565">
      <c r="A565" s="149" t="inlineStr">
        <is>
          <t>B-8-06</t>
        </is>
      </c>
      <c r="B565" s="99" t="inlineStr">
        <is>
          <t>B</t>
        </is>
      </c>
      <c r="C565" s="99" t="inlineStr">
        <is>
          <t>8</t>
        </is>
      </c>
      <c r="D565" s="99" t="n">
        <v>6</v>
      </c>
      <c r="E565" s="99" t="inlineStr">
        <is>
          <t>TU-B8</t>
        </is>
      </c>
      <c r="F565" s="99" t="inlineStr">
        <is>
          <t>TU-B8/S2</t>
        </is>
      </c>
      <c r="G565" s="99" t="n">
        <v>6</v>
      </c>
      <c r="H565" s="99" t="inlineStr">
        <is>
          <t>TR-B2</t>
        </is>
      </c>
      <c r="I565" s="99" t="n">
        <v>2</v>
      </c>
      <c r="J565" s="99" t="inlineStr">
        <is>
          <t>Ống 1 Xanh dương / Cam</t>
        </is>
      </c>
      <c r="K565" s="99" t="inlineStr">
        <is>
          <t>S4-12</t>
        </is>
      </c>
      <c r="L565" s="99" t="inlineStr">
        <is>
          <t>B-13</t>
        </is>
      </c>
      <c r="M565" s="99" t="inlineStr">
        <is>
          <t>PON-12</t>
        </is>
      </c>
      <c r="N565" s="99" t="inlineStr">
        <is>
          <t>Chưa lắp</t>
        </is>
      </c>
      <c r="O565" s="149" t="n"/>
      <c r="P565" s="150" t="n"/>
      <c r="Q565" s="13">
        <f>M565&amp;" &gt; P96#"&amp;U565&amp;" &gt; "&amp;K565&amp;" &gt; P96#"&amp;L565&amp;" &gt; "&amp;R565&amp;" "&amp;S565&amp;" "&amp;T565&amp;" &gt; "&amp;H565&amp;"#"&amp;I565&amp;" &gt; "&amp;F565&amp;" p"&amp;G565</f>
        <v/>
      </c>
      <c r="R565" s="9" t="inlineStr">
        <is>
          <t>ODF-08/09</t>
        </is>
      </c>
      <c r="S565" s="9" t="inlineStr">
        <is>
          <t>Phải</t>
        </is>
      </c>
      <c r="T565" s="9" t="inlineStr">
        <is>
          <t>H1-C2</t>
        </is>
      </c>
      <c r="U565" s="9" t="inlineStr">
        <is>
          <t>B-40</t>
        </is>
      </c>
    </row>
    <row r="566">
      <c r="A566" s="149" t="inlineStr">
        <is>
          <t>B-8-07</t>
        </is>
      </c>
      <c r="B566" s="99" t="inlineStr">
        <is>
          <t>B</t>
        </is>
      </c>
      <c r="C566" s="99" t="inlineStr">
        <is>
          <t>8</t>
        </is>
      </c>
      <c r="D566" s="99" t="n">
        <v>7</v>
      </c>
      <c r="E566" s="99" t="inlineStr">
        <is>
          <t>TU-B8</t>
        </is>
      </c>
      <c r="F566" s="99" t="inlineStr">
        <is>
          <t>TU-B8/S2</t>
        </is>
      </c>
      <c r="G566" s="99" t="n">
        <v>7</v>
      </c>
      <c r="H566" s="99" t="inlineStr">
        <is>
          <t>TR-B2</t>
        </is>
      </c>
      <c r="I566" s="99" t="n">
        <v>2</v>
      </c>
      <c r="J566" s="99" t="inlineStr">
        <is>
          <t>Ống 1 Xanh dương / Cam</t>
        </is>
      </c>
      <c r="K566" s="99" t="inlineStr">
        <is>
          <t>S4-12</t>
        </is>
      </c>
      <c r="L566" s="99" t="inlineStr">
        <is>
          <t>B-13</t>
        </is>
      </c>
      <c r="M566" s="99" t="inlineStr">
        <is>
          <t>PON-12</t>
        </is>
      </c>
      <c r="N566" s="99" t="inlineStr">
        <is>
          <t>Chưa lắp</t>
        </is>
      </c>
      <c r="O566" s="149" t="n"/>
      <c r="P566" s="150" t="n"/>
      <c r="Q566" s="13">
        <f>M566&amp;" &gt; P96#"&amp;U566&amp;" &gt; "&amp;K566&amp;" &gt; P96#"&amp;L566&amp;" &gt; "&amp;R566&amp;" "&amp;S566&amp;" "&amp;T566&amp;" &gt; "&amp;H566&amp;"#"&amp;I566&amp;" &gt; "&amp;F566&amp;" p"&amp;G566</f>
        <v/>
      </c>
      <c r="R566" s="9" t="inlineStr">
        <is>
          <t>ODF-08/09</t>
        </is>
      </c>
      <c r="S566" s="9" t="inlineStr">
        <is>
          <t>Phải</t>
        </is>
      </c>
      <c r="T566" s="9" t="inlineStr">
        <is>
          <t>H1-C2</t>
        </is>
      </c>
      <c r="U566" s="9" t="inlineStr">
        <is>
          <t>B-40</t>
        </is>
      </c>
    </row>
    <row r="567">
      <c r="A567" s="149" t="inlineStr">
        <is>
          <t>B-8-08</t>
        </is>
      </c>
      <c r="B567" s="99" t="inlineStr">
        <is>
          <t>B</t>
        </is>
      </c>
      <c r="C567" s="99" t="inlineStr">
        <is>
          <t>8</t>
        </is>
      </c>
      <c r="D567" s="99" t="n">
        <v>8</v>
      </c>
      <c r="E567" s="99" t="inlineStr">
        <is>
          <t>TU-B8</t>
        </is>
      </c>
      <c r="F567" s="99" t="inlineStr">
        <is>
          <t>TU-B8/S2</t>
        </is>
      </c>
      <c r="G567" s="99" t="n">
        <v>8</v>
      </c>
      <c r="H567" s="99" t="inlineStr">
        <is>
          <t>TR-B2</t>
        </is>
      </c>
      <c r="I567" s="99" t="n">
        <v>2</v>
      </c>
      <c r="J567" s="99" t="inlineStr">
        <is>
          <t>Ống 1 Xanh dương / Cam</t>
        </is>
      </c>
      <c r="K567" s="99" t="inlineStr">
        <is>
          <t>S4-12</t>
        </is>
      </c>
      <c r="L567" s="99" t="inlineStr">
        <is>
          <t>B-13</t>
        </is>
      </c>
      <c r="M567" s="99" t="inlineStr">
        <is>
          <t>PON-12</t>
        </is>
      </c>
      <c r="N567" s="99" t="inlineStr">
        <is>
          <t>Chưa lắp</t>
        </is>
      </c>
      <c r="O567" s="149" t="n"/>
      <c r="P567" s="150" t="n"/>
      <c r="Q567" s="13">
        <f>M567&amp;" &gt; P96#"&amp;U567&amp;" &gt; "&amp;K567&amp;" &gt; P96#"&amp;L567&amp;" &gt; "&amp;R567&amp;" "&amp;S567&amp;" "&amp;T567&amp;" &gt; "&amp;H567&amp;"#"&amp;I567&amp;" &gt; "&amp;F567&amp;" p"&amp;G567</f>
        <v/>
      </c>
      <c r="R567" s="9" t="inlineStr">
        <is>
          <t>ODF-08/09</t>
        </is>
      </c>
      <c r="S567" s="9" t="inlineStr">
        <is>
          <t>Phải</t>
        </is>
      </c>
      <c r="T567" s="9" t="inlineStr">
        <is>
          <t>H1-C2</t>
        </is>
      </c>
      <c r="U567" s="9" t="inlineStr">
        <is>
          <t>B-40</t>
        </is>
      </c>
    </row>
    <row r="568">
      <c r="A568" s="149" t="inlineStr">
        <is>
          <t>B-8-09</t>
        </is>
      </c>
      <c r="B568" s="99" t="inlineStr">
        <is>
          <t>B</t>
        </is>
      </c>
      <c r="C568" s="99" t="inlineStr">
        <is>
          <t>8</t>
        </is>
      </c>
      <c r="D568" s="99" t="n">
        <v>9</v>
      </c>
      <c r="E568" s="99" t="inlineStr">
        <is>
          <t>TU-B8</t>
        </is>
      </c>
      <c r="F568" s="99" t="inlineStr">
        <is>
          <t>TU-B8/S2</t>
        </is>
      </c>
      <c r="G568" s="99" t="n">
        <v>9</v>
      </c>
      <c r="H568" s="99" t="inlineStr">
        <is>
          <t>TR-B2</t>
        </is>
      </c>
      <c r="I568" s="99" t="n">
        <v>2</v>
      </c>
      <c r="J568" s="99" t="inlineStr">
        <is>
          <t>Ống 1 Xanh dương / Cam</t>
        </is>
      </c>
      <c r="K568" s="99" t="inlineStr">
        <is>
          <t>S4-12</t>
        </is>
      </c>
      <c r="L568" s="99" t="inlineStr">
        <is>
          <t>B-13</t>
        </is>
      </c>
      <c r="M568" s="99" t="inlineStr">
        <is>
          <t>PON-12</t>
        </is>
      </c>
      <c r="N568" s="99" t="inlineStr">
        <is>
          <t>Chưa lắp</t>
        </is>
      </c>
      <c r="O568" s="149" t="n"/>
      <c r="P568" s="150" t="n"/>
      <c r="Q568" s="13">
        <f>M568&amp;" &gt; P96#"&amp;U568&amp;" &gt; "&amp;K568&amp;" &gt; P96#"&amp;L568&amp;" &gt; "&amp;R568&amp;" "&amp;S568&amp;" "&amp;T568&amp;" &gt; "&amp;H568&amp;"#"&amp;I568&amp;" &gt; "&amp;F568&amp;" p"&amp;G568</f>
        <v/>
      </c>
      <c r="R568" s="9" t="inlineStr">
        <is>
          <t>ODF-08/09</t>
        </is>
      </c>
      <c r="S568" s="9" t="inlineStr">
        <is>
          <t>Phải</t>
        </is>
      </c>
      <c r="T568" s="9" t="inlineStr">
        <is>
          <t>H1-C2</t>
        </is>
      </c>
      <c r="U568" s="9" t="inlineStr">
        <is>
          <t>B-40</t>
        </is>
      </c>
    </row>
    <row r="569">
      <c r="A569" s="149" t="inlineStr">
        <is>
          <t>B-8-10</t>
        </is>
      </c>
      <c r="B569" s="99" t="inlineStr">
        <is>
          <t>B</t>
        </is>
      </c>
      <c r="C569" s="99" t="inlineStr">
        <is>
          <t>8</t>
        </is>
      </c>
      <c r="D569" s="99" t="n">
        <v>10</v>
      </c>
      <c r="E569" s="99" t="inlineStr">
        <is>
          <t>TU-B8</t>
        </is>
      </c>
      <c r="F569" s="99" t="inlineStr">
        <is>
          <t>TU-B8/S2</t>
        </is>
      </c>
      <c r="G569" s="99" t="n">
        <v>10</v>
      </c>
      <c r="H569" s="99" t="inlineStr">
        <is>
          <t>TR-B2</t>
        </is>
      </c>
      <c r="I569" s="99" t="n">
        <v>2</v>
      </c>
      <c r="J569" s="99" t="inlineStr">
        <is>
          <t>Ống 1 Xanh dương / Cam</t>
        </is>
      </c>
      <c r="K569" s="99" t="inlineStr">
        <is>
          <t>S4-12</t>
        </is>
      </c>
      <c r="L569" s="99" t="inlineStr">
        <is>
          <t>B-13</t>
        </is>
      </c>
      <c r="M569" s="99" t="inlineStr">
        <is>
          <t>PON-12</t>
        </is>
      </c>
      <c r="N569" s="99" t="inlineStr">
        <is>
          <t>Chưa lắp</t>
        </is>
      </c>
      <c r="O569" s="149" t="n"/>
      <c r="P569" s="150" t="n"/>
      <c r="Q569" s="13">
        <f>M569&amp;" &gt; P96#"&amp;U569&amp;" &gt; "&amp;K569&amp;" &gt; P96#"&amp;L569&amp;" &gt; "&amp;R569&amp;" "&amp;S569&amp;" "&amp;T569&amp;" &gt; "&amp;H569&amp;"#"&amp;I569&amp;" &gt; "&amp;F569&amp;" p"&amp;G569</f>
        <v/>
      </c>
      <c r="R569" s="9" t="inlineStr">
        <is>
          <t>ODF-08/09</t>
        </is>
      </c>
      <c r="S569" s="9" t="inlineStr">
        <is>
          <t>Phải</t>
        </is>
      </c>
      <c r="T569" s="9" t="inlineStr">
        <is>
          <t>H1-C2</t>
        </is>
      </c>
      <c r="U569" s="9" t="inlineStr">
        <is>
          <t>B-40</t>
        </is>
      </c>
    </row>
    <row r="570">
      <c r="A570" s="149" t="inlineStr">
        <is>
          <t>B-8-11</t>
        </is>
      </c>
      <c r="B570" s="99" t="inlineStr">
        <is>
          <t>B</t>
        </is>
      </c>
      <c r="C570" s="99" t="inlineStr">
        <is>
          <t>8</t>
        </is>
      </c>
      <c r="D570" s="99" t="n">
        <v>11</v>
      </c>
      <c r="E570" s="99" t="inlineStr">
        <is>
          <t>TU-B8</t>
        </is>
      </c>
      <c r="F570" s="99" t="inlineStr">
        <is>
          <t>TU-B8/S2</t>
        </is>
      </c>
      <c r="G570" s="99" t="n">
        <v>11</v>
      </c>
      <c r="H570" s="99" t="inlineStr">
        <is>
          <t>TR-B2</t>
        </is>
      </c>
      <c r="I570" s="99" t="n">
        <v>2</v>
      </c>
      <c r="J570" s="99" t="inlineStr">
        <is>
          <t>Ống 1 Xanh dương / Cam</t>
        </is>
      </c>
      <c r="K570" s="99" t="inlineStr">
        <is>
          <t>S4-12</t>
        </is>
      </c>
      <c r="L570" s="99" t="inlineStr">
        <is>
          <t>B-13</t>
        </is>
      </c>
      <c r="M570" s="99" t="inlineStr">
        <is>
          <t>PON-12</t>
        </is>
      </c>
      <c r="N570" s="99" t="inlineStr">
        <is>
          <t>Chưa lắp</t>
        </is>
      </c>
      <c r="O570" s="149" t="n"/>
      <c r="P570" s="150" t="n"/>
      <c r="Q570" s="13">
        <f>M570&amp;" &gt; P96#"&amp;U570&amp;" &gt; "&amp;K570&amp;" &gt; P96#"&amp;L570&amp;" &gt; "&amp;R570&amp;" "&amp;S570&amp;" "&amp;T570&amp;" &gt; "&amp;H570&amp;"#"&amp;I570&amp;" &gt; "&amp;F570&amp;" p"&amp;G570</f>
        <v/>
      </c>
      <c r="R570" s="9" t="inlineStr">
        <is>
          <t>ODF-08/09</t>
        </is>
      </c>
      <c r="S570" s="9" t="inlineStr">
        <is>
          <t>Phải</t>
        </is>
      </c>
      <c r="T570" s="9" t="inlineStr">
        <is>
          <t>H1-C2</t>
        </is>
      </c>
      <c r="U570" s="9" t="inlineStr">
        <is>
          <t>B-40</t>
        </is>
      </c>
    </row>
    <row r="571">
      <c r="A571" s="149" t="inlineStr">
        <is>
          <t>B-8-12</t>
        </is>
      </c>
      <c r="B571" s="99" t="inlineStr">
        <is>
          <t>B</t>
        </is>
      </c>
      <c r="C571" s="99" t="inlineStr">
        <is>
          <t>8</t>
        </is>
      </c>
      <c r="D571" s="99" t="n">
        <v>12</v>
      </c>
      <c r="E571" s="99" t="inlineStr">
        <is>
          <t>TU-B8</t>
        </is>
      </c>
      <c r="F571" s="99" t="inlineStr">
        <is>
          <t>TU-B8/S2</t>
        </is>
      </c>
      <c r="G571" s="99" t="n">
        <v>12</v>
      </c>
      <c r="H571" s="99" t="inlineStr">
        <is>
          <t>TR-B2</t>
        </is>
      </c>
      <c r="I571" s="99" t="n">
        <v>2</v>
      </c>
      <c r="J571" s="99" t="inlineStr">
        <is>
          <t>Ống 1 Xanh dương / Cam</t>
        </is>
      </c>
      <c r="K571" s="99" t="inlineStr">
        <is>
          <t>S4-12</t>
        </is>
      </c>
      <c r="L571" s="99" t="inlineStr">
        <is>
          <t>B-13</t>
        </is>
      </c>
      <c r="M571" s="99" t="inlineStr">
        <is>
          <t>PON-12</t>
        </is>
      </c>
      <c r="N571" s="99" t="inlineStr">
        <is>
          <t>Chưa lắp</t>
        </is>
      </c>
      <c r="O571" s="149" t="n"/>
      <c r="P571" s="150" t="n"/>
      <c r="Q571" s="13">
        <f>M571&amp;" &gt; P96#"&amp;U571&amp;" &gt; "&amp;K571&amp;" &gt; P96#"&amp;L571&amp;" &gt; "&amp;R571&amp;" "&amp;S571&amp;" "&amp;T571&amp;" &gt; "&amp;H571&amp;"#"&amp;I571&amp;" &gt; "&amp;F571&amp;" p"&amp;G571</f>
        <v/>
      </c>
      <c r="R571" s="9" t="inlineStr">
        <is>
          <t>ODF-08/09</t>
        </is>
      </c>
      <c r="S571" s="9" t="inlineStr">
        <is>
          <t>Phải</t>
        </is>
      </c>
      <c r="T571" s="9" t="inlineStr">
        <is>
          <t>H1-C2</t>
        </is>
      </c>
      <c r="U571" s="9" t="inlineStr">
        <is>
          <t>B-40</t>
        </is>
      </c>
    </row>
    <row r="572">
      <c r="A572" s="149" t="inlineStr">
        <is>
          <t>B-8-13</t>
        </is>
      </c>
      <c r="B572" s="99" t="inlineStr">
        <is>
          <t>B</t>
        </is>
      </c>
      <c r="C572" s="99" t="inlineStr">
        <is>
          <t>8</t>
        </is>
      </c>
      <c r="D572" s="99" t="n">
        <v>13</v>
      </c>
      <c r="E572" s="99" t="inlineStr">
        <is>
          <t>TU-B8</t>
        </is>
      </c>
      <c r="F572" s="99" t="inlineStr">
        <is>
          <t>TU-B8/S2</t>
        </is>
      </c>
      <c r="G572" s="99" t="n">
        <v>13</v>
      </c>
      <c r="H572" s="99" t="inlineStr">
        <is>
          <t>TR-B2</t>
        </is>
      </c>
      <c r="I572" s="99" t="n">
        <v>2</v>
      </c>
      <c r="J572" s="99" t="inlineStr">
        <is>
          <t>Ống 1 Xanh dương / Cam</t>
        </is>
      </c>
      <c r="K572" s="99" t="inlineStr">
        <is>
          <t>S4-12</t>
        </is>
      </c>
      <c r="L572" s="99" t="inlineStr">
        <is>
          <t>B-13</t>
        </is>
      </c>
      <c r="M572" s="99" t="inlineStr">
        <is>
          <t>PON-12</t>
        </is>
      </c>
      <c r="N572" s="99" t="inlineStr">
        <is>
          <t>Chưa lắp</t>
        </is>
      </c>
      <c r="O572" s="149" t="n"/>
      <c r="P572" s="150" t="n"/>
      <c r="Q572" s="13">
        <f>M572&amp;" &gt; P96#"&amp;U572&amp;" &gt; "&amp;K572&amp;" &gt; P96#"&amp;L572&amp;" &gt; "&amp;R572&amp;" "&amp;S572&amp;" "&amp;T572&amp;" &gt; "&amp;H572&amp;"#"&amp;I572&amp;" &gt; "&amp;F572&amp;" p"&amp;G572</f>
        <v/>
      </c>
      <c r="R572" s="9" t="inlineStr">
        <is>
          <t>ODF-08/09</t>
        </is>
      </c>
      <c r="S572" s="9" t="inlineStr">
        <is>
          <t>Phải</t>
        </is>
      </c>
      <c r="T572" s="9" t="inlineStr">
        <is>
          <t>H1-C2</t>
        </is>
      </c>
      <c r="U572" s="9" t="inlineStr">
        <is>
          <t>B-40</t>
        </is>
      </c>
    </row>
    <row r="573">
      <c r="A573" s="149" t="inlineStr">
        <is>
          <t>B-8-14</t>
        </is>
      </c>
      <c r="B573" s="99" t="inlineStr">
        <is>
          <t>B</t>
        </is>
      </c>
      <c r="C573" s="99" t="inlineStr">
        <is>
          <t>8</t>
        </is>
      </c>
      <c r="D573" s="99" t="n">
        <v>14</v>
      </c>
      <c r="E573" s="99" t="inlineStr">
        <is>
          <t>TU-B8</t>
        </is>
      </c>
      <c r="F573" s="99" t="inlineStr">
        <is>
          <t>TU-B8/S2</t>
        </is>
      </c>
      <c r="G573" s="99" t="n">
        <v>14</v>
      </c>
      <c r="H573" s="99" t="inlineStr">
        <is>
          <t>TR-B2</t>
        </is>
      </c>
      <c r="I573" s="99" t="n">
        <v>2</v>
      </c>
      <c r="J573" s="99" t="inlineStr">
        <is>
          <t>Ống 1 Xanh dương / Cam</t>
        </is>
      </c>
      <c r="K573" s="99" t="inlineStr">
        <is>
          <t>S4-12</t>
        </is>
      </c>
      <c r="L573" s="99" t="inlineStr">
        <is>
          <t>B-13</t>
        </is>
      </c>
      <c r="M573" s="99" t="inlineStr">
        <is>
          <t>PON-12</t>
        </is>
      </c>
      <c r="N573" s="99" t="inlineStr">
        <is>
          <t>Chưa lắp</t>
        </is>
      </c>
      <c r="O573" s="149" t="n"/>
      <c r="P573" s="150" t="n"/>
      <c r="Q573" s="13">
        <f>M573&amp;" &gt; P96#"&amp;U573&amp;" &gt; "&amp;K573&amp;" &gt; P96#"&amp;L573&amp;" &gt; "&amp;R573&amp;" "&amp;S573&amp;" "&amp;T573&amp;" &gt; "&amp;H573&amp;"#"&amp;I573&amp;" &gt; "&amp;F573&amp;" p"&amp;G573</f>
        <v/>
      </c>
      <c r="R573" s="9" t="inlineStr">
        <is>
          <t>ODF-08/09</t>
        </is>
      </c>
      <c r="S573" s="9" t="inlineStr">
        <is>
          <t>Phải</t>
        </is>
      </c>
      <c r="T573" s="9" t="inlineStr">
        <is>
          <t>H1-C2</t>
        </is>
      </c>
      <c r="U573" s="9" t="inlineStr">
        <is>
          <t>B-40</t>
        </is>
      </c>
    </row>
    <row r="574">
      <c r="A574" s="149" t="inlineStr">
        <is>
          <t>B-7-01</t>
        </is>
      </c>
      <c r="B574" s="99" t="inlineStr">
        <is>
          <t>B</t>
        </is>
      </c>
      <c r="C574" s="99" t="inlineStr">
        <is>
          <t>7</t>
        </is>
      </c>
      <c r="D574" s="99" t="n">
        <v>1</v>
      </c>
      <c r="E574" s="99" t="inlineStr">
        <is>
          <t>TU-B8</t>
        </is>
      </c>
      <c r="F574" s="99" t="inlineStr">
        <is>
          <t>TU-B8/S1</t>
        </is>
      </c>
      <c r="G574" s="99" t="n">
        <v>1</v>
      </c>
      <c r="H574" s="99" t="inlineStr">
        <is>
          <t>TR-B2</t>
        </is>
      </c>
      <c r="I574" s="99" t="n">
        <v>1</v>
      </c>
      <c r="J574" s="99" t="inlineStr">
        <is>
          <t>Ống 1 Xanh dương / Xanh dương</t>
        </is>
      </c>
      <c r="K574" s="99" t="inlineStr">
        <is>
          <t>S4-11</t>
        </is>
      </c>
      <c r="L574" s="99" t="inlineStr">
        <is>
          <t>B-11</t>
        </is>
      </c>
      <c r="M574" s="99" t="inlineStr">
        <is>
          <t>PON-11</t>
        </is>
      </c>
      <c r="N574" s="99" t="inlineStr">
        <is>
          <t>Chưa lắp</t>
        </is>
      </c>
      <c r="O574" s="149" t="n"/>
      <c r="P574" s="150" t="n"/>
      <c r="Q574" s="13">
        <f>M574&amp;" &gt; P96#"&amp;U574&amp;" &gt; "&amp;K574&amp;" &gt; P96#"&amp;L574&amp;" &gt; "&amp;R574&amp;" "&amp;S574&amp;" "&amp;T574&amp;" &gt; "&amp;H574&amp;"#"&amp;I574&amp;" &gt; "&amp;F574&amp;" p"&amp;G574</f>
        <v/>
      </c>
      <c r="R574" s="9" t="inlineStr">
        <is>
          <t>ODF-08/09</t>
        </is>
      </c>
      <c r="S574" s="9" t="inlineStr">
        <is>
          <t>Phải</t>
        </is>
      </c>
      <c r="T574" s="9" t="inlineStr">
        <is>
          <t>H1-C1</t>
        </is>
      </c>
      <c r="U574" s="9" t="inlineStr">
        <is>
          <t>B-39</t>
        </is>
      </c>
    </row>
    <row r="575">
      <c r="A575" s="149" t="inlineStr">
        <is>
          <t>B-7-02</t>
        </is>
      </c>
      <c r="B575" s="99" t="inlineStr">
        <is>
          <t>B</t>
        </is>
      </c>
      <c r="C575" s="99" t="inlineStr">
        <is>
          <t>7</t>
        </is>
      </c>
      <c r="D575" s="99" t="n">
        <v>2</v>
      </c>
      <c r="E575" s="99" t="inlineStr">
        <is>
          <t>TU-B8</t>
        </is>
      </c>
      <c r="F575" s="99" t="inlineStr">
        <is>
          <t>TU-B8/S1</t>
        </is>
      </c>
      <c r="G575" s="99" t="n">
        <v>2</v>
      </c>
      <c r="H575" s="99" t="inlineStr">
        <is>
          <t>TR-B2</t>
        </is>
      </c>
      <c r="I575" s="99" t="n">
        <v>1</v>
      </c>
      <c r="J575" s="99" t="inlineStr">
        <is>
          <t>Ống 1 Xanh dương / Xanh dương</t>
        </is>
      </c>
      <c r="K575" s="99" t="inlineStr">
        <is>
          <t>S4-11</t>
        </is>
      </c>
      <c r="L575" s="99" t="inlineStr">
        <is>
          <t>B-11</t>
        </is>
      </c>
      <c r="M575" s="99" t="inlineStr">
        <is>
          <t>PON-11</t>
        </is>
      </c>
      <c r="N575" s="99" t="inlineStr">
        <is>
          <t>Chưa lắp</t>
        </is>
      </c>
      <c r="O575" s="149" t="n"/>
      <c r="P575" s="150" t="n"/>
      <c r="Q575" s="13">
        <f>M575&amp;" &gt; P96#"&amp;U575&amp;" &gt; "&amp;K575&amp;" &gt; P96#"&amp;L575&amp;" &gt; "&amp;R575&amp;" "&amp;S575&amp;" "&amp;T575&amp;" &gt; "&amp;H575&amp;"#"&amp;I575&amp;" &gt; "&amp;F575&amp;" p"&amp;G575</f>
        <v/>
      </c>
      <c r="R575" s="9" t="inlineStr">
        <is>
          <t>ODF-08/09</t>
        </is>
      </c>
      <c r="S575" s="9" t="inlineStr">
        <is>
          <t>Phải</t>
        </is>
      </c>
      <c r="T575" s="9" t="inlineStr">
        <is>
          <t>H1-C1</t>
        </is>
      </c>
      <c r="U575" s="9" t="inlineStr">
        <is>
          <t>B-39</t>
        </is>
      </c>
    </row>
    <row r="576">
      <c r="A576" s="151" t="inlineStr">
        <is>
          <t>B-7-03</t>
        </is>
      </c>
      <c r="B576" s="102" t="inlineStr">
        <is>
          <t>B</t>
        </is>
      </c>
      <c r="C576" s="102" t="inlineStr">
        <is>
          <t>7</t>
        </is>
      </c>
      <c r="D576" s="102" t="n">
        <v>3</v>
      </c>
      <c r="E576" s="102" t="inlineStr">
        <is>
          <t>TU-B8</t>
        </is>
      </c>
      <c r="F576" s="102" t="inlineStr">
        <is>
          <t>TU-B8/S1</t>
        </is>
      </c>
      <c r="G576" s="102" t="n">
        <v>3</v>
      </c>
      <c r="H576" s="102" t="inlineStr">
        <is>
          <t>TR-B2</t>
        </is>
      </c>
      <c r="I576" s="102" t="n">
        <v>1</v>
      </c>
      <c r="J576" s="102" t="inlineStr">
        <is>
          <t>Ống 1 Xanh dương / Xanh dương</t>
        </is>
      </c>
      <c r="K576" s="102" t="inlineStr">
        <is>
          <t>S4-11</t>
        </is>
      </c>
      <c r="L576" s="102" t="inlineStr">
        <is>
          <t>B-11</t>
        </is>
      </c>
      <c r="M576" s="102" t="inlineStr">
        <is>
          <t>PON-11</t>
        </is>
      </c>
      <c r="N576" s="102" t="inlineStr">
        <is>
          <t>Chưa lắp</t>
        </is>
      </c>
      <c r="O576" s="151" t="n"/>
      <c r="P576" s="152" t="n"/>
      <c r="Q576" s="13">
        <f>M576&amp;" &gt; P96#"&amp;U576&amp;" &gt; "&amp;K576&amp;" &gt; P96#"&amp;L576&amp;" &gt; "&amp;R576&amp;" "&amp;S576&amp;" "&amp;T576&amp;" &gt; "&amp;H576&amp;"#"&amp;I576&amp;" &gt; "&amp;F576&amp;" p"&amp;G576</f>
        <v/>
      </c>
      <c r="R576" s="9" t="inlineStr">
        <is>
          <t>ODF-08/09</t>
        </is>
      </c>
      <c r="S576" s="9" t="inlineStr">
        <is>
          <t>Phải</t>
        </is>
      </c>
      <c r="T576" s="9" t="inlineStr">
        <is>
          <t>H1-C1</t>
        </is>
      </c>
      <c r="U576" s="9" t="inlineStr">
        <is>
          <t>B-39</t>
        </is>
      </c>
    </row>
    <row r="577">
      <c r="A577" s="151" t="inlineStr">
        <is>
          <t>B-7-04</t>
        </is>
      </c>
      <c r="B577" s="102" t="inlineStr">
        <is>
          <t>B</t>
        </is>
      </c>
      <c r="C577" s="102" t="inlineStr">
        <is>
          <t>7</t>
        </is>
      </c>
      <c r="D577" s="102" t="n">
        <v>4</v>
      </c>
      <c r="E577" s="102" t="inlineStr">
        <is>
          <t>TU-B8</t>
        </is>
      </c>
      <c r="F577" s="102" t="inlineStr">
        <is>
          <t>TU-B8/S1</t>
        </is>
      </c>
      <c r="G577" s="102" t="n">
        <v>4</v>
      </c>
      <c r="H577" s="102" t="inlineStr">
        <is>
          <t>TR-B2</t>
        </is>
      </c>
      <c r="I577" s="102" t="n">
        <v>1</v>
      </c>
      <c r="J577" s="102" t="inlineStr">
        <is>
          <t>Ống 1 Xanh dương / Xanh dương</t>
        </is>
      </c>
      <c r="K577" s="102" t="inlineStr">
        <is>
          <t>S4-11</t>
        </is>
      </c>
      <c r="L577" s="102" t="inlineStr">
        <is>
          <t>B-11</t>
        </is>
      </c>
      <c r="M577" s="102" t="inlineStr">
        <is>
          <t>PON-11</t>
        </is>
      </c>
      <c r="N577" s="102" t="inlineStr">
        <is>
          <t>Chưa lắp</t>
        </is>
      </c>
      <c r="O577" s="151" t="n"/>
      <c r="P577" s="152" t="n"/>
      <c r="Q577" s="13">
        <f>M577&amp;" &gt; P96#"&amp;U577&amp;" &gt; "&amp;K577&amp;" &gt; P96#"&amp;L577&amp;" &gt; "&amp;R577&amp;" "&amp;S577&amp;" "&amp;T577&amp;" &gt; "&amp;H577&amp;"#"&amp;I577&amp;" &gt; "&amp;F577&amp;" p"&amp;G577</f>
        <v/>
      </c>
      <c r="R577" s="9" t="inlineStr">
        <is>
          <t>ODF-08/09</t>
        </is>
      </c>
      <c r="S577" s="9" t="inlineStr">
        <is>
          <t>Phải</t>
        </is>
      </c>
      <c r="T577" s="9" t="inlineStr">
        <is>
          <t>H1-C1</t>
        </is>
      </c>
      <c r="U577" s="9" t="inlineStr">
        <is>
          <t>B-39</t>
        </is>
      </c>
    </row>
    <row r="578">
      <c r="A578" s="151" t="inlineStr">
        <is>
          <t>B-7-05</t>
        </is>
      </c>
      <c r="B578" s="102" t="inlineStr">
        <is>
          <t>B</t>
        </is>
      </c>
      <c r="C578" s="102" t="inlineStr">
        <is>
          <t>7</t>
        </is>
      </c>
      <c r="D578" s="102" t="n">
        <v>5</v>
      </c>
      <c r="E578" s="102" t="inlineStr">
        <is>
          <t>TU-B8</t>
        </is>
      </c>
      <c r="F578" s="102" t="inlineStr">
        <is>
          <t>TU-B8/S1</t>
        </is>
      </c>
      <c r="G578" s="102" t="n">
        <v>5</v>
      </c>
      <c r="H578" s="102" t="inlineStr">
        <is>
          <t>TR-B2</t>
        </is>
      </c>
      <c r="I578" s="102" t="n">
        <v>1</v>
      </c>
      <c r="J578" s="102" t="inlineStr">
        <is>
          <t>Ống 1 Xanh dương / Xanh dương</t>
        </is>
      </c>
      <c r="K578" s="102" t="inlineStr">
        <is>
          <t>S4-11</t>
        </is>
      </c>
      <c r="L578" s="102" t="inlineStr">
        <is>
          <t>B-11</t>
        </is>
      </c>
      <c r="M578" s="102" t="inlineStr">
        <is>
          <t>PON-11</t>
        </is>
      </c>
      <c r="N578" s="102" t="inlineStr">
        <is>
          <t>Chưa lắp</t>
        </is>
      </c>
      <c r="O578" s="151" t="n"/>
      <c r="P578" s="152" t="n"/>
      <c r="Q578" s="13">
        <f>M578&amp;" &gt; P96#"&amp;U578&amp;" &gt; "&amp;K578&amp;" &gt; P96#"&amp;L578&amp;" &gt; "&amp;R578&amp;" "&amp;S578&amp;" "&amp;T578&amp;" &gt; "&amp;H578&amp;"#"&amp;I578&amp;" &gt; "&amp;F578&amp;" p"&amp;G578</f>
        <v/>
      </c>
      <c r="R578" s="9" t="inlineStr">
        <is>
          <t>ODF-08/09</t>
        </is>
      </c>
      <c r="S578" s="9" t="inlineStr">
        <is>
          <t>Phải</t>
        </is>
      </c>
      <c r="T578" s="9" t="inlineStr">
        <is>
          <t>H1-C1</t>
        </is>
      </c>
      <c r="U578" s="9" t="inlineStr">
        <is>
          <t>B-39</t>
        </is>
      </c>
    </row>
    <row r="579">
      <c r="A579" s="151" t="inlineStr">
        <is>
          <t>B-7-06</t>
        </is>
      </c>
      <c r="B579" s="102" t="inlineStr">
        <is>
          <t>B</t>
        </is>
      </c>
      <c r="C579" s="102" t="inlineStr">
        <is>
          <t>7</t>
        </is>
      </c>
      <c r="D579" s="102" t="n">
        <v>6</v>
      </c>
      <c r="E579" s="102" t="inlineStr">
        <is>
          <t>TU-B8</t>
        </is>
      </c>
      <c r="F579" s="102" t="inlineStr">
        <is>
          <t>TU-B8/S1</t>
        </is>
      </c>
      <c r="G579" s="102" t="n">
        <v>6</v>
      </c>
      <c r="H579" s="102" t="inlineStr">
        <is>
          <t>TR-B2</t>
        </is>
      </c>
      <c r="I579" s="102" t="n">
        <v>1</v>
      </c>
      <c r="J579" s="102" t="inlineStr">
        <is>
          <t>Ống 1 Xanh dương / Xanh dương</t>
        </is>
      </c>
      <c r="K579" s="102" t="inlineStr">
        <is>
          <t>S4-11</t>
        </is>
      </c>
      <c r="L579" s="102" t="inlineStr">
        <is>
          <t>B-11</t>
        </is>
      </c>
      <c r="M579" s="102" t="inlineStr">
        <is>
          <t>PON-11</t>
        </is>
      </c>
      <c r="N579" s="102" t="inlineStr">
        <is>
          <t>Chưa lắp</t>
        </is>
      </c>
      <c r="O579" s="151" t="n"/>
      <c r="P579" s="152" t="n"/>
      <c r="Q579" s="13">
        <f>M579&amp;" &gt; P96#"&amp;U579&amp;" &gt; "&amp;K579&amp;" &gt; P96#"&amp;L579&amp;" &gt; "&amp;R579&amp;" "&amp;S579&amp;" "&amp;T579&amp;" &gt; "&amp;H579&amp;"#"&amp;I579&amp;" &gt; "&amp;F579&amp;" p"&amp;G579</f>
        <v/>
      </c>
      <c r="R579" s="9" t="inlineStr">
        <is>
          <t>ODF-08/09</t>
        </is>
      </c>
      <c r="S579" s="9" t="inlineStr">
        <is>
          <t>Phải</t>
        </is>
      </c>
      <c r="T579" s="9" t="inlineStr">
        <is>
          <t>H1-C1</t>
        </is>
      </c>
      <c r="U579" s="9" t="inlineStr">
        <is>
          <t>B-39</t>
        </is>
      </c>
    </row>
    <row r="580">
      <c r="A580" s="151" t="inlineStr">
        <is>
          <t>B-7-07</t>
        </is>
      </c>
      <c r="B580" s="102" t="inlineStr">
        <is>
          <t>B</t>
        </is>
      </c>
      <c r="C580" s="102" t="inlineStr">
        <is>
          <t>7</t>
        </is>
      </c>
      <c r="D580" s="102" t="n">
        <v>7</v>
      </c>
      <c r="E580" s="102" t="inlineStr">
        <is>
          <t>TU-B8</t>
        </is>
      </c>
      <c r="F580" s="102" t="inlineStr">
        <is>
          <t>TU-B8/S1</t>
        </is>
      </c>
      <c r="G580" s="102" t="n">
        <v>7</v>
      </c>
      <c r="H580" s="102" t="inlineStr">
        <is>
          <t>TR-B2</t>
        </is>
      </c>
      <c r="I580" s="102" t="n">
        <v>1</v>
      </c>
      <c r="J580" s="102" t="inlineStr">
        <is>
          <t>Ống 1 Xanh dương / Xanh dương</t>
        </is>
      </c>
      <c r="K580" s="102" t="inlineStr">
        <is>
          <t>S4-11</t>
        </is>
      </c>
      <c r="L580" s="102" t="inlineStr">
        <is>
          <t>B-11</t>
        </is>
      </c>
      <c r="M580" s="102" t="inlineStr">
        <is>
          <t>PON-11</t>
        </is>
      </c>
      <c r="N580" s="102" t="inlineStr">
        <is>
          <t>Chưa lắp</t>
        </is>
      </c>
      <c r="O580" s="151" t="n"/>
      <c r="P580" s="152" t="n"/>
      <c r="Q580" s="13">
        <f>M580&amp;" &gt; P96#"&amp;U580&amp;" &gt; "&amp;K580&amp;" &gt; P96#"&amp;L580&amp;" &gt; "&amp;R580&amp;" "&amp;S580&amp;" "&amp;T580&amp;" &gt; "&amp;H580&amp;"#"&amp;I580&amp;" &gt; "&amp;F580&amp;" p"&amp;G580</f>
        <v/>
      </c>
      <c r="R580" s="9" t="inlineStr">
        <is>
          <t>ODF-08/09</t>
        </is>
      </c>
      <c r="S580" s="9" t="inlineStr">
        <is>
          <t>Phải</t>
        </is>
      </c>
      <c r="T580" s="9" t="inlineStr">
        <is>
          <t>H1-C1</t>
        </is>
      </c>
      <c r="U580" s="9" t="inlineStr">
        <is>
          <t>B-39</t>
        </is>
      </c>
    </row>
    <row r="581">
      <c r="A581" s="151" t="inlineStr">
        <is>
          <t>B-7-08</t>
        </is>
      </c>
      <c r="B581" s="102" t="inlineStr">
        <is>
          <t>B</t>
        </is>
      </c>
      <c r="C581" s="102" t="inlineStr">
        <is>
          <t>7</t>
        </is>
      </c>
      <c r="D581" s="102" t="n">
        <v>8</v>
      </c>
      <c r="E581" s="102" t="inlineStr">
        <is>
          <t>TU-B8</t>
        </is>
      </c>
      <c r="F581" s="102" t="inlineStr">
        <is>
          <t>TU-B8/S1</t>
        </is>
      </c>
      <c r="G581" s="102" t="n">
        <v>8</v>
      </c>
      <c r="H581" s="102" t="inlineStr">
        <is>
          <t>TR-B2</t>
        </is>
      </c>
      <c r="I581" s="102" t="n">
        <v>1</v>
      </c>
      <c r="J581" s="102" t="inlineStr">
        <is>
          <t>Ống 1 Xanh dương / Xanh dương</t>
        </is>
      </c>
      <c r="K581" s="102" t="inlineStr">
        <is>
          <t>S4-11</t>
        </is>
      </c>
      <c r="L581" s="102" t="inlineStr">
        <is>
          <t>B-11</t>
        </is>
      </c>
      <c r="M581" s="102" t="inlineStr">
        <is>
          <t>PON-11</t>
        </is>
      </c>
      <c r="N581" s="102" t="inlineStr">
        <is>
          <t>Chưa lắp</t>
        </is>
      </c>
      <c r="O581" s="151" t="n"/>
      <c r="P581" s="152" t="n"/>
      <c r="Q581" s="13">
        <f>M581&amp;" &gt; P96#"&amp;U581&amp;" &gt; "&amp;K581&amp;" &gt; P96#"&amp;L581&amp;" &gt; "&amp;R581&amp;" "&amp;S581&amp;" "&amp;T581&amp;" &gt; "&amp;H581&amp;"#"&amp;I581&amp;" &gt; "&amp;F581&amp;" p"&amp;G581</f>
        <v/>
      </c>
      <c r="R581" s="9" t="inlineStr">
        <is>
          <t>ODF-08/09</t>
        </is>
      </c>
      <c r="S581" s="9" t="inlineStr">
        <is>
          <t>Phải</t>
        </is>
      </c>
      <c r="T581" s="9" t="inlineStr">
        <is>
          <t>H1-C1</t>
        </is>
      </c>
      <c r="U581" s="9" t="inlineStr">
        <is>
          <t>B-39</t>
        </is>
      </c>
    </row>
    <row r="582">
      <c r="A582" s="151" t="inlineStr">
        <is>
          <t>B-7-09</t>
        </is>
      </c>
      <c r="B582" s="102" t="inlineStr">
        <is>
          <t>B</t>
        </is>
      </c>
      <c r="C582" s="102" t="inlineStr">
        <is>
          <t>7</t>
        </is>
      </c>
      <c r="D582" s="102" t="n">
        <v>9</v>
      </c>
      <c r="E582" s="102" t="inlineStr">
        <is>
          <t>TU-B8</t>
        </is>
      </c>
      <c r="F582" s="102" t="inlineStr">
        <is>
          <t>TU-B8/S1</t>
        </is>
      </c>
      <c r="G582" s="102" t="n">
        <v>9</v>
      </c>
      <c r="H582" s="102" t="inlineStr">
        <is>
          <t>TR-B2</t>
        </is>
      </c>
      <c r="I582" s="102" t="n">
        <v>1</v>
      </c>
      <c r="J582" s="102" t="inlineStr">
        <is>
          <t>Ống 1 Xanh dương / Xanh dương</t>
        </is>
      </c>
      <c r="K582" s="102" t="inlineStr">
        <is>
          <t>S4-11</t>
        </is>
      </c>
      <c r="L582" s="102" t="inlineStr">
        <is>
          <t>B-11</t>
        </is>
      </c>
      <c r="M582" s="102" t="inlineStr">
        <is>
          <t>PON-11</t>
        </is>
      </c>
      <c r="N582" s="102" t="inlineStr">
        <is>
          <t>Chưa lắp</t>
        </is>
      </c>
      <c r="O582" s="151" t="n"/>
      <c r="P582" s="152" t="n"/>
      <c r="Q582" s="13">
        <f>M582&amp;" &gt; P96#"&amp;U582&amp;" &gt; "&amp;K582&amp;" &gt; P96#"&amp;L582&amp;" &gt; "&amp;R582&amp;" "&amp;S582&amp;" "&amp;T582&amp;" &gt; "&amp;H582&amp;"#"&amp;I582&amp;" &gt; "&amp;F582&amp;" p"&amp;G582</f>
        <v/>
      </c>
      <c r="R582" s="9" t="inlineStr">
        <is>
          <t>ODF-08/09</t>
        </is>
      </c>
      <c r="S582" s="9" t="inlineStr">
        <is>
          <t>Phải</t>
        </is>
      </c>
      <c r="T582" s="9" t="inlineStr">
        <is>
          <t>H1-C1</t>
        </is>
      </c>
      <c r="U582" s="9" t="inlineStr">
        <is>
          <t>B-39</t>
        </is>
      </c>
    </row>
    <row r="583">
      <c r="A583" s="151" t="inlineStr">
        <is>
          <t>B-7-10</t>
        </is>
      </c>
      <c r="B583" s="102" t="inlineStr">
        <is>
          <t>B</t>
        </is>
      </c>
      <c r="C583" s="102" t="inlineStr">
        <is>
          <t>7</t>
        </is>
      </c>
      <c r="D583" s="102" t="n">
        <v>10</v>
      </c>
      <c r="E583" s="102" t="inlineStr">
        <is>
          <t>TU-B8</t>
        </is>
      </c>
      <c r="F583" s="102" t="inlineStr">
        <is>
          <t>TU-B8/S1</t>
        </is>
      </c>
      <c r="G583" s="102" t="n">
        <v>10</v>
      </c>
      <c r="H583" s="102" t="inlineStr">
        <is>
          <t>TR-B2</t>
        </is>
      </c>
      <c r="I583" s="102" t="n">
        <v>1</v>
      </c>
      <c r="J583" s="102" t="inlineStr">
        <is>
          <t>Ống 1 Xanh dương / Xanh dương</t>
        </is>
      </c>
      <c r="K583" s="102" t="inlineStr">
        <is>
          <t>S4-11</t>
        </is>
      </c>
      <c r="L583" s="102" t="inlineStr">
        <is>
          <t>B-11</t>
        </is>
      </c>
      <c r="M583" s="102" t="inlineStr">
        <is>
          <t>PON-11</t>
        </is>
      </c>
      <c r="N583" s="102" t="inlineStr">
        <is>
          <t>Chưa lắp</t>
        </is>
      </c>
      <c r="O583" s="151" t="n"/>
      <c r="P583" s="152" t="n"/>
      <c r="Q583" s="13">
        <f>M583&amp;" &gt; P96#"&amp;U583&amp;" &gt; "&amp;K583&amp;" &gt; P96#"&amp;L583&amp;" &gt; "&amp;R583&amp;" "&amp;S583&amp;" "&amp;T583&amp;" &gt; "&amp;H583&amp;"#"&amp;I583&amp;" &gt; "&amp;F583&amp;" p"&amp;G583</f>
        <v/>
      </c>
      <c r="R583" s="9" t="inlineStr">
        <is>
          <t>ODF-08/09</t>
        </is>
      </c>
      <c r="S583" s="9" t="inlineStr">
        <is>
          <t>Phải</t>
        </is>
      </c>
      <c r="T583" s="9" t="inlineStr">
        <is>
          <t>H1-C1</t>
        </is>
      </c>
      <c r="U583" s="9" t="inlineStr">
        <is>
          <t>B-39</t>
        </is>
      </c>
    </row>
    <row r="584">
      <c r="A584" s="151" t="inlineStr">
        <is>
          <t>B-7-11</t>
        </is>
      </c>
      <c r="B584" s="102" t="inlineStr">
        <is>
          <t>B</t>
        </is>
      </c>
      <c r="C584" s="102" t="inlineStr">
        <is>
          <t>7</t>
        </is>
      </c>
      <c r="D584" s="102" t="n">
        <v>11</v>
      </c>
      <c r="E584" s="102" t="inlineStr">
        <is>
          <t>TU-B8</t>
        </is>
      </c>
      <c r="F584" s="102" t="inlineStr">
        <is>
          <t>TU-B8/S1</t>
        </is>
      </c>
      <c r="G584" s="102" t="n">
        <v>11</v>
      </c>
      <c r="H584" s="102" t="inlineStr">
        <is>
          <t>TR-B2</t>
        </is>
      </c>
      <c r="I584" s="102" t="n">
        <v>1</v>
      </c>
      <c r="J584" s="102" t="inlineStr">
        <is>
          <t>Ống 1 Xanh dương / Xanh dương</t>
        </is>
      </c>
      <c r="K584" s="102" t="inlineStr">
        <is>
          <t>S4-11</t>
        </is>
      </c>
      <c r="L584" s="102" t="inlineStr">
        <is>
          <t>B-11</t>
        </is>
      </c>
      <c r="M584" s="102" t="inlineStr">
        <is>
          <t>PON-11</t>
        </is>
      </c>
      <c r="N584" s="102" t="inlineStr">
        <is>
          <t>Chưa lắp</t>
        </is>
      </c>
      <c r="O584" s="151" t="n"/>
      <c r="P584" s="152" t="n"/>
      <c r="Q584" s="13">
        <f>M584&amp;" &gt; P96#"&amp;U584&amp;" &gt; "&amp;K584&amp;" &gt; P96#"&amp;L584&amp;" &gt; "&amp;R584&amp;" "&amp;S584&amp;" "&amp;T584&amp;" &gt; "&amp;H584&amp;"#"&amp;I584&amp;" &gt; "&amp;F584&amp;" p"&amp;G584</f>
        <v/>
      </c>
      <c r="R584" s="9" t="inlineStr">
        <is>
          <t>ODF-08/09</t>
        </is>
      </c>
      <c r="S584" s="9" t="inlineStr">
        <is>
          <t>Phải</t>
        </is>
      </c>
      <c r="T584" s="9" t="inlineStr">
        <is>
          <t>H1-C1</t>
        </is>
      </c>
      <c r="U584" s="9" t="inlineStr">
        <is>
          <t>B-39</t>
        </is>
      </c>
    </row>
    <row r="585">
      <c r="A585" s="151" t="inlineStr">
        <is>
          <t>B-7-12</t>
        </is>
      </c>
      <c r="B585" s="102" t="inlineStr">
        <is>
          <t>B</t>
        </is>
      </c>
      <c r="C585" s="102" t="inlineStr">
        <is>
          <t>7</t>
        </is>
      </c>
      <c r="D585" s="102" t="n">
        <v>12</v>
      </c>
      <c r="E585" s="102" t="inlineStr">
        <is>
          <t>TU-B8</t>
        </is>
      </c>
      <c r="F585" s="102" t="inlineStr">
        <is>
          <t>TU-B8/S1</t>
        </is>
      </c>
      <c r="G585" s="102" t="n">
        <v>12</v>
      </c>
      <c r="H585" s="102" t="inlineStr">
        <is>
          <t>TR-B2</t>
        </is>
      </c>
      <c r="I585" s="102" t="n">
        <v>1</v>
      </c>
      <c r="J585" s="102" t="inlineStr">
        <is>
          <t>Ống 1 Xanh dương / Xanh dương</t>
        </is>
      </c>
      <c r="K585" s="102" t="inlineStr">
        <is>
          <t>S4-11</t>
        </is>
      </c>
      <c r="L585" s="102" t="inlineStr">
        <is>
          <t>B-11</t>
        </is>
      </c>
      <c r="M585" s="102" t="inlineStr">
        <is>
          <t>PON-11</t>
        </is>
      </c>
      <c r="N585" s="102" t="inlineStr">
        <is>
          <t>Chưa lắp</t>
        </is>
      </c>
      <c r="O585" s="151" t="n"/>
      <c r="P585" s="152" t="n"/>
      <c r="Q585" s="13">
        <f>M585&amp;" &gt; P96#"&amp;U585&amp;" &gt; "&amp;K585&amp;" &gt; P96#"&amp;L585&amp;" &gt; "&amp;R585&amp;" "&amp;S585&amp;" "&amp;T585&amp;" &gt; "&amp;H585&amp;"#"&amp;I585&amp;" &gt; "&amp;F585&amp;" p"&amp;G585</f>
        <v/>
      </c>
      <c r="R585" s="9" t="inlineStr">
        <is>
          <t>ODF-08/09</t>
        </is>
      </c>
      <c r="S585" s="9" t="inlineStr">
        <is>
          <t>Phải</t>
        </is>
      </c>
      <c r="T585" s="9" t="inlineStr">
        <is>
          <t>H1-C1</t>
        </is>
      </c>
      <c r="U585" s="9" t="inlineStr">
        <is>
          <t>B-39</t>
        </is>
      </c>
    </row>
    <row r="586">
      <c r="A586" s="151" t="inlineStr">
        <is>
          <t>B-7-13</t>
        </is>
      </c>
      <c r="B586" s="102" t="inlineStr">
        <is>
          <t>B</t>
        </is>
      </c>
      <c r="C586" s="102" t="inlineStr">
        <is>
          <t>7</t>
        </is>
      </c>
      <c r="D586" s="102" t="n">
        <v>13</v>
      </c>
      <c r="E586" s="102" t="inlineStr">
        <is>
          <t>TU-B8</t>
        </is>
      </c>
      <c r="F586" s="102" t="inlineStr">
        <is>
          <t>TU-B8/S1</t>
        </is>
      </c>
      <c r="G586" s="102" t="n">
        <v>13</v>
      </c>
      <c r="H586" s="102" t="inlineStr">
        <is>
          <t>TR-B2</t>
        </is>
      </c>
      <c r="I586" s="102" t="n">
        <v>1</v>
      </c>
      <c r="J586" s="102" t="inlineStr">
        <is>
          <t>Ống 1 Xanh dương / Xanh dương</t>
        </is>
      </c>
      <c r="K586" s="102" t="inlineStr">
        <is>
          <t>S4-11</t>
        </is>
      </c>
      <c r="L586" s="102" t="inlineStr">
        <is>
          <t>B-11</t>
        </is>
      </c>
      <c r="M586" s="102" t="inlineStr">
        <is>
          <t>PON-11</t>
        </is>
      </c>
      <c r="N586" s="102" t="inlineStr">
        <is>
          <t>Chưa lắp</t>
        </is>
      </c>
      <c r="O586" s="151" t="n"/>
      <c r="P586" s="152" t="n"/>
      <c r="Q586" s="13">
        <f>M586&amp;" &gt; P96#"&amp;U586&amp;" &gt; "&amp;K586&amp;" &gt; P96#"&amp;L586&amp;" &gt; "&amp;R586&amp;" "&amp;S586&amp;" "&amp;T586&amp;" &gt; "&amp;H586&amp;"#"&amp;I586&amp;" &gt; "&amp;F586&amp;" p"&amp;G586</f>
        <v/>
      </c>
      <c r="R586" s="9" t="inlineStr">
        <is>
          <t>ODF-08/09</t>
        </is>
      </c>
      <c r="S586" s="9" t="inlineStr">
        <is>
          <t>Phải</t>
        </is>
      </c>
      <c r="T586" s="9" t="inlineStr">
        <is>
          <t>H1-C1</t>
        </is>
      </c>
      <c r="U586" s="9" t="inlineStr">
        <is>
          <t>B-39</t>
        </is>
      </c>
    </row>
    <row r="587">
      <c r="A587" s="151" t="inlineStr">
        <is>
          <t>B-7-14</t>
        </is>
      </c>
      <c r="B587" s="102" t="inlineStr">
        <is>
          <t>B</t>
        </is>
      </c>
      <c r="C587" s="102" t="inlineStr">
        <is>
          <t>7</t>
        </is>
      </c>
      <c r="D587" s="102" t="n">
        <v>14</v>
      </c>
      <c r="E587" s="102" t="inlineStr">
        <is>
          <t>TU-B8</t>
        </is>
      </c>
      <c r="F587" s="102" t="inlineStr">
        <is>
          <t>TU-B8/S1</t>
        </is>
      </c>
      <c r="G587" s="102" t="n">
        <v>14</v>
      </c>
      <c r="H587" s="102" t="inlineStr">
        <is>
          <t>TR-B2</t>
        </is>
      </c>
      <c r="I587" s="102" t="n">
        <v>1</v>
      </c>
      <c r="J587" s="102" t="inlineStr">
        <is>
          <t>Ống 1 Xanh dương / Xanh dương</t>
        </is>
      </c>
      <c r="K587" s="102" t="inlineStr">
        <is>
          <t>S4-11</t>
        </is>
      </c>
      <c r="L587" s="102" t="inlineStr">
        <is>
          <t>B-11</t>
        </is>
      </c>
      <c r="M587" s="102" t="inlineStr">
        <is>
          <t>PON-11</t>
        </is>
      </c>
      <c r="N587" s="102" t="inlineStr">
        <is>
          <t>Chưa lắp</t>
        </is>
      </c>
      <c r="O587" s="151" t="n"/>
      <c r="P587" s="152" t="n"/>
      <c r="Q587" s="13">
        <f>M587&amp;" &gt; P96#"&amp;U587&amp;" &gt; "&amp;K587&amp;" &gt; P96#"&amp;L587&amp;" &gt; "&amp;R587&amp;" "&amp;S587&amp;" "&amp;T587&amp;" &gt; "&amp;H587&amp;"#"&amp;I587&amp;" &gt; "&amp;F587&amp;" p"&amp;G587</f>
        <v/>
      </c>
      <c r="R587" s="9" t="inlineStr">
        <is>
          <t>ODF-08/09</t>
        </is>
      </c>
      <c r="S587" s="9" t="inlineStr">
        <is>
          <t>Phải</t>
        </is>
      </c>
      <c r="T587" s="9" t="inlineStr">
        <is>
          <t>H1-C1</t>
        </is>
      </c>
      <c r="U587" s="9" t="inlineStr">
        <is>
          <t>B-39</t>
        </is>
      </c>
    </row>
    <row r="588">
      <c r="A588" s="151" t="inlineStr">
        <is>
          <t>B-6-01</t>
        </is>
      </c>
      <c r="B588" s="102" t="inlineStr">
        <is>
          <t>B</t>
        </is>
      </c>
      <c r="C588" s="102" t="inlineStr">
        <is>
          <t>6</t>
        </is>
      </c>
      <c r="D588" s="102" t="n">
        <v>1</v>
      </c>
      <c r="E588" s="102" t="inlineStr">
        <is>
          <t>TU-B5</t>
        </is>
      </c>
      <c r="F588" s="102" t="inlineStr">
        <is>
          <t>TU-B5/S3</t>
        </is>
      </c>
      <c r="G588" s="102" t="n">
        <v>1</v>
      </c>
      <c r="H588" s="102" t="inlineStr">
        <is>
          <t>TR-B1</t>
        </is>
      </c>
      <c r="I588" s="102" t="n">
        <v>11</v>
      </c>
      <c r="J588" s="102" t="inlineStr">
        <is>
          <t>Ống 2 Cam / Xám</t>
        </is>
      </c>
      <c r="K588" s="102" t="inlineStr">
        <is>
          <t>S4-11</t>
        </is>
      </c>
      <c r="L588" s="102" t="inlineStr">
        <is>
          <t>B-10</t>
        </is>
      </c>
      <c r="M588" s="102" t="inlineStr">
        <is>
          <t>PON-11</t>
        </is>
      </c>
      <c r="N588" s="102" t="inlineStr">
        <is>
          <t>Chưa lắp</t>
        </is>
      </c>
      <c r="O588" s="151" t="n"/>
      <c r="P588" s="152" t="n"/>
      <c r="Q588" s="13">
        <f>M588&amp;" &gt; P96#"&amp;U588&amp;" &gt; "&amp;K588&amp;" &gt; P96#"&amp;L588&amp;" &gt; "&amp;R588&amp;" "&amp;S588&amp;" "&amp;T588&amp;" &gt; "&amp;H588&amp;"#"&amp;I588&amp;" &gt; "&amp;F588&amp;" p"&amp;G588</f>
        <v/>
      </c>
      <c r="R588" s="9" t="inlineStr">
        <is>
          <t>ODF-02</t>
        </is>
      </c>
      <c r="S588" s="9" t="inlineStr">
        <is>
          <t>Phải</t>
        </is>
      </c>
      <c r="T588" s="9" t="inlineStr">
        <is>
          <t>H2-C5</t>
        </is>
      </c>
      <c r="U588" s="9" t="inlineStr">
        <is>
          <t>B-39</t>
        </is>
      </c>
    </row>
    <row r="589">
      <c r="A589" s="151" t="inlineStr">
        <is>
          <t>B-6-02</t>
        </is>
      </c>
      <c r="B589" s="102" t="inlineStr">
        <is>
          <t>B</t>
        </is>
      </c>
      <c r="C589" s="102" t="inlineStr">
        <is>
          <t>6</t>
        </is>
      </c>
      <c r="D589" s="102" t="n">
        <v>2</v>
      </c>
      <c r="E589" s="102" t="inlineStr">
        <is>
          <t>TU-B5</t>
        </is>
      </c>
      <c r="F589" s="102" t="inlineStr">
        <is>
          <t>TU-B5/S3</t>
        </is>
      </c>
      <c r="G589" s="102" t="n">
        <v>2</v>
      </c>
      <c r="H589" s="102" t="inlineStr">
        <is>
          <t>TR-B1</t>
        </is>
      </c>
      <c r="I589" s="102" t="n">
        <v>11</v>
      </c>
      <c r="J589" s="102" t="inlineStr">
        <is>
          <t>Ống 2 Cam / Xám</t>
        </is>
      </c>
      <c r="K589" s="102" t="inlineStr">
        <is>
          <t>S4-11</t>
        </is>
      </c>
      <c r="L589" s="102" t="inlineStr">
        <is>
          <t>B-10</t>
        </is>
      </c>
      <c r="M589" s="102" t="inlineStr">
        <is>
          <t>PON-11</t>
        </is>
      </c>
      <c r="N589" s="102" t="inlineStr">
        <is>
          <t>Chưa lắp</t>
        </is>
      </c>
      <c r="O589" s="151" t="n"/>
      <c r="P589" s="152" t="n"/>
      <c r="Q589" s="13">
        <f>M589&amp;" &gt; P96#"&amp;U589&amp;" &gt; "&amp;K589&amp;" &gt; P96#"&amp;L589&amp;" &gt; "&amp;R589&amp;" "&amp;S589&amp;" "&amp;T589&amp;" &gt; "&amp;H589&amp;"#"&amp;I589&amp;" &gt; "&amp;F589&amp;" p"&amp;G589</f>
        <v/>
      </c>
      <c r="R589" s="9" t="inlineStr">
        <is>
          <t>ODF-02</t>
        </is>
      </c>
      <c r="S589" s="9" t="inlineStr">
        <is>
          <t>Phải</t>
        </is>
      </c>
      <c r="T589" s="9" t="inlineStr">
        <is>
          <t>H2-C5</t>
        </is>
      </c>
      <c r="U589" s="9" t="inlineStr">
        <is>
          <t>B-39</t>
        </is>
      </c>
    </row>
    <row r="590">
      <c r="A590" s="149" t="inlineStr">
        <is>
          <t>B-6-03</t>
        </is>
      </c>
      <c r="B590" s="99" t="inlineStr">
        <is>
          <t>B</t>
        </is>
      </c>
      <c r="C590" s="99" t="inlineStr">
        <is>
          <t>6</t>
        </is>
      </c>
      <c r="D590" s="99" t="n">
        <v>3</v>
      </c>
      <c r="E590" s="99" t="inlineStr">
        <is>
          <t>TU-B5</t>
        </is>
      </c>
      <c r="F590" s="99" t="inlineStr">
        <is>
          <t>TU-B5/S3</t>
        </is>
      </c>
      <c r="G590" s="99" t="n">
        <v>3</v>
      </c>
      <c r="H590" s="99" t="inlineStr">
        <is>
          <t>TR-B1</t>
        </is>
      </c>
      <c r="I590" s="99" t="n">
        <v>11</v>
      </c>
      <c r="J590" s="99" t="inlineStr">
        <is>
          <t>Ống 2 Cam / Xám</t>
        </is>
      </c>
      <c r="K590" s="99" t="inlineStr">
        <is>
          <t>S4-11</t>
        </is>
      </c>
      <c r="L590" s="99" t="inlineStr">
        <is>
          <t>B-10</t>
        </is>
      </c>
      <c r="M590" s="99" t="inlineStr">
        <is>
          <t>PON-11</t>
        </is>
      </c>
      <c r="N590" s="99" t="inlineStr">
        <is>
          <t>Chưa lắp</t>
        </is>
      </c>
      <c r="O590" s="149" t="n"/>
      <c r="P590" s="150" t="n"/>
      <c r="Q590" s="13">
        <f>M590&amp;" &gt; P96#"&amp;U590&amp;" &gt; "&amp;K590&amp;" &gt; P96#"&amp;L590&amp;" &gt; "&amp;R590&amp;" "&amp;S590&amp;" "&amp;T590&amp;" &gt; "&amp;H590&amp;"#"&amp;I590&amp;" &gt; "&amp;F590&amp;" p"&amp;G590</f>
        <v/>
      </c>
      <c r="R590" s="9" t="inlineStr">
        <is>
          <t>ODF-02</t>
        </is>
      </c>
      <c r="S590" s="9" t="inlineStr">
        <is>
          <t>Phải</t>
        </is>
      </c>
      <c r="T590" s="9" t="inlineStr">
        <is>
          <t>H2-C5</t>
        </is>
      </c>
      <c r="U590" s="9" t="inlineStr">
        <is>
          <t>B-39</t>
        </is>
      </c>
    </row>
    <row r="591">
      <c r="A591" s="149" t="inlineStr">
        <is>
          <t>B-6-04</t>
        </is>
      </c>
      <c r="B591" s="99" t="inlineStr">
        <is>
          <t>B</t>
        </is>
      </c>
      <c r="C591" s="99" t="inlineStr">
        <is>
          <t>6</t>
        </is>
      </c>
      <c r="D591" s="99" t="n">
        <v>4</v>
      </c>
      <c r="E591" s="99" t="inlineStr">
        <is>
          <t>TU-B5</t>
        </is>
      </c>
      <c r="F591" s="99" t="inlineStr">
        <is>
          <t>TU-B5/S3</t>
        </is>
      </c>
      <c r="G591" s="99" t="n">
        <v>4</v>
      </c>
      <c r="H591" s="99" t="inlineStr">
        <is>
          <t>TR-B1</t>
        </is>
      </c>
      <c r="I591" s="99" t="n">
        <v>11</v>
      </c>
      <c r="J591" s="99" t="inlineStr">
        <is>
          <t>Ống 2 Cam / Xám</t>
        </is>
      </c>
      <c r="K591" s="99" t="inlineStr">
        <is>
          <t>S4-11</t>
        </is>
      </c>
      <c r="L591" s="99" t="inlineStr">
        <is>
          <t>B-10</t>
        </is>
      </c>
      <c r="M591" s="99" t="inlineStr">
        <is>
          <t>PON-11</t>
        </is>
      </c>
      <c r="N591" s="99" t="inlineStr">
        <is>
          <t>Chưa lắp</t>
        </is>
      </c>
      <c r="O591" s="149" t="n"/>
      <c r="P591" s="150" t="n"/>
      <c r="Q591" s="13">
        <f>M591&amp;" &gt; P96#"&amp;U591&amp;" &gt; "&amp;K591&amp;" &gt; P96#"&amp;L591&amp;" &gt; "&amp;R591&amp;" "&amp;S591&amp;" "&amp;T591&amp;" &gt; "&amp;H591&amp;"#"&amp;I591&amp;" &gt; "&amp;F591&amp;" p"&amp;G591</f>
        <v/>
      </c>
      <c r="R591" s="9" t="inlineStr">
        <is>
          <t>ODF-02</t>
        </is>
      </c>
      <c r="S591" s="9" t="inlineStr">
        <is>
          <t>Phải</t>
        </is>
      </c>
      <c r="T591" s="9" t="inlineStr">
        <is>
          <t>H2-C5</t>
        </is>
      </c>
      <c r="U591" s="9" t="inlineStr">
        <is>
          <t>B-39</t>
        </is>
      </c>
    </row>
    <row r="592">
      <c r="A592" s="149" t="inlineStr">
        <is>
          <t>B-6-05</t>
        </is>
      </c>
      <c r="B592" s="99" t="inlineStr">
        <is>
          <t>B</t>
        </is>
      </c>
      <c r="C592" s="99" t="inlineStr">
        <is>
          <t>6</t>
        </is>
      </c>
      <c r="D592" s="99" t="n">
        <v>5</v>
      </c>
      <c r="E592" s="99" t="inlineStr">
        <is>
          <t>TU-B5</t>
        </is>
      </c>
      <c r="F592" s="99" t="inlineStr">
        <is>
          <t>TU-B5/S3</t>
        </is>
      </c>
      <c r="G592" s="99" t="n">
        <v>5</v>
      </c>
      <c r="H592" s="99" t="inlineStr">
        <is>
          <t>TR-B1</t>
        </is>
      </c>
      <c r="I592" s="99" t="n">
        <v>11</v>
      </c>
      <c r="J592" s="99" t="inlineStr">
        <is>
          <t>Ống 2 Cam / Xám</t>
        </is>
      </c>
      <c r="K592" s="99" t="inlineStr">
        <is>
          <t>S4-11</t>
        </is>
      </c>
      <c r="L592" s="99" t="inlineStr">
        <is>
          <t>B-10</t>
        </is>
      </c>
      <c r="M592" s="99" t="inlineStr">
        <is>
          <t>PON-11</t>
        </is>
      </c>
      <c r="N592" s="99" t="inlineStr">
        <is>
          <t>Chưa lắp</t>
        </is>
      </c>
      <c r="O592" s="149" t="n"/>
      <c r="P592" s="150" t="n"/>
      <c r="Q592" s="13">
        <f>M592&amp;" &gt; P96#"&amp;U592&amp;" &gt; "&amp;K592&amp;" &gt; P96#"&amp;L592&amp;" &gt; "&amp;R592&amp;" "&amp;S592&amp;" "&amp;T592&amp;" &gt; "&amp;H592&amp;"#"&amp;I592&amp;" &gt; "&amp;F592&amp;" p"&amp;G592</f>
        <v/>
      </c>
      <c r="R592" s="9" t="inlineStr">
        <is>
          <t>ODF-02</t>
        </is>
      </c>
      <c r="S592" s="9" t="inlineStr">
        <is>
          <t>Phải</t>
        </is>
      </c>
      <c r="T592" s="9" t="inlineStr">
        <is>
          <t>H2-C5</t>
        </is>
      </c>
      <c r="U592" s="9" t="inlineStr">
        <is>
          <t>B-39</t>
        </is>
      </c>
    </row>
    <row r="593">
      <c r="A593" s="149" t="inlineStr">
        <is>
          <t>B-6-06</t>
        </is>
      </c>
      <c r="B593" s="99" t="inlineStr">
        <is>
          <t>B</t>
        </is>
      </c>
      <c r="C593" s="99" t="inlineStr">
        <is>
          <t>6</t>
        </is>
      </c>
      <c r="D593" s="99" t="n">
        <v>6</v>
      </c>
      <c r="E593" s="99" t="inlineStr">
        <is>
          <t>TU-B5</t>
        </is>
      </c>
      <c r="F593" s="99" t="inlineStr">
        <is>
          <t>TU-B5/S3</t>
        </is>
      </c>
      <c r="G593" s="99" t="n">
        <v>6</v>
      </c>
      <c r="H593" s="99" t="inlineStr">
        <is>
          <t>TR-B1</t>
        </is>
      </c>
      <c r="I593" s="99" t="n">
        <v>11</v>
      </c>
      <c r="J593" s="99" t="inlineStr">
        <is>
          <t>Ống 2 Cam / Xám</t>
        </is>
      </c>
      <c r="K593" s="99" t="inlineStr">
        <is>
          <t>S4-11</t>
        </is>
      </c>
      <c r="L593" s="99" t="inlineStr">
        <is>
          <t>B-10</t>
        </is>
      </c>
      <c r="M593" s="99" t="inlineStr">
        <is>
          <t>PON-11</t>
        </is>
      </c>
      <c r="N593" s="99" t="inlineStr">
        <is>
          <t>Chưa lắp</t>
        </is>
      </c>
      <c r="O593" s="149" t="n"/>
      <c r="P593" s="150" t="n"/>
      <c r="Q593" s="13">
        <f>M593&amp;" &gt; P96#"&amp;U593&amp;" &gt; "&amp;K593&amp;" &gt; P96#"&amp;L593&amp;" &gt; "&amp;R593&amp;" "&amp;S593&amp;" "&amp;T593&amp;" &gt; "&amp;H593&amp;"#"&amp;I593&amp;" &gt; "&amp;F593&amp;" p"&amp;G593</f>
        <v/>
      </c>
      <c r="R593" s="9" t="inlineStr">
        <is>
          <t>ODF-02</t>
        </is>
      </c>
      <c r="S593" s="9" t="inlineStr">
        <is>
          <t>Phải</t>
        </is>
      </c>
      <c r="T593" s="9" t="inlineStr">
        <is>
          <t>H2-C5</t>
        </is>
      </c>
      <c r="U593" s="9" t="inlineStr">
        <is>
          <t>B-39</t>
        </is>
      </c>
    </row>
    <row r="594">
      <c r="A594" s="149" t="inlineStr">
        <is>
          <t>B-6-07</t>
        </is>
      </c>
      <c r="B594" s="99" t="inlineStr">
        <is>
          <t>B</t>
        </is>
      </c>
      <c r="C594" s="99" t="inlineStr">
        <is>
          <t>6</t>
        </is>
      </c>
      <c r="D594" s="99" t="n">
        <v>7</v>
      </c>
      <c r="E594" s="99" t="inlineStr">
        <is>
          <t>TU-B5</t>
        </is>
      </c>
      <c r="F594" s="99" t="inlineStr">
        <is>
          <t>TU-B5/S3</t>
        </is>
      </c>
      <c r="G594" s="99" t="n">
        <v>7</v>
      </c>
      <c r="H594" s="99" t="inlineStr">
        <is>
          <t>TR-B1</t>
        </is>
      </c>
      <c r="I594" s="99" t="n">
        <v>11</v>
      </c>
      <c r="J594" s="99" t="inlineStr">
        <is>
          <t>Ống 2 Cam / Xám</t>
        </is>
      </c>
      <c r="K594" s="99" t="inlineStr">
        <is>
          <t>S4-11</t>
        </is>
      </c>
      <c r="L594" s="99" t="inlineStr">
        <is>
          <t>B-10</t>
        </is>
      </c>
      <c r="M594" s="99" t="inlineStr">
        <is>
          <t>PON-11</t>
        </is>
      </c>
      <c r="N594" s="99" t="inlineStr">
        <is>
          <t>Chưa lắp</t>
        </is>
      </c>
      <c r="O594" s="149" t="n"/>
      <c r="P594" s="150" t="n"/>
      <c r="Q594" s="13">
        <f>M594&amp;" &gt; P96#"&amp;U594&amp;" &gt; "&amp;K594&amp;" &gt; P96#"&amp;L594&amp;" &gt; "&amp;R594&amp;" "&amp;S594&amp;" "&amp;T594&amp;" &gt; "&amp;H594&amp;"#"&amp;I594&amp;" &gt; "&amp;F594&amp;" p"&amp;G594</f>
        <v/>
      </c>
      <c r="R594" s="9" t="inlineStr">
        <is>
          <t>ODF-02</t>
        </is>
      </c>
      <c r="S594" s="9" t="inlineStr">
        <is>
          <t>Phải</t>
        </is>
      </c>
      <c r="T594" s="9" t="inlineStr">
        <is>
          <t>H2-C5</t>
        </is>
      </c>
      <c r="U594" s="9" t="inlineStr">
        <is>
          <t>B-39</t>
        </is>
      </c>
    </row>
    <row r="595">
      <c r="A595" s="149" t="inlineStr">
        <is>
          <t>B-6-08</t>
        </is>
      </c>
      <c r="B595" s="99" t="inlineStr">
        <is>
          <t>B</t>
        </is>
      </c>
      <c r="C595" s="99" t="inlineStr">
        <is>
          <t>6</t>
        </is>
      </c>
      <c r="D595" s="99" t="n">
        <v>8</v>
      </c>
      <c r="E595" s="99" t="inlineStr">
        <is>
          <t>TU-B5</t>
        </is>
      </c>
      <c r="F595" s="99" t="inlineStr">
        <is>
          <t>TU-B5/S3</t>
        </is>
      </c>
      <c r="G595" s="99" t="n">
        <v>8</v>
      </c>
      <c r="H595" s="99" t="inlineStr">
        <is>
          <t>TR-B1</t>
        </is>
      </c>
      <c r="I595" s="99" t="n">
        <v>11</v>
      </c>
      <c r="J595" s="99" t="inlineStr">
        <is>
          <t>Ống 2 Cam / Xám</t>
        </is>
      </c>
      <c r="K595" s="99" t="inlineStr">
        <is>
          <t>S4-11</t>
        </is>
      </c>
      <c r="L595" s="99" t="inlineStr">
        <is>
          <t>B-10</t>
        </is>
      </c>
      <c r="M595" s="99" t="inlineStr">
        <is>
          <t>PON-11</t>
        </is>
      </c>
      <c r="N595" s="99" t="inlineStr">
        <is>
          <t>Chưa lắp</t>
        </is>
      </c>
      <c r="O595" s="149" t="n"/>
      <c r="P595" s="150" t="n"/>
      <c r="Q595" s="13">
        <f>M595&amp;" &gt; P96#"&amp;U595&amp;" &gt; "&amp;K595&amp;" &gt; P96#"&amp;L595&amp;" &gt; "&amp;R595&amp;" "&amp;S595&amp;" "&amp;T595&amp;" &gt; "&amp;H595&amp;"#"&amp;I595&amp;" &gt; "&amp;F595&amp;" p"&amp;G595</f>
        <v/>
      </c>
      <c r="R595" s="9" t="inlineStr">
        <is>
          <t>ODF-02</t>
        </is>
      </c>
      <c r="S595" s="9" t="inlineStr">
        <is>
          <t>Phải</t>
        </is>
      </c>
      <c r="T595" s="9" t="inlineStr">
        <is>
          <t>H2-C5</t>
        </is>
      </c>
      <c r="U595" s="9" t="inlineStr">
        <is>
          <t>B-39</t>
        </is>
      </c>
    </row>
    <row r="596">
      <c r="A596" s="149" t="inlineStr">
        <is>
          <t>B-6-09</t>
        </is>
      </c>
      <c r="B596" s="99" t="inlineStr">
        <is>
          <t>B</t>
        </is>
      </c>
      <c r="C596" s="99" t="inlineStr">
        <is>
          <t>6</t>
        </is>
      </c>
      <c r="D596" s="99" t="n">
        <v>9</v>
      </c>
      <c r="E596" s="99" t="inlineStr">
        <is>
          <t>TU-B5</t>
        </is>
      </c>
      <c r="F596" s="99" t="inlineStr">
        <is>
          <t>TU-B5/S3</t>
        </is>
      </c>
      <c r="G596" s="99" t="n">
        <v>9</v>
      </c>
      <c r="H596" s="99" t="inlineStr">
        <is>
          <t>TR-B1</t>
        </is>
      </c>
      <c r="I596" s="99" t="n">
        <v>11</v>
      </c>
      <c r="J596" s="99" t="inlineStr">
        <is>
          <t>Ống 2 Cam / Xám</t>
        </is>
      </c>
      <c r="K596" s="99" t="inlineStr">
        <is>
          <t>S4-11</t>
        </is>
      </c>
      <c r="L596" s="99" t="inlineStr">
        <is>
          <t>B-10</t>
        </is>
      </c>
      <c r="M596" s="99" t="inlineStr">
        <is>
          <t>PON-11</t>
        </is>
      </c>
      <c r="N596" s="99" t="inlineStr">
        <is>
          <t>Chưa lắp</t>
        </is>
      </c>
      <c r="O596" s="149" t="n"/>
      <c r="P596" s="150" t="n"/>
      <c r="Q596" s="13">
        <f>M596&amp;" &gt; P96#"&amp;U596&amp;" &gt; "&amp;K596&amp;" &gt; P96#"&amp;L596&amp;" &gt; "&amp;R596&amp;" "&amp;S596&amp;" "&amp;T596&amp;" &gt; "&amp;H596&amp;"#"&amp;I596&amp;" &gt; "&amp;F596&amp;" p"&amp;G596</f>
        <v/>
      </c>
      <c r="R596" s="9" t="inlineStr">
        <is>
          <t>ODF-02</t>
        </is>
      </c>
      <c r="S596" s="9" t="inlineStr">
        <is>
          <t>Phải</t>
        </is>
      </c>
      <c r="T596" s="9" t="inlineStr">
        <is>
          <t>H2-C5</t>
        </is>
      </c>
      <c r="U596" s="9" t="inlineStr">
        <is>
          <t>B-39</t>
        </is>
      </c>
    </row>
    <row r="597">
      <c r="A597" s="149" t="inlineStr">
        <is>
          <t>B-6-10</t>
        </is>
      </c>
      <c r="B597" s="99" t="inlineStr">
        <is>
          <t>B</t>
        </is>
      </c>
      <c r="C597" s="99" t="inlineStr">
        <is>
          <t>6</t>
        </is>
      </c>
      <c r="D597" s="99" t="n">
        <v>10</v>
      </c>
      <c r="E597" s="99" t="inlineStr">
        <is>
          <t>TU-B5</t>
        </is>
      </c>
      <c r="F597" s="99" t="inlineStr">
        <is>
          <t>TU-B5/S3</t>
        </is>
      </c>
      <c r="G597" s="99" t="n">
        <v>10</v>
      </c>
      <c r="H597" s="99" t="inlineStr">
        <is>
          <t>TR-B1</t>
        </is>
      </c>
      <c r="I597" s="99" t="n">
        <v>11</v>
      </c>
      <c r="J597" s="99" t="inlineStr">
        <is>
          <t>Ống 2 Cam / Xám</t>
        </is>
      </c>
      <c r="K597" s="99" t="inlineStr">
        <is>
          <t>S4-11</t>
        </is>
      </c>
      <c r="L597" s="99" t="inlineStr">
        <is>
          <t>B-10</t>
        </is>
      </c>
      <c r="M597" s="99" t="inlineStr">
        <is>
          <t>PON-11</t>
        </is>
      </c>
      <c r="N597" s="99" t="inlineStr">
        <is>
          <t>Chưa lắp</t>
        </is>
      </c>
      <c r="O597" s="149" t="n"/>
      <c r="P597" s="150" t="n"/>
      <c r="Q597" s="13">
        <f>M597&amp;" &gt; P96#"&amp;U597&amp;" &gt; "&amp;K597&amp;" &gt; P96#"&amp;L597&amp;" &gt; "&amp;R597&amp;" "&amp;S597&amp;" "&amp;T597&amp;" &gt; "&amp;H597&amp;"#"&amp;I597&amp;" &gt; "&amp;F597&amp;" p"&amp;G597</f>
        <v/>
      </c>
      <c r="R597" s="9" t="inlineStr">
        <is>
          <t>ODF-02</t>
        </is>
      </c>
      <c r="S597" s="9" t="inlineStr">
        <is>
          <t>Phải</t>
        </is>
      </c>
      <c r="T597" s="9" t="inlineStr">
        <is>
          <t>H2-C5</t>
        </is>
      </c>
      <c r="U597" s="9" t="inlineStr">
        <is>
          <t>B-39</t>
        </is>
      </c>
    </row>
    <row r="598">
      <c r="A598" s="149" t="inlineStr">
        <is>
          <t>B-6-11</t>
        </is>
      </c>
      <c r="B598" s="99" t="inlineStr">
        <is>
          <t>B</t>
        </is>
      </c>
      <c r="C598" s="99" t="inlineStr">
        <is>
          <t>6</t>
        </is>
      </c>
      <c r="D598" s="99" t="n">
        <v>11</v>
      </c>
      <c r="E598" s="99" t="inlineStr">
        <is>
          <t>TU-B5</t>
        </is>
      </c>
      <c r="F598" s="99" t="inlineStr">
        <is>
          <t>TU-B5/S3</t>
        </is>
      </c>
      <c r="G598" s="99" t="n">
        <v>11</v>
      </c>
      <c r="H598" s="99" t="inlineStr">
        <is>
          <t>TR-B1</t>
        </is>
      </c>
      <c r="I598" s="99" t="n">
        <v>11</v>
      </c>
      <c r="J598" s="99" t="inlineStr">
        <is>
          <t>Ống 2 Cam / Xám</t>
        </is>
      </c>
      <c r="K598" s="99" t="inlineStr">
        <is>
          <t>S4-11</t>
        </is>
      </c>
      <c r="L598" s="99" t="inlineStr">
        <is>
          <t>B-10</t>
        </is>
      </c>
      <c r="M598" s="99" t="inlineStr">
        <is>
          <t>PON-11</t>
        </is>
      </c>
      <c r="N598" s="99" t="inlineStr">
        <is>
          <t>Chưa lắp</t>
        </is>
      </c>
      <c r="O598" s="149" t="n"/>
      <c r="P598" s="150" t="n"/>
      <c r="Q598" s="13">
        <f>M598&amp;" &gt; P96#"&amp;U598&amp;" &gt; "&amp;K598&amp;" &gt; P96#"&amp;L598&amp;" &gt; "&amp;R598&amp;" "&amp;S598&amp;" "&amp;T598&amp;" &gt; "&amp;H598&amp;"#"&amp;I598&amp;" &gt; "&amp;F598&amp;" p"&amp;G598</f>
        <v/>
      </c>
      <c r="R598" s="9" t="inlineStr">
        <is>
          <t>ODF-02</t>
        </is>
      </c>
      <c r="S598" s="9" t="inlineStr">
        <is>
          <t>Phải</t>
        </is>
      </c>
      <c r="T598" s="9" t="inlineStr">
        <is>
          <t>H2-C5</t>
        </is>
      </c>
      <c r="U598" s="9" t="inlineStr">
        <is>
          <t>B-39</t>
        </is>
      </c>
    </row>
    <row r="599">
      <c r="A599" s="149" t="inlineStr">
        <is>
          <t>B-6-12</t>
        </is>
      </c>
      <c r="B599" s="99" t="inlineStr">
        <is>
          <t>B</t>
        </is>
      </c>
      <c r="C599" s="99" t="inlineStr">
        <is>
          <t>6</t>
        </is>
      </c>
      <c r="D599" s="99" t="n">
        <v>12</v>
      </c>
      <c r="E599" s="99" t="inlineStr">
        <is>
          <t>TU-B5</t>
        </is>
      </c>
      <c r="F599" s="99" t="inlineStr">
        <is>
          <t>TU-B5/S3</t>
        </is>
      </c>
      <c r="G599" s="99" t="n">
        <v>12</v>
      </c>
      <c r="H599" s="99" t="inlineStr">
        <is>
          <t>TR-B1</t>
        </is>
      </c>
      <c r="I599" s="99" t="n">
        <v>11</v>
      </c>
      <c r="J599" s="99" t="inlineStr">
        <is>
          <t>Ống 2 Cam / Xám</t>
        </is>
      </c>
      <c r="K599" s="99" t="inlineStr">
        <is>
          <t>S4-11</t>
        </is>
      </c>
      <c r="L599" s="99" t="inlineStr">
        <is>
          <t>B-10</t>
        </is>
      </c>
      <c r="M599" s="99" t="inlineStr">
        <is>
          <t>PON-11</t>
        </is>
      </c>
      <c r="N599" s="99" t="inlineStr">
        <is>
          <t>Chưa lắp</t>
        </is>
      </c>
      <c r="O599" s="149" t="n"/>
      <c r="P599" s="150" t="n"/>
      <c r="Q599" s="13">
        <f>M599&amp;" &gt; P96#"&amp;U599&amp;" &gt; "&amp;K599&amp;" &gt; P96#"&amp;L599&amp;" &gt; "&amp;R599&amp;" "&amp;S599&amp;" "&amp;T599&amp;" &gt; "&amp;H599&amp;"#"&amp;I599&amp;" &gt; "&amp;F599&amp;" p"&amp;G599</f>
        <v/>
      </c>
      <c r="R599" s="9" t="inlineStr">
        <is>
          <t>ODF-02</t>
        </is>
      </c>
      <c r="S599" s="9" t="inlineStr">
        <is>
          <t>Phải</t>
        </is>
      </c>
      <c r="T599" s="9" t="inlineStr">
        <is>
          <t>H2-C5</t>
        </is>
      </c>
      <c r="U599" s="9" t="inlineStr">
        <is>
          <t>B-39</t>
        </is>
      </c>
    </row>
    <row r="600">
      <c r="A600" s="149" t="inlineStr">
        <is>
          <t>B-6-13</t>
        </is>
      </c>
      <c r="B600" s="99" t="inlineStr">
        <is>
          <t>B</t>
        </is>
      </c>
      <c r="C600" s="99" t="inlineStr">
        <is>
          <t>6</t>
        </is>
      </c>
      <c r="D600" s="99" t="n">
        <v>13</v>
      </c>
      <c r="E600" s="99" t="inlineStr">
        <is>
          <t>TU-B5</t>
        </is>
      </c>
      <c r="F600" s="99" t="inlineStr">
        <is>
          <t>TU-B5/S3</t>
        </is>
      </c>
      <c r="G600" s="99" t="n">
        <v>13</v>
      </c>
      <c r="H600" s="99" t="inlineStr">
        <is>
          <t>TR-B1</t>
        </is>
      </c>
      <c r="I600" s="99" t="n">
        <v>11</v>
      </c>
      <c r="J600" s="99" t="inlineStr">
        <is>
          <t>Ống 2 Cam / Xám</t>
        </is>
      </c>
      <c r="K600" s="99" t="inlineStr">
        <is>
          <t>S4-11</t>
        </is>
      </c>
      <c r="L600" s="99" t="inlineStr">
        <is>
          <t>B-10</t>
        </is>
      </c>
      <c r="M600" s="99" t="inlineStr">
        <is>
          <t>PON-11</t>
        </is>
      </c>
      <c r="N600" s="99" t="inlineStr">
        <is>
          <t>Chưa lắp</t>
        </is>
      </c>
      <c r="O600" s="149" t="n"/>
      <c r="P600" s="150" t="n"/>
      <c r="Q600" s="13">
        <f>M600&amp;" &gt; P96#"&amp;U600&amp;" &gt; "&amp;K600&amp;" &gt; P96#"&amp;L600&amp;" &gt; "&amp;R600&amp;" "&amp;S600&amp;" "&amp;T600&amp;" &gt; "&amp;H600&amp;"#"&amp;I600&amp;" &gt; "&amp;F600&amp;" p"&amp;G600</f>
        <v/>
      </c>
      <c r="R600" s="9" t="inlineStr">
        <is>
          <t>ODF-02</t>
        </is>
      </c>
      <c r="S600" s="9" t="inlineStr">
        <is>
          <t>Phải</t>
        </is>
      </c>
      <c r="T600" s="9" t="inlineStr">
        <is>
          <t>H2-C5</t>
        </is>
      </c>
      <c r="U600" s="9" t="inlineStr">
        <is>
          <t>B-39</t>
        </is>
      </c>
    </row>
    <row r="601">
      <c r="A601" s="149" t="inlineStr">
        <is>
          <t>B-6-14</t>
        </is>
      </c>
      <c r="B601" s="99" t="inlineStr">
        <is>
          <t>B</t>
        </is>
      </c>
      <c r="C601" s="99" t="inlineStr">
        <is>
          <t>6</t>
        </is>
      </c>
      <c r="D601" s="99" t="n">
        <v>14</v>
      </c>
      <c r="E601" s="99" t="inlineStr">
        <is>
          <t>TU-B5</t>
        </is>
      </c>
      <c r="F601" s="99" t="inlineStr">
        <is>
          <t>TU-B5/S3</t>
        </is>
      </c>
      <c r="G601" s="99" t="n">
        <v>14</v>
      </c>
      <c r="H601" s="99" t="inlineStr">
        <is>
          <t>TR-B1</t>
        </is>
      </c>
      <c r="I601" s="99" t="n">
        <v>11</v>
      </c>
      <c r="J601" s="99" t="inlineStr">
        <is>
          <t>Ống 2 Cam / Xám</t>
        </is>
      </c>
      <c r="K601" s="99" t="inlineStr">
        <is>
          <t>S4-11</t>
        </is>
      </c>
      <c r="L601" s="99" t="inlineStr">
        <is>
          <t>B-10</t>
        </is>
      </c>
      <c r="M601" s="99" t="inlineStr">
        <is>
          <t>PON-11</t>
        </is>
      </c>
      <c r="N601" s="99" t="inlineStr">
        <is>
          <t>Chưa lắp</t>
        </is>
      </c>
      <c r="O601" s="149" t="n"/>
      <c r="P601" s="150" t="n"/>
      <c r="Q601" s="13">
        <f>M601&amp;" &gt; P96#"&amp;U601&amp;" &gt; "&amp;K601&amp;" &gt; P96#"&amp;L601&amp;" &gt; "&amp;R601&amp;" "&amp;S601&amp;" "&amp;T601&amp;" &gt; "&amp;H601&amp;"#"&amp;I601&amp;" &gt; "&amp;F601&amp;" p"&amp;G601</f>
        <v/>
      </c>
      <c r="R601" s="9" t="inlineStr">
        <is>
          <t>ODF-02</t>
        </is>
      </c>
      <c r="S601" s="9" t="inlineStr">
        <is>
          <t>Phải</t>
        </is>
      </c>
      <c r="T601" s="9" t="inlineStr">
        <is>
          <t>H2-C5</t>
        </is>
      </c>
      <c r="U601" s="9" t="inlineStr">
        <is>
          <t>B-39</t>
        </is>
      </c>
    </row>
    <row r="602">
      <c r="A602" s="149" t="inlineStr">
        <is>
          <t>B-5-01</t>
        </is>
      </c>
      <c r="B602" s="99" t="inlineStr">
        <is>
          <t>B</t>
        </is>
      </c>
      <c r="C602" s="99" t="inlineStr">
        <is>
          <t>5</t>
        </is>
      </c>
      <c r="D602" s="99" t="n">
        <v>1</v>
      </c>
      <c r="E602" s="99" t="inlineStr">
        <is>
          <t>TU-B5</t>
        </is>
      </c>
      <c r="F602" s="99" t="inlineStr">
        <is>
          <t>TU-B5/S2</t>
        </is>
      </c>
      <c r="G602" s="99" t="n">
        <v>1</v>
      </c>
      <c r="H602" s="99" t="inlineStr">
        <is>
          <t>TR-B1</t>
        </is>
      </c>
      <c r="I602" s="99" t="n">
        <v>10</v>
      </c>
      <c r="J602" s="99" t="inlineStr">
        <is>
          <t>Ống 2 Cam / Nâu</t>
        </is>
      </c>
      <c r="K602" s="99" t="inlineStr">
        <is>
          <t>S4-11</t>
        </is>
      </c>
      <c r="L602" s="99" t="inlineStr">
        <is>
          <t>B-9</t>
        </is>
      </c>
      <c r="M602" s="99" t="inlineStr">
        <is>
          <t>PON-11</t>
        </is>
      </c>
      <c r="N602" s="99" t="inlineStr">
        <is>
          <t>Chưa lắp</t>
        </is>
      </c>
      <c r="O602" s="149" t="n"/>
      <c r="P602" s="150" t="n"/>
      <c r="Q602" s="13">
        <f>M602&amp;" &gt; P96#"&amp;U602&amp;" &gt; "&amp;K602&amp;" &gt; P96#"&amp;L602&amp;" &gt; "&amp;R602&amp;" "&amp;S602&amp;" "&amp;T602&amp;" &gt; "&amp;H602&amp;"#"&amp;I602&amp;" &gt; "&amp;F602&amp;" p"&amp;G602</f>
        <v/>
      </c>
      <c r="R602" s="9" t="inlineStr">
        <is>
          <t>ODF-02</t>
        </is>
      </c>
      <c r="S602" s="9" t="inlineStr">
        <is>
          <t>Phải</t>
        </is>
      </c>
      <c r="T602" s="9" t="inlineStr">
        <is>
          <t>H2-C4</t>
        </is>
      </c>
      <c r="U602" s="9" t="inlineStr">
        <is>
          <t>B-39</t>
        </is>
      </c>
    </row>
    <row r="603">
      <c r="A603" s="149" t="inlineStr">
        <is>
          <t>B-5-02</t>
        </is>
      </c>
      <c r="B603" s="99" t="inlineStr">
        <is>
          <t>B</t>
        </is>
      </c>
      <c r="C603" s="99" t="inlineStr">
        <is>
          <t>5</t>
        </is>
      </c>
      <c r="D603" s="99" t="n">
        <v>2</v>
      </c>
      <c r="E603" s="99" t="inlineStr">
        <is>
          <t>TU-B5</t>
        </is>
      </c>
      <c r="F603" s="99" t="inlineStr">
        <is>
          <t>TU-B5/S2</t>
        </is>
      </c>
      <c r="G603" s="99" t="n">
        <v>2</v>
      </c>
      <c r="H603" s="99" t="inlineStr">
        <is>
          <t>TR-B1</t>
        </is>
      </c>
      <c r="I603" s="99" t="n">
        <v>10</v>
      </c>
      <c r="J603" s="99" t="inlineStr">
        <is>
          <t>Ống 2 Cam / Nâu</t>
        </is>
      </c>
      <c r="K603" s="99" t="inlineStr">
        <is>
          <t>S4-11</t>
        </is>
      </c>
      <c r="L603" s="99" t="inlineStr">
        <is>
          <t>B-9</t>
        </is>
      </c>
      <c r="M603" s="99" t="inlineStr">
        <is>
          <t>PON-11</t>
        </is>
      </c>
      <c r="N603" s="99" t="inlineStr">
        <is>
          <t>Chưa lắp</t>
        </is>
      </c>
      <c r="O603" s="149" t="n"/>
      <c r="P603" s="150" t="n"/>
      <c r="Q603" s="13">
        <f>M603&amp;" &gt; P96#"&amp;U603&amp;" &gt; "&amp;K603&amp;" &gt; P96#"&amp;L603&amp;" &gt; "&amp;R603&amp;" "&amp;S603&amp;" "&amp;T603&amp;" &gt; "&amp;H603&amp;"#"&amp;I603&amp;" &gt; "&amp;F603&amp;" p"&amp;G603</f>
        <v/>
      </c>
      <c r="R603" s="9" t="inlineStr">
        <is>
          <t>ODF-02</t>
        </is>
      </c>
      <c r="S603" s="9" t="inlineStr">
        <is>
          <t>Phải</t>
        </is>
      </c>
      <c r="T603" s="9" t="inlineStr">
        <is>
          <t>H2-C4</t>
        </is>
      </c>
      <c r="U603" s="9" t="inlineStr">
        <is>
          <t>B-39</t>
        </is>
      </c>
    </row>
    <row r="604">
      <c r="A604" s="151" t="inlineStr">
        <is>
          <t>B-5-03</t>
        </is>
      </c>
      <c r="B604" s="102" t="inlineStr">
        <is>
          <t>B</t>
        </is>
      </c>
      <c r="C604" s="102" t="inlineStr">
        <is>
          <t>5</t>
        </is>
      </c>
      <c r="D604" s="102" t="n">
        <v>3</v>
      </c>
      <c r="E604" s="102" t="inlineStr">
        <is>
          <t>TU-B5</t>
        </is>
      </c>
      <c r="F604" s="102" t="inlineStr">
        <is>
          <t>TU-B5/S2</t>
        </is>
      </c>
      <c r="G604" s="102" t="n">
        <v>3</v>
      </c>
      <c r="H604" s="102" t="inlineStr">
        <is>
          <t>TR-B1</t>
        </is>
      </c>
      <c r="I604" s="102" t="n">
        <v>10</v>
      </c>
      <c r="J604" s="102" t="inlineStr">
        <is>
          <t>Ống 2 Cam / Nâu</t>
        </is>
      </c>
      <c r="K604" s="102" t="inlineStr">
        <is>
          <t>S4-11</t>
        </is>
      </c>
      <c r="L604" s="102" t="inlineStr">
        <is>
          <t>B-9</t>
        </is>
      </c>
      <c r="M604" s="102" t="inlineStr">
        <is>
          <t>PON-11</t>
        </is>
      </c>
      <c r="N604" s="102" t="inlineStr">
        <is>
          <t>Chưa lắp</t>
        </is>
      </c>
      <c r="O604" s="151" t="n"/>
      <c r="P604" s="152" t="n"/>
      <c r="Q604" s="13">
        <f>M604&amp;" &gt; P96#"&amp;U604&amp;" &gt; "&amp;K604&amp;" &gt; P96#"&amp;L604&amp;" &gt; "&amp;R604&amp;" "&amp;S604&amp;" "&amp;T604&amp;" &gt; "&amp;H604&amp;"#"&amp;I604&amp;" &gt; "&amp;F604&amp;" p"&amp;G604</f>
        <v/>
      </c>
      <c r="R604" s="9" t="inlineStr">
        <is>
          <t>ODF-02</t>
        </is>
      </c>
      <c r="S604" s="9" t="inlineStr">
        <is>
          <t>Phải</t>
        </is>
      </c>
      <c r="T604" s="9" t="inlineStr">
        <is>
          <t>H2-C4</t>
        </is>
      </c>
      <c r="U604" s="9" t="inlineStr">
        <is>
          <t>B-39</t>
        </is>
      </c>
    </row>
    <row r="605">
      <c r="A605" s="151" t="inlineStr">
        <is>
          <t>B-5-04</t>
        </is>
      </c>
      <c r="B605" s="102" t="inlineStr">
        <is>
          <t>B</t>
        </is>
      </c>
      <c r="C605" s="102" t="inlineStr">
        <is>
          <t>5</t>
        </is>
      </c>
      <c r="D605" s="102" t="n">
        <v>4</v>
      </c>
      <c r="E605" s="102" t="inlineStr">
        <is>
          <t>TU-B5</t>
        </is>
      </c>
      <c r="F605" s="102" t="inlineStr">
        <is>
          <t>TU-B5/S2</t>
        </is>
      </c>
      <c r="G605" s="102" t="n">
        <v>4</v>
      </c>
      <c r="H605" s="102" t="inlineStr">
        <is>
          <t>TR-B1</t>
        </is>
      </c>
      <c r="I605" s="102" t="n">
        <v>10</v>
      </c>
      <c r="J605" s="102" t="inlineStr">
        <is>
          <t>Ống 2 Cam / Nâu</t>
        </is>
      </c>
      <c r="K605" s="102" t="inlineStr">
        <is>
          <t>S4-11</t>
        </is>
      </c>
      <c r="L605" s="102" t="inlineStr">
        <is>
          <t>B-9</t>
        </is>
      </c>
      <c r="M605" s="102" t="inlineStr">
        <is>
          <t>PON-11</t>
        </is>
      </c>
      <c r="N605" s="102" t="inlineStr">
        <is>
          <t>Chưa lắp</t>
        </is>
      </c>
      <c r="O605" s="151" t="n"/>
      <c r="P605" s="152" t="n"/>
      <c r="Q605" s="13">
        <f>M605&amp;" &gt; P96#"&amp;U605&amp;" &gt; "&amp;K605&amp;" &gt; P96#"&amp;L605&amp;" &gt; "&amp;R605&amp;" "&amp;S605&amp;" "&amp;T605&amp;" &gt; "&amp;H605&amp;"#"&amp;I605&amp;" &gt; "&amp;F605&amp;" p"&amp;G605</f>
        <v/>
      </c>
      <c r="R605" s="9" t="inlineStr">
        <is>
          <t>ODF-02</t>
        </is>
      </c>
      <c r="S605" s="9" t="inlineStr">
        <is>
          <t>Phải</t>
        </is>
      </c>
      <c r="T605" s="9" t="inlineStr">
        <is>
          <t>H2-C4</t>
        </is>
      </c>
      <c r="U605" s="9" t="inlineStr">
        <is>
          <t>B-39</t>
        </is>
      </c>
    </row>
    <row r="606">
      <c r="A606" s="151" t="inlineStr">
        <is>
          <t>B-5-05</t>
        </is>
      </c>
      <c r="B606" s="102" t="inlineStr">
        <is>
          <t>B</t>
        </is>
      </c>
      <c r="C606" s="102" t="inlineStr">
        <is>
          <t>5</t>
        </is>
      </c>
      <c r="D606" s="102" t="n">
        <v>5</v>
      </c>
      <c r="E606" s="102" t="inlineStr">
        <is>
          <t>TU-B5</t>
        </is>
      </c>
      <c r="F606" s="102" t="inlineStr">
        <is>
          <t>TU-B5/S2</t>
        </is>
      </c>
      <c r="G606" s="102" t="n">
        <v>5</v>
      </c>
      <c r="H606" s="102" t="inlineStr">
        <is>
          <t>TR-B1</t>
        </is>
      </c>
      <c r="I606" s="102" t="n">
        <v>10</v>
      </c>
      <c r="J606" s="102" t="inlineStr">
        <is>
          <t>Ống 2 Cam / Nâu</t>
        </is>
      </c>
      <c r="K606" s="102" t="inlineStr">
        <is>
          <t>S4-11</t>
        </is>
      </c>
      <c r="L606" s="102" t="inlineStr">
        <is>
          <t>B-9</t>
        </is>
      </c>
      <c r="M606" s="102" t="inlineStr">
        <is>
          <t>PON-11</t>
        </is>
      </c>
      <c r="N606" s="102" t="inlineStr">
        <is>
          <t>Chưa lắp</t>
        </is>
      </c>
      <c r="O606" s="151" t="n"/>
      <c r="P606" s="152" t="n"/>
      <c r="Q606" s="13">
        <f>M606&amp;" &gt; P96#"&amp;U606&amp;" &gt; "&amp;K606&amp;" &gt; P96#"&amp;L606&amp;" &gt; "&amp;R606&amp;" "&amp;S606&amp;" "&amp;T606&amp;" &gt; "&amp;H606&amp;"#"&amp;I606&amp;" &gt; "&amp;F606&amp;" p"&amp;G606</f>
        <v/>
      </c>
      <c r="R606" s="9" t="inlineStr">
        <is>
          <t>ODF-02</t>
        </is>
      </c>
      <c r="S606" s="9" t="inlineStr">
        <is>
          <t>Phải</t>
        </is>
      </c>
      <c r="T606" s="9" t="inlineStr">
        <is>
          <t>H2-C4</t>
        </is>
      </c>
      <c r="U606" s="9" t="inlineStr">
        <is>
          <t>B-39</t>
        </is>
      </c>
    </row>
    <row r="607">
      <c r="A607" s="151" t="inlineStr">
        <is>
          <t>B-5-06</t>
        </is>
      </c>
      <c r="B607" s="102" t="inlineStr">
        <is>
          <t>B</t>
        </is>
      </c>
      <c r="C607" s="102" t="inlineStr">
        <is>
          <t>5</t>
        </is>
      </c>
      <c r="D607" s="102" t="n">
        <v>6</v>
      </c>
      <c r="E607" s="102" t="inlineStr">
        <is>
          <t>TU-B5</t>
        </is>
      </c>
      <c r="F607" s="102" t="inlineStr">
        <is>
          <t>TU-B5/S2</t>
        </is>
      </c>
      <c r="G607" s="102" t="n">
        <v>6</v>
      </c>
      <c r="H607" s="102" t="inlineStr">
        <is>
          <t>TR-B1</t>
        </is>
      </c>
      <c r="I607" s="102" t="n">
        <v>10</v>
      </c>
      <c r="J607" s="102" t="inlineStr">
        <is>
          <t>Ống 2 Cam / Nâu</t>
        </is>
      </c>
      <c r="K607" s="102" t="inlineStr">
        <is>
          <t>S4-11</t>
        </is>
      </c>
      <c r="L607" s="102" t="inlineStr">
        <is>
          <t>B-9</t>
        </is>
      </c>
      <c r="M607" s="102" t="inlineStr">
        <is>
          <t>PON-11</t>
        </is>
      </c>
      <c r="N607" s="102" t="inlineStr">
        <is>
          <t>Chưa lắp</t>
        </is>
      </c>
      <c r="O607" s="151" t="n"/>
      <c r="P607" s="152" t="n"/>
      <c r="Q607" s="13">
        <f>M607&amp;" &gt; P96#"&amp;U607&amp;" &gt; "&amp;K607&amp;" &gt; P96#"&amp;L607&amp;" &gt; "&amp;R607&amp;" "&amp;S607&amp;" "&amp;T607&amp;" &gt; "&amp;H607&amp;"#"&amp;I607&amp;" &gt; "&amp;F607&amp;" p"&amp;G607</f>
        <v/>
      </c>
      <c r="R607" s="9" t="inlineStr">
        <is>
          <t>ODF-02</t>
        </is>
      </c>
      <c r="S607" s="9" t="inlineStr">
        <is>
          <t>Phải</t>
        </is>
      </c>
      <c r="T607" s="9" t="inlineStr">
        <is>
          <t>H2-C4</t>
        </is>
      </c>
      <c r="U607" s="9" t="inlineStr">
        <is>
          <t>B-39</t>
        </is>
      </c>
    </row>
    <row r="608">
      <c r="A608" s="151" t="inlineStr">
        <is>
          <t>B-5-07</t>
        </is>
      </c>
      <c r="B608" s="102" t="inlineStr">
        <is>
          <t>B</t>
        </is>
      </c>
      <c r="C608" s="102" t="inlineStr">
        <is>
          <t>5</t>
        </is>
      </c>
      <c r="D608" s="102" t="n">
        <v>7</v>
      </c>
      <c r="E608" s="102" t="inlineStr">
        <is>
          <t>TU-B5</t>
        </is>
      </c>
      <c r="F608" s="102" t="inlineStr">
        <is>
          <t>TU-B5/S2</t>
        </is>
      </c>
      <c r="G608" s="102" t="n">
        <v>7</v>
      </c>
      <c r="H608" s="102" t="inlineStr">
        <is>
          <t>TR-B1</t>
        </is>
      </c>
      <c r="I608" s="102" t="n">
        <v>10</v>
      </c>
      <c r="J608" s="102" t="inlineStr">
        <is>
          <t>Ống 2 Cam / Nâu</t>
        </is>
      </c>
      <c r="K608" s="102" t="inlineStr">
        <is>
          <t>S4-11</t>
        </is>
      </c>
      <c r="L608" s="102" t="inlineStr">
        <is>
          <t>B-9</t>
        </is>
      </c>
      <c r="M608" s="102" t="inlineStr">
        <is>
          <t>PON-11</t>
        </is>
      </c>
      <c r="N608" s="102" t="inlineStr">
        <is>
          <t>Chưa lắp</t>
        </is>
      </c>
      <c r="O608" s="151" t="n"/>
      <c r="P608" s="152" t="n"/>
      <c r="Q608" s="13">
        <f>M608&amp;" &gt; P96#"&amp;U608&amp;" &gt; "&amp;K608&amp;" &gt; P96#"&amp;L608&amp;" &gt; "&amp;R608&amp;" "&amp;S608&amp;" "&amp;T608&amp;" &gt; "&amp;H608&amp;"#"&amp;I608&amp;" &gt; "&amp;F608&amp;" p"&amp;G608</f>
        <v/>
      </c>
      <c r="R608" s="9" t="inlineStr">
        <is>
          <t>ODF-02</t>
        </is>
      </c>
      <c r="S608" s="9" t="inlineStr">
        <is>
          <t>Phải</t>
        </is>
      </c>
      <c r="T608" s="9" t="inlineStr">
        <is>
          <t>H2-C4</t>
        </is>
      </c>
      <c r="U608" s="9" t="inlineStr">
        <is>
          <t>B-39</t>
        </is>
      </c>
    </row>
    <row r="609">
      <c r="A609" s="151" t="inlineStr">
        <is>
          <t>B-5-08</t>
        </is>
      </c>
      <c r="B609" s="102" t="inlineStr">
        <is>
          <t>B</t>
        </is>
      </c>
      <c r="C609" s="102" t="inlineStr">
        <is>
          <t>5</t>
        </is>
      </c>
      <c r="D609" s="102" t="n">
        <v>8</v>
      </c>
      <c r="E609" s="102" t="inlineStr">
        <is>
          <t>TU-B5</t>
        </is>
      </c>
      <c r="F609" s="102" t="inlineStr">
        <is>
          <t>TU-B5/S2</t>
        </is>
      </c>
      <c r="G609" s="102" t="n">
        <v>8</v>
      </c>
      <c r="H609" s="102" t="inlineStr">
        <is>
          <t>TR-B1</t>
        </is>
      </c>
      <c r="I609" s="102" t="n">
        <v>10</v>
      </c>
      <c r="J609" s="102" t="inlineStr">
        <is>
          <t>Ống 2 Cam / Nâu</t>
        </is>
      </c>
      <c r="K609" s="102" t="inlineStr">
        <is>
          <t>S4-11</t>
        </is>
      </c>
      <c r="L609" s="102" t="inlineStr">
        <is>
          <t>B-9</t>
        </is>
      </c>
      <c r="M609" s="102" t="inlineStr">
        <is>
          <t>PON-11</t>
        </is>
      </c>
      <c r="N609" s="102" t="inlineStr">
        <is>
          <t>Chưa lắp</t>
        </is>
      </c>
      <c r="O609" s="151" t="n"/>
      <c r="P609" s="152" t="n"/>
      <c r="Q609" s="13">
        <f>M609&amp;" &gt; P96#"&amp;U609&amp;" &gt; "&amp;K609&amp;" &gt; P96#"&amp;L609&amp;" &gt; "&amp;R609&amp;" "&amp;S609&amp;" "&amp;T609&amp;" &gt; "&amp;H609&amp;"#"&amp;I609&amp;" &gt; "&amp;F609&amp;" p"&amp;G609</f>
        <v/>
      </c>
      <c r="R609" s="9" t="inlineStr">
        <is>
          <t>ODF-02</t>
        </is>
      </c>
      <c r="S609" s="9" t="inlineStr">
        <is>
          <t>Phải</t>
        </is>
      </c>
      <c r="T609" s="9" t="inlineStr">
        <is>
          <t>H2-C4</t>
        </is>
      </c>
      <c r="U609" s="9" t="inlineStr">
        <is>
          <t>B-39</t>
        </is>
      </c>
    </row>
    <row r="610">
      <c r="A610" s="151" t="inlineStr">
        <is>
          <t>B-5-09</t>
        </is>
      </c>
      <c r="B610" s="102" t="inlineStr">
        <is>
          <t>B</t>
        </is>
      </c>
      <c r="C610" s="102" t="inlineStr">
        <is>
          <t>5</t>
        </is>
      </c>
      <c r="D610" s="102" t="n">
        <v>9</v>
      </c>
      <c r="E610" s="102" t="inlineStr">
        <is>
          <t>TU-B5</t>
        </is>
      </c>
      <c r="F610" s="102" t="inlineStr">
        <is>
          <t>TU-B5/S2</t>
        </is>
      </c>
      <c r="G610" s="102" t="n">
        <v>9</v>
      </c>
      <c r="H610" s="102" t="inlineStr">
        <is>
          <t>TR-B1</t>
        </is>
      </c>
      <c r="I610" s="102" t="n">
        <v>10</v>
      </c>
      <c r="J610" s="102" t="inlineStr">
        <is>
          <t>Ống 2 Cam / Nâu</t>
        </is>
      </c>
      <c r="K610" s="102" t="inlineStr">
        <is>
          <t>S4-11</t>
        </is>
      </c>
      <c r="L610" s="102" t="inlineStr">
        <is>
          <t>B-9</t>
        </is>
      </c>
      <c r="M610" s="102" t="inlineStr">
        <is>
          <t>PON-11</t>
        </is>
      </c>
      <c r="N610" s="102" t="inlineStr">
        <is>
          <t>Chưa lắp</t>
        </is>
      </c>
      <c r="O610" s="151" t="n"/>
      <c r="P610" s="152" t="n"/>
      <c r="Q610" s="13">
        <f>M610&amp;" &gt; P96#"&amp;U610&amp;" &gt; "&amp;K610&amp;" &gt; P96#"&amp;L610&amp;" &gt; "&amp;R610&amp;" "&amp;S610&amp;" "&amp;T610&amp;" &gt; "&amp;H610&amp;"#"&amp;I610&amp;" &gt; "&amp;F610&amp;" p"&amp;G610</f>
        <v/>
      </c>
      <c r="R610" s="9" t="inlineStr">
        <is>
          <t>ODF-02</t>
        </is>
      </c>
      <c r="S610" s="9" t="inlineStr">
        <is>
          <t>Phải</t>
        </is>
      </c>
      <c r="T610" s="9" t="inlineStr">
        <is>
          <t>H2-C4</t>
        </is>
      </c>
      <c r="U610" s="9" t="inlineStr">
        <is>
          <t>B-39</t>
        </is>
      </c>
    </row>
    <row r="611">
      <c r="A611" s="151" t="inlineStr">
        <is>
          <t>B-5-10</t>
        </is>
      </c>
      <c r="B611" s="102" t="inlineStr">
        <is>
          <t>B</t>
        </is>
      </c>
      <c r="C611" s="102" t="inlineStr">
        <is>
          <t>5</t>
        </is>
      </c>
      <c r="D611" s="102" t="n">
        <v>10</v>
      </c>
      <c r="E611" s="102" t="inlineStr">
        <is>
          <t>TU-B5</t>
        </is>
      </c>
      <c r="F611" s="102" t="inlineStr">
        <is>
          <t>TU-B5/S2</t>
        </is>
      </c>
      <c r="G611" s="102" t="n">
        <v>10</v>
      </c>
      <c r="H611" s="102" t="inlineStr">
        <is>
          <t>TR-B1</t>
        </is>
      </c>
      <c r="I611" s="102" t="n">
        <v>10</v>
      </c>
      <c r="J611" s="102" t="inlineStr">
        <is>
          <t>Ống 2 Cam / Nâu</t>
        </is>
      </c>
      <c r="K611" s="102" t="inlineStr">
        <is>
          <t>S4-11</t>
        </is>
      </c>
      <c r="L611" s="102" t="inlineStr">
        <is>
          <t>B-9</t>
        </is>
      </c>
      <c r="M611" s="102" t="inlineStr">
        <is>
          <t>PON-11</t>
        </is>
      </c>
      <c r="N611" s="102" t="inlineStr">
        <is>
          <t>Chưa lắp</t>
        </is>
      </c>
      <c r="O611" s="151" t="n"/>
      <c r="P611" s="152" t="n"/>
      <c r="Q611" s="13">
        <f>M611&amp;" &gt; P96#"&amp;U611&amp;" &gt; "&amp;K611&amp;" &gt; P96#"&amp;L611&amp;" &gt; "&amp;R611&amp;" "&amp;S611&amp;" "&amp;T611&amp;" &gt; "&amp;H611&amp;"#"&amp;I611&amp;" &gt; "&amp;F611&amp;" p"&amp;G611</f>
        <v/>
      </c>
      <c r="R611" s="9" t="inlineStr">
        <is>
          <t>ODF-02</t>
        </is>
      </c>
      <c r="S611" s="9" t="inlineStr">
        <is>
          <t>Phải</t>
        </is>
      </c>
      <c r="T611" s="9" t="inlineStr">
        <is>
          <t>H2-C4</t>
        </is>
      </c>
      <c r="U611" s="9" t="inlineStr">
        <is>
          <t>B-39</t>
        </is>
      </c>
    </row>
    <row r="612">
      <c r="A612" s="151" t="inlineStr">
        <is>
          <t>B-5-11</t>
        </is>
      </c>
      <c r="B612" s="102" t="inlineStr">
        <is>
          <t>B</t>
        </is>
      </c>
      <c r="C612" s="102" t="inlineStr">
        <is>
          <t>5</t>
        </is>
      </c>
      <c r="D612" s="102" t="n">
        <v>11</v>
      </c>
      <c r="E612" s="102" t="inlineStr">
        <is>
          <t>TU-B5</t>
        </is>
      </c>
      <c r="F612" s="102" t="inlineStr">
        <is>
          <t>TU-B5/S2</t>
        </is>
      </c>
      <c r="G612" s="102" t="n">
        <v>11</v>
      </c>
      <c r="H612" s="102" t="inlineStr">
        <is>
          <t>TR-B1</t>
        </is>
      </c>
      <c r="I612" s="102" t="n">
        <v>10</v>
      </c>
      <c r="J612" s="102" t="inlineStr">
        <is>
          <t>Ống 2 Cam / Nâu</t>
        </is>
      </c>
      <c r="K612" s="102" t="inlineStr">
        <is>
          <t>S4-11</t>
        </is>
      </c>
      <c r="L612" s="102" t="inlineStr">
        <is>
          <t>B-9</t>
        </is>
      </c>
      <c r="M612" s="102" t="inlineStr">
        <is>
          <t>PON-11</t>
        </is>
      </c>
      <c r="N612" s="102" t="inlineStr">
        <is>
          <t>Chưa lắp</t>
        </is>
      </c>
      <c r="O612" s="151" t="n"/>
      <c r="P612" s="152" t="n"/>
      <c r="Q612" s="13">
        <f>M612&amp;" &gt; P96#"&amp;U612&amp;" &gt; "&amp;K612&amp;" &gt; P96#"&amp;L612&amp;" &gt; "&amp;R612&amp;" "&amp;S612&amp;" "&amp;T612&amp;" &gt; "&amp;H612&amp;"#"&amp;I612&amp;" &gt; "&amp;F612&amp;" p"&amp;G612</f>
        <v/>
      </c>
      <c r="R612" s="9" t="inlineStr">
        <is>
          <t>ODF-02</t>
        </is>
      </c>
      <c r="S612" s="9" t="inlineStr">
        <is>
          <t>Phải</t>
        </is>
      </c>
      <c r="T612" s="9" t="inlineStr">
        <is>
          <t>H2-C4</t>
        </is>
      </c>
      <c r="U612" s="9" t="inlineStr">
        <is>
          <t>B-39</t>
        </is>
      </c>
    </row>
    <row r="613">
      <c r="A613" s="151" t="inlineStr">
        <is>
          <t>B-5-12</t>
        </is>
      </c>
      <c r="B613" s="102" t="inlineStr">
        <is>
          <t>B</t>
        </is>
      </c>
      <c r="C613" s="102" t="inlineStr">
        <is>
          <t>5</t>
        </is>
      </c>
      <c r="D613" s="102" t="n">
        <v>12</v>
      </c>
      <c r="E613" s="102" t="inlineStr">
        <is>
          <t>TU-B5</t>
        </is>
      </c>
      <c r="F613" s="102" t="inlineStr">
        <is>
          <t>TU-B5/S2</t>
        </is>
      </c>
      <c r="G613" s="102" t="n">
        <v>12</v>
      </c>
      <c r="H613" s="102" t="inlineStr">
        <is>
          <t>TR-B1</t>
        </is>
      </c>
      <c r="I613" s="102" t="n">
        <v>10</v>
      </c>
      <c r="J613" s="102" t="inlineStr">
        <is>
          <t>Ống 2 Cam / Nâu</t>
        </is>
      </c>
      <c r="K613" s="102" t="inlineStr">
        <is>
          <t>S4-11</t>
        </is>
      </c>
      <c r="L613" s="102" t="inlineStr">
        <is>
          <t>B-9</t>
        </is>
      </c>
      <c r="M613" s="102" t="inlineStr">
        <is>
          <t>PON-11</t>
        </is>
      </c>
      <c r="N613" s="102" t="inlineStr">
        <is>
          <t>Chưa lắp</t>
        </is>
      </c>
      <c r="O613" s="151" t="n"/>
      <c r="P613" s="152" t="n"/>
      <c r="Q613" s="13">
        <f>M613&amp;" &gt; P96#"&amp;U613&amp;" &gt; "&amp;K613&amp;" &gt; P96#"&amp;L613&amp;" &gt; "&amp;R613&amp;" "&amp;S613&amp;" "&amp;T613&amp;" &gt; "&amp;H613&amp;"#"&amp;I613&amp;" &gt; "&amp;F613&amp;" p"&amp;G613</f>
        <v/>
      </c>
      <c r="R613" s="9" t="inlineStr">
        <is>
          <t>ODF-02</t>
        </is>
      </c>
      <c r="S613" s="9" t="inlineStr">
        <is>
          <t>Phải</t>
        </is>
      </c>
      <c r="T613" s="9" t="inlineStr">
        <is>
          <t>H2-C4</t>
        </is>
      </c>
      <c r="U613" s="9" t="inlineStr">
        <is>
          <t>B-39</t>
        </is>
      </c>
    </row>
    <row r="614">
      <c r="A614" s="151" t="inlineStr">
        <is>
          <t>B-5-13</t>
        </is>
      </c>
      <c r="B614" s="102" t="inlineStr">
        <is>
          <t>B</t>
        </is>
      </c>
      <c r="C614" s="102" t="inlineStr">
        <is>
          <t>5</t>
        </is>
      </c>
      <c r="D614" s="102" t="n">
        <v>13</v>
      </c>
      <c r="E614" s="102" t="inlineStr">
        <is>
          <t>TU-B5</t>
        </is>
      </c>
      <c r="F614" s="102" t="inlineStr">
        <is>
          <t>TU-B5/S2</t>
        </is>
      </c>
      <c r="G614" s="102" t="n">
        <v>13</v>
      </c>
      <c r="H614" s="102" t="inlineStr">
        <is>
          <t>TR-B1</t>
        </is>
      </c>
      <c r="I614" s="102" t="n">
        <v>10</v>
      </c>
      <c r="J614" s="102" t="inlineStr">
        <is>
          <t>Ống 2 Cam / Nâu</t>
        </is>
      </c>
      <c r="K614" s="102" t="inlineStr">
        <is>
          <t>S4-11</t>
        </is>
      </c>
      <c r="L614" s="102" t="inlineStr">
        <is>
          <t>B-9</t>
        </is>
      </c>
      <c r="M614" s="102" t="inlineStr">
        <is>
          <t>PON-11</t>
        </is>
      </c>
      <c r="N614" s="102" t="inlineStr">
        <is>
          <t>Chưa lắp</t>
        </is>
      </c>
      <c r="O614" s="151" t="n"/>
      <c r="P614" s="152" t="n"/>
      <c r="Q614" s="13">
        <f>M614&amp;" &gt; P96#"&amp;U614&amp;" &gt; "&amp;K614&amp;" &gt; P96#"&amp;L614&amp;" &gt; "&amp;R614&amp;" "&amp;S614&amp;" "&amp;T614&amp;" &gt; "&amp;H614&amp;"#"&amp;I614&amp;" &gt; "&amp;F614&amp;" p"&amp;G614</f>
        <v/>
      </c>
      <c r="R614" s="9" t="inlineStr">
        <is>
          <t>ODF-02</t>
        </is>
      </c>
      <c r="S614" s="9" t="inlineStr">
        <is>
          <t>Phải</t>
        </is>
      </c>
      <c r="T614" s="9" t="inlineStr">
        <is>
          <t>H2-C4</t>
        </is>
      </c>
      <c r="U614" s="9" t="inlineStr">
        <is>
          <t>B-39</t>
        </is>
      </c>
    </row>
    <row r="615">
      <c r="A615" s="151" t="inlineStr">
        <is>
          <t>B-5-14</t>
        </is>
      </c>
      <c r="B615" s="102" t="inlineStr">
        <is>
          <t>B</t>
        </is>
      </c>
      <c r="C615" s="102" t="inlineStr">
        <is>
          <t>5</t>
        </is>
      </c>
      <c r="D615" s="102" t="n">
        <v>14</v>
      </c>
      <c r="E615" s="102" t="inlineStr">
        <is>
          <t>TU-B5</t>
        </is>
      </c>
      <c r="F615" s="102" t="inlineStr">
        <is>
          <t>TU-B5/S2</t>
        </is>
      </c>
      <c r="G615" s="102" t="n">
        <v>14</v>
      </c>
      <c r="H615" s="102" t="inlineStr">
        <is>
          <t>TR-B1</t>
        </is>
      </c>
      <c r="I615" s="102" t="n">
        <v>10</v>
      </c>
      <c r="J615" s="102" t="inlineStr">
        <is>
          <t>Ống 2 Cam / Nâu</t>
        </is>
      </c>
      <c r="K615" s="102" t="inlineStr">
        <is>
          <t>S4-11</t>
        </is>
      </c>
      <c r="L615" s="102" t="inlineStr">
        <is>
          <t>B-9</t>
        </is>
      </c>
      <c r="M615" s="102" t="inlineStr">
        <is>
          <t>PON-11</t>
        </is>
      </c>
      <c r="N615" s="102" t="inlineStr">
        <is>
          <t>Chưa lắp</t>
        </is>
      </c>
      <c r="O615" s="151" t="n"/>
      <c r="P615" s="152" t="n"/>
      <c r="Q615" s="13">
        <f>M615&amp;" &gt; P96#"&amp;U615&amp;" &gt; "&amp;K615&amp;" &gt; P96#"&amp;L615&amp;" &gt; "&amp;R615&amp;" "&amp;S615&amp;" "&amp;T615&amp;" &gt; "&amp;H615&amp;"#"&amp;I615&amp;" &gt; "&amp;F615&amp;" p"&amp;G615</f>
        <v/>
      </c>
      <c r="R615" s="9" t="inlineStr">
        <is>
          <t>ODF-02</t>
        </is>
      </c>
      <c r="S615" s="9" t="inlineStr">
        <is>
          <t>Phải</t>
        </is>
      </c>
      <c r="T615" s="9" t="inlineStr">
        <is>
          <t>H2-C4</t>
        </is>
      </c>
      <c r="U615" s="9" t="inlineStr">
        <is>
          <t>B-39</t>
        </is>
      </c>
    </row>
    <row r="616">
      <c r="A616" s="151" t="inlineStr">
        <is>
          <t>B-4-01</t>
        </is>
      </c>
      <c r="B616" s="102" t="inlineStr">
        <is>
          <t>B</t>
        </is>
      </c>
      <c r="C616" s="102" t="inlineStr">
        <is>
          <t>4</t>
        </is>
      </c>
      <c r="D616" s="102" t="n">
        <v>1</v>
      </c>
      <c r="E616" s="102" t="inlineStr">
        <is>
          <t>TU-B5</t>
        </is>
      </c>
      <c r="F616" s="102" t="inlineStr">
        <is>
          <t>TU-B5/S1</t>
        </is>
      </c>
      <c r="G616" s="102" t="n">
        <v>1</v>
      </c>
      <c r="H616" s="102" t="inlineStr">
        <is>
          <t>TR-B1</t>
        </is>
      </c>
      <c r="I616" s="102" t="n">
        <v>9</v>
      </c>
      <c r="J616" s="102" t="inlineStr">
        <is>
          <t>Ống 2 Cam / Xanh lá</t>
        </is>
      </c>
      <c r="K616" s="102" t="inlineStr">
        <is>
          <t>S4-10</t>
        </is>
      </c>
      <c r="L616" s="102" t="inlineStr">
        <is>
          <t>B-7</t>
        </is>
      </c>
      <c r="M616" s="102" t="inlineStr">
        <is>
          <t>PON-10</t>
        </is>
      </c>
      <c r="N616" s="102" t="inlineStr">
        <is>
          <t>Chưa lắp</t>
        </is>
      </c>
      <c r="O616" s="151" t="n"/>
      <c r="P616" s="152" t="n"/>
      <c r="Q616" s="13">
        <f>M616&amp;" &gt; P96#"&amp;U616&amp;" &gt; "&amp;K616&amp;" &gt; P96#"&amp;L616&amp;" &gt; "&amp;R616&amp;" "&amp;S616&amp;" "&amp;T616&amp;" &gt; "&amp;H616&amp;"#"&amp;I616&amp;" &gt; "&amp;F616&amp;" p"&amp;G616</f>
        <v/>
      </c>
      <c r="R616" s="9" t="inlineStr">
        <is>
          <t>ODF-02</t>
        </is>
      </c>
      <c r="S616" s="9" t="inlineStr">
        <is>
          <t>Phải</t>
        </is>
      </c>
      <c r="T616" s="9" t="inlineStr">
        <is>
          <t>H2-C3</t>
        </is>
      </c>
      <c r="U616" s="9" t="inlineStr">
        <is>
          <t>B-38</t>
        </is>
      </c>
    </row>
    <row r="617">
      <c r="A617" s="151" t="inlineStr">
        <is>
          <t>B-4-02</t>
        </is>
      </c>
      <c r="B617" s="102" t="inlineStr">
        <is>
          <t>B</t>
        </is>
      </c>
      <c r="C617" s="102" t="inlineStr">
        <is>
          <t>4</t>
        </is>
      </c>
      <c r="D617" s="102" t="n">
        <v>2</v>
      </c>
      <c r="E617" s="102" t="inlineStr">
        <is>
          <t>TU-B5</t>
        </is>
      </c>
      <c r="F617" s="102" t="inlineStr">
        <is>
          <t>TU-B5/S1</t>
        </is>
      </c>
      <c r="G617" s="102" t="n">
        <v>2</v>
      </c>
      <c r="H617" s="102" t="inlineStr">
        <is>
          <t>TR-B1</t>
        </is>
      </c>
      <c r="I617" s="102" t="n">
        <v>9</v>
      </c>
      <c r="J617" s="102" t="inlineStr">
        <is>
          <t>Ống 2 Cam / Xanh lá</t>
        </is>
      </c>
      <c r="K617" s="102" t="inlineStr">
        <is>
          <t>S4-10</t>
        </is>
      </c>
      <c r="L617" s="102" t="inlineStr">
        <is>
          <t>B-7</t>
        </is>
      </c>
      <c r="M617" s="102" t="inlineStr">
        <is>
          <t>PON-10</t>
        </is>
      </c>
      <c r="N617" s="102" t="inlineStr">
        <is>
          <t>Chưa lắp</t>
        </is>
      </c>
      <c r="O617" s="151" t="n"/>
      <c r="P617" s="152" t="n"/>
      <c r="Q617" s="13">
        <f>M617&amp;" &gt; P96#"&amp;U617&amp;" &gt; "&amp;K617&amp;" &gt; P96#"&amp;L617&amp;" &gt; "&amp;R617&amp;" "&amp;S617&amp;" "&amp;T617&amp;" &gt; "&amp;H617&amp;"#"&amp;I617&amp;" &gt; "&amp;F617&amp;" p"&amp;G617</f>
        <v/>
      </c>
      <c r="R617" s="9" t="inlineStr">
        <is>
          <t>ODF-02</t>
        </is>
      </c>
      <c r="S617" s="9" t="inlineStr">
        <is>
          <t>Phải</t>
        </is>
      </c>
      <c r="T617" s="9" t="inlineStr">
        <is>
          <t>H2-C3</t>
        </is>
      </c>
      <c r="U617" s="9" t="inlineStr">
        <is>
          <t>B-38</t>
        </is>
      </c>
    </row>
    <row r="618">
      <c r="A618" s="149" t="inlineStr">
        <is>
          <t>B-4-03</t>
        </is>
      </c>
      <c r="B618" s="99" t="inlineStr">
        <is>
          <t>B</t>
        </is>
      </c>
      <c r="C618" s="99" t="inlineStr">
        <is>
          <t>4</t>
        </is>
      </c>
      <c r="D618" s="99" t="n">
        <v>3</v>
      </c>
      <c r="E618" s="99" t="inlineStr">
        <is>
          <t>TU-B5</t>
        </is>
      </c>
      <c r="F618" s="99" t="inlineStr">
        <is>
          <t>TU-B5/S1</t>
        </is>
      </c>
      <c r="G618" s="99" t="n">
        <v>3</v>
      </c>
      <c r="H618" s="99" t="inlineStr">
        <is>
          <t>TR-B1</t>
        </is>
      </c>
      <c r="I618" s="99" t="n">
        <v>9</v>
      </c>
      <c r="J618" s="99" t="inlineStr">
        <is>
          <t>Ống 2 Cam / Xanh lá</t>
        </is>
      </c>
      <c r="K618" s="99" t="inlineStr">
        <is>
          <t>S4-10</t>
        </is>
      </c>
      <c r="L618" s="99" t="inlineStr">
        <is>
          <t>B-7</t>
        </is>
      </c>
      <c r="M618" s="99" t="inlineStr">
        <is>
          <t>PON-10</t>
        </is>
      </c>
      <c r="N618" s="99" t="inlineStr">
        <is>
          <t>Chưa lắp</t>
        </is>
      </c>
      <c r="O618" s="149" t="n"/>
      <c r="P618" s="150" t="n"/>
      <c r="Q618" s="13">
        <f>M618&amp;" &gt; P96#"&amp;U618&amp;" &gt; "&amp;K618&amp;" &gt; P96#"&amp;L618&amp;" &gt; "&amp;R618&amp;" "&amp;S618&amp;" "&amp;T618&amp;" &gt; "&amp;H618&amp;"#"&amp;I618&amp;" &gt; "&amp;F618&amp;" p"&amp;G618</f>
        <v/>
      </c>
      <c r="R618" s="9" t="inlineStr">
        <is>
          <t>ODF-02</t>
        </is>
      </c>
      <c r="S618" s="9" t="inlineStr">
        <is>
          <t>Phải</t>
        </is>
      </c>
      <c r="T618" s="9" t="inlineStr">
        <is>
          <t>H2-C3</t>
        </is>
      </c>
      <c r="U618" s="9" t="inlineStr">
        <is>
          <t>B-38</t>
        </is>
      </c>
    </row>
    <row r="619">
      <c r="A619" s="149" t="inlineStr">
        <is>
          <t>B-4-04</t>
        </is>
      </c>
      <c r="B619" s="99" t="inlineStr">
        <is>
          <t>B</t>
        </is>
      </c>
      <c r="C619" s="99" t="inlineStr">
        <is>
          <t>4</t>
        </is>
      </c>
      <c r="D619" s="99" t="n">
        <v>4</v>
      </c>
      <c r="E619" s="99" t="inlineStr">
        <is>
          <t>TU-B5</t>
        </is>
      </c>
      <c r="F619" s="99" t="inlineStr">
        <is>
          <t>TU-B5/S1</t>
        </is>
      </c>
      <c r="G619" s="99" t="n">
        <v>4</v>
      </c>
      <c r="H619" s="99" t="inlineStr">
        <is>
          <t>TR-B1</t>
        </is>
      </c>
      <c r="I619" s="99" t="n">
        <v>9</v>
      </c>
      <c r="J619" s="99" t="inlineStr">
        <is>
          <t>Ống 2 Cam / Xanh lá</t>
        </is>
      </c>
      <c r="K619" s="99" t="inlineStr">
        <is>
          <t>S4-10</t>
        </is>
      </c>
      <c r="L619" s="99" t="inlineStr">
        <is>
          <t>B-7</t>
        </is>
      </c>
      <c r="M619" s="99" t="inlineStr">
        <is>
          <t>PON-10</t>
        </is>
      </c>
      <c r="N619" s="99" t="inlineStr">
        <is>
          <t>Chưa lắp</t>
        </is>
      </c>
      <c r="O619" s="149" t="n"/>
      <c r="P619" s="150" t="n"/>
      <c r="Q619" s="13">
        <f>M619&amp;" &gt; P96#"&amp;U619&amp;" &gt; "&amp;K619&amp;" &gt; P96#"&amp;L619&amp;" &gt; "&amp;R619&amp;" "&amp;S619&amp;" "&amp;T619&amp;" &gt; "&amp;H619&amp;"#"&amp;I619&amp;" &gt; "&amp;F619&amp;" p"&amp;G619</f>
        <v/>
      </c>
      <c r="R619" s="9" t="inlineStr">
        <is>
          <t>ODF-02</t>
        </is>
      </c>
      <c r="S619" s="9" t="inlineStr">
        <is>
          <t>Phải</t>
        </is>
      </c>
      <c r="T619" s="9" t="inlineStr">
        <is>
          <t>H2-C3</t>
        </is>
      </c>
      <c r="U619" s="9" t="inlineStr">
        <is>
          <t>B-38</t>
        </is>
      </c>
    </row>
    <row r="620">
      <c r="A620" s="149" t="inlineStr">
        <is>
          <t>B-4-05</t>
        </is>
      </c>
      <c r="B620" s="99" t="inlineStr">
        <is>
          <t>B</t>
        </is>
      </c>
      <c r="C620" s="99" t="inlineStr">
        <is>
          <t>4</t>
        </is>
      </c>
      <c r="D620" s="99" t="n">
        <v>5</v>
      </c>
      <c r="E620" s="99" t="inlineStr">
        <is>
          <t>TU-B5</t>
        </is>
      </c>
      <c r="F620" s="99" t="inlineStr">
        <is>
          <t>TU-B5/S1</t>
        </is>
      </c>
      <c r="G620" s="99" t="n">
        <v>5</v>
      </c>
      <c r="H620" s="99" t="inlineStr">
        <is>
          <t>TR-B1</t>
        </is>
      </c>
      <c r="I620" s="99" t="n">
        <v>9</v>
      </c>
      <c r="J620" s="99" t="inlineStr">
        <is>
          <t>Ống 2 Cam / Xanh lá</t>
        </is>
      </c>
      <c r="K620" s="99" t="inlineStr">
        <is>
          <t>S4-10</t>
        </is>
      </c>
      <c r="L620" s="99" t="inlineStr">
        <is>
          <t>B-7</t>
        </is>
      </c>
      <c r="M620" s="99" t="inlineStr">
        <is>
          <t>PON-10</t>
        </is>
      </c>
      <c r="N620" s="99" t="inlineStr">
        <is>
          <t>Chưa lắp</t>
        </is>
      </c>
      <c r="O620" s="149" t="n"/>
      <c r="P620" s="150" t="n"/>
      <c r="Q620" s="13">
        <f>M620&amp;" &gt; P96#"&amp;U620&amp;" &gt; "&amp;K620&amp;" &gt; P96#"&amp;L620&amp;" &gt; "&amp;R620&amp;" "&amp;S620&amp;" "&amp;T620&amp;" &gt; "&amp;H620&amp;"#"&amp;I620&amp;" &gt; "&amp;F620&amp;" p"&amp;G620</f>
        <v/>
      </c>
      <c r="R620" s="9" t="inlineStr">
        <is>
          <t>ODF-02</t>
        </is>
      </c>
      <c r="S620" s="9" t="inlineStr">
        <is>
          <t>Phải</t>
        </is>
      </c>
      <c r="T620" s="9" t="inlineStr">
        <is>
          <t>H2-C3</t>
        </is>
      </c>
      <c r="U620" s="9" t="inlineStr">
        <is>
          <t>B-38</t>
        </is>
      </c>
    </row>
    <row r="621">
      <c r="A621" s="149" t="inlineStr">
        <is>
          <t>B-4-06</t>
        </is>
      </c>
      <c r="B621" s="99" t="inlineStr">
        <is>
          <t>B</t>
        </is>
      </c>
      <c r="C621" s="99" t="inlineStr">
        <is>
          <t>4</t>
        </is>
      </c>
      <c r="D621" s="99" t="n">
        <v>6</v>
      </c>
      <c r="E621" s="99" t="inlineStr">
        <is>
          <t>TU-B5</t>
        </is>
      </c>
      <c r="F621" s="99" t="inlineStr">
        <is>
          <t>TU-B5/S1</t>
        </is>
      </c>
      <c r="G621" s="99" t="n">
        <v>6</v>
      </c>
      <c r="H621" s="99" t="inlineStr">
        <is>
          <t>TR-B1</t>
        </is>
      </c>
      <c r="I621" s="99" t="n">
        <v>9</v>
      </c>
      <c r="J621" s="99" t="inlineStr">
        <is>
          <t>Ống 2 Cam / Xanh lá</t>
        </is>
      </c>
      <c r="K621" s="99" t="inlineStr">
        <is>
          <t>S4-10</t>
        </is>
      </c>
      <c r="L621" s="99" t="inlineStr">
        <is>
          <t>B-7</t>
        </is>
      </c>
      <c r="M621" s="99" t="inlineStr">
        <is>
          <t>PON-10</t>
        </is>
      </c>
      <c r="N621" s="99" t="inlineStr">
        <is>
          <t>Chưa lắp</t>
        </is>
      </c>
      <c r="O621" s="149" t="n"/>
      <c r="P621" s="150" t="n"/>
      <c r="Q621" s="13">
        <f>M621&amp;" &gt; P96#"&amp;U621&amp;" &gt; "&amp;K621&amp;" &gt; P96#"&amp;L621&amp;" &gt; "&amp;R621&amp;" "&amp;S621&amp;" "&amp;T621&amp;" &gt; "&amp;H621&amp;"#"&amp;I621&amp;" &gt; "&amp;F621&amp;" p"&amp;G621</f>
        <v/>
      </c>
      <c r="R621" s="9" t="inlineStr">
        <is>
          <t>ODF-02</t>
        </is>
      </c>
      <c r="S621" s="9" t="inlineStr">
        <is>
          <t>Phải</t>
        </is>
      </c>
      <c r="T621" s="9" t="inlineStr">
        <is>
          <t>H2-C3</t>
        </is>
      </c>
      <c r="U621" s="9" t="inlineStr">
        <is>
          <t>B-38</t>
        </is>
      </c>
    </row>
    <row r="622">
      <c r="A622" s="149" t="inlineStr">
        <is>
          <t>B-4-07</t>
        </is>
      </c>
      <c r="B622" s="99" t="inlineStr">
        <is>
          <t>B</t>
        </is>
      </c>
      <c r="C622" s="99" t="inlineStr">
        <is>
          <t>4</t>
        </is>
      </c>
      <c r="D622" s="99" t="n">
        <v>7</v>
      </c>
      <c r="E622" s="99" t="inlineStr">
        <is>
          <t>TU-B5</t>
        </is>
      </c>
      <c r="F622" s="99" t="inlineStr">
        <is>
          <t>TU-B5/S1</t>
        </is>
      </c>
      <c r="G622" s="99" t="n">
        <v>7</v>
      </c>
      <c r="H622" s="99" t="inlineStr">
        <is>
          <t>TR-B1</t>
        </is>
      </c>
      <c r="I622" s="99" t="n">
        <v>9</v>
      </c>
      <c r="J622" s="99" t="inlineStr">
        <is>
          <t>Ống 2 Cam / Xanh lá</t>
        </is>
      </c>
      <c r="K622" s="99" t="inlineStr">
        <is>
          <t>S4-10</t>
        </is>
      </c>
      <c r="L622" s="99" t="inlineStr">
        <is>
          <t>B-7</t>
        </is>
      </c>
      <c r="M622" s="99" t="inlineStr">
        <is>
          <t>PON-10</t>
        </is>
      </c>
      <c r="N622" s="99" t="inlineStr">
        <is>
          <t>Chưa lắp</t>
        </is>
      </c>
      <c r="O622" s="149" t="n"/>
      <c r="P622" s="150" t="n"/>
      <c r="Q622" s="13">
        <f>M622&amp;" &gt; P96#"&amp;U622&amp;" &gt; "&amp;K622&amp;" &gt; P96#"&amp;L622&amp;" &gt; "&amp;R622&amp;" "&amp;S622&amp;" "&amp;T622&amp;" &gt; "&amp;H622&amp;"#"&amp;I622&amp;" &gt; "&amp;F622&amp;" p"&amp;G622</f>
        <v/>
      </c>
      <c r="R622" s="9" t="inlineStr">
        <is>
          <t>ODF-02</t>
        </is>
      </c>
      <c r="S622" s="9" t="inlineStr">
        <is>
          <t>Phải</t>
        </is>
      </c>
      <c r="T622" s="9" t="inlineStr">
        <is>
          <t>H2-C3</t>
        </is>
      </c>
      <c r="U622" s="9" t="inlineStr">
        <is>
          <t>B-38</t>
        </is>
      </c>
    </row>
    <row r="623">
      <c r="A623" s="149" t="inlineStr">
        <is>
          <t>B-4-08</t>
        </is>
      </c>
      <c r="B623" s="99" t="inlineStr">
        <is>
          <t>B</t>
        </is>
      </c>
      <c r="C623" s="99" t="inlineStr">
        <is>
          <t>4</t>
        </is>
      </c>
      <c r="D623" s="99" t="n">
        <v>8</v>
      </c>
      <c r="E623" s="99" t="inlineStr">
        <is>
          <t>TU-B5</t>
        </is>
      </c>
      <c r="F623" s="99" t="inlineStr">
        <is>
          <t>TU-B5/S1</t>
        </is>
      </c>
      <c r="G623" s="99" t="n">
        <v>8</v>
      </c>
      <c r="H623" s="99" t="inlineStr">
        <is>
          <t>TR-B1</t>
        </is>
      </c>
      <c r="I623" s="99" t="n">
        <v>9</v>
      </c>
      <c r="J623" s="99" t="inlineStr">
        <is>
          <t>Ống 2 Cam / Xanh lá</t>
        </is>
      </c>
      <c r="K623" s="99" t="inlineStr">
        <is>
          <t>S4-10</t>
        </is>
      </c>
      <c r="L623" s="99" t="inlineStr">
        <is>
          <t>B-7</t>
        </is>
      </c>
      <c r="M623" s="99" t="inlineStr">
        <is>
          <t>PON-10</t>
        </is>
      </c>
      <c r="N623" s="99" t="inlineStr">
        <is>
          <t>Chưa lắp</t>
        </is>
      </c>
      <c r="O623" s="149" t="n"/>
      <c r="P623" s="150" t="n"/>
      <c r="Q623" s="13">
        <f>M623&amp;" &gt; P96#"&amp;U623&amp;" &gt; "&amp;K623&amp;" &gt; P96#"&amp;L623&amp;" &gt; "&amp;R623&amp;" "&amp;S623&amp;" "&amp;T623&amp;" &gt; "&amp;H623&amp;"#"&amp;I623&amp;" &gt; "&amp;F623&amp;" p"&amp;G623</f>
        <v/>
      </c>
      <c r="R623" s="9" t="inlineStr">
        <is>
          <t>ODF-02</t>
        </is>
      </c>
      <c r="S623" s="9" t="inlineStr">
        <is>
          <t>Phải</t>
        </is>
      </c>
      <c r="T623" s="9" t="inlineStr">
        <is>
          <t>H2-C3</t>
        </is>
      </c>
      <c r="U623" s="9" t="inlineStr">
        <is>
          <t>B-38</t>
        </is>
      </c>
    </row>
    <row r="624">
      <c r="A624" s="149" t="inlineStr">
        <is>
          <t>B-4-09</t>
        </is>
      </c>
      <c r="B624" s="99" t="inlineStr">
        <is>
          <t>B</t>
        </is>
      </c>
      <c r="C624" s="99" t="inlineStr">
        <is>
          <t>4</t>
        </is>
      </c>
      <c r="D624" s="99" t="n">
        <v>9</v>
      </c>
      <c r="E624" s="99" t="inlineStr">
        <is>
          <t>TU-B5</t>
        </is>
      </c>
      <c r="F624" s="99" t="inlineStr">
        <is>
          <t>TU-B5/S1</t>
        </is>
      </c>
      <c r="G624" s="99" t="n">
        <v>9</v>
      </c>
      <c r="H624" s="99" t="inlineStr">
        <is>
          <t>TR-B1</t>
        </is>
      </c>
      <c r="I624" s="99" t="n">
        <v>9</v>
      </c>
      <c r="J624" s="99" t="inlineStr">
        <is>
          <t>Ống 2 Cam / Xanh lá</t>
        </is>
      </c>
      <c r="K624" s="99" t="inlineStr">
        <is>
          <t>S4-10</t>
        </is>
      </c>
      <c r="L624" s="99" t="inlineStr">
        <is>
          <t>B-7</t>
        </is>
      </c>
      <c r="M624" s="99" t="inlineStr">
        <is>
          <t>PON-10</t>
        </is>
      </c>
      <c r="N624" s="99" t="inlineStr">
        <is>
          <t>Chưa lắp</t>
        </is>
      </c>
      <c r="O624" s="149" t="n"/>
      <c r="P624" s="150" t="n"/>
      <c r="Q624" s="13">
        <f>M624&amp;" &gt; P96#"&amp;U624&amp;" &gt; "&amp;K624&amp;" &gt; P96#"&amp;L624&amp;" &gt; "&amp;R624&amp;" "&amp;S624&amp;" "&amp;T624&amp;" &gt; "&amp;H624&amp;"#"&amp;I624&amp;" &gt; "&amp;F624&amp;" p"&amp;G624</f>
        <v/>
      </c>
      <c r="R624" s="9" t="inlineStr">
        <is>
          <t>ODF-02</t>
        </is>
      </c>
      <c r="S624" s="9" t="inlineStr">
        <is>
          <t>Phải</t>
        </is>
      </c>
      <c r="T624" s="9" t="inlineStr">
        <is>
          <t>H2-C3</t>
        </is>
      </c>
      <c r="U624" s="9" t="inlineStr">
        <is>
          <t>B-38</t>
        </is>
      </c>
    </row>
    <row r="625">
      <c r="A625" s="149" t="inlineStr">
        <is>
          <t>B-4-10</t>
        </is>
      </c>
      <c r="B625" s="99" t="inlineStr">
        <is>
          <t>B</t>
        </is>
      </c>
      <c r="C625" s="99" t="inlineStr">
        <is>
          <t>4</t>
        </is>
      </c>
      <c r="D625" s="99" t="n">
        <v>10</v>
      </c>
      <c r="E625" s="99" t="inlineStr">
        <is>
          <t>TU-B5</t>
        </is>
      </c>
      <c r="F625" s="99" t="inlineStr">
        <is>
          <t>TU-B5/S1</t>
        </is>
      </c>
      <c r="G625" s="99" t="n">
        <v>10</v>
      </c>
      <c r="H625" s="99" t="inlineStr">
        <is>
          <t>TR-B1</t>
        </is>
      </c>
      <c r="I625" s="99" t="n">
        <v>9</v>
      </c>
      <c r="J625" s="99" t="inlineStr">
        <is>
          <t>Ống 2 Cam / Xanh lá</t>
        </is>
      </c>
      <c r="K625" s="99" t="inlineStr">
        <is>
          <t>S4-10</t>
        </is>
      </c>
      <c r="L625" s="99" t="inlineStr">
        <is>
          <t>B-7</t>
        </is>
      </c>
      <c r="M625" s="99" t="inlineStr">
        <is>
          <t>PON-10</t>
        </is>
      </c>
      <c r="N625" s="99" t="inlineStr">
        <is>
          <t>Chưa lắp</t>
        </is>
      </c>
      <c r="O625" s="149" t="n"/>
      <c r="P625" s="150" t="n"/>
      <c r="Q625" s="13">
        <f>M625&amp;" &gt; P96#"&amp;U625&amp;" &gt; "&amp;K625&amp;" &gt; P96#"&amp;L625&amp;" &gt; "&amp;R625&amp;" "&amp;S625&amp;" "&amp;T625&amp;" &gt; "&amp;H625&amp;"#"&amp;I625&amp;" &gt; "&amp;F625&amp;" p"&amp;G625</f>
        <v/>
      </c>
      <c r="R625" s="9" t="inlineStr">
        <is>
          <t>ODF-02</t>
        </is>
      </c>
      <c r="S625" s="9" t="inlineStr">
        <is>
          <t>Phải</t>
        </is>
      </c>
      <c r="T625" s="9" t="inlineStr">
        <is>
          <t>H2-C3</t>
        </is>
      </c>
      <c r="U625" s="9" t="inlineStr">
        <is>
          <t>B-38</t>
        </is>
      </c>
    </row>
    <row r="626">
      <c r="A626" s="149" t="inlineStr">
        <is>
          <t>B-4-11</t>
        </is>
      </c>
      <c r="B626" s="99" t="inlineStr">
        <is>
          <t>B</t>
        </is>
      </c>
      <c r="C626" s="99" t="inlineStr">
        <is>
          <t>4</t>
        </is>
      </c>
      <c r="D626" s="99" t="n">
        <v>11</v>
      </c>
      <c r="E626" s="99" t="inlineStr">
        <is>
          <t>TU-B5</t>
        </is>
      </c>
      <c r="F626" s="99" t="inlineStr">
        <is>
          <t>TU-B5/S1</t>
        </is>
      </c>
      <c r="G626" s="99" t="n">
        <v>11</v>
      </c>
      <c r="H626" s="99" t="inlineStr">
        <is>
          <t>TR-B1</t>
        </is>
      </c>
      <c r="I626" s="99" t="n">
        <v>9</v>
      </c>
      <c r="J626" s="99" t="inlineStr">
        <is>
          <t>Ống 2 Cam / Xanh lá</t>
        </is>
      </c>
      <c r="K626" s="99" t="inlineStr">
        <is>
          <t>S4-10</t>
        </is>
      </c>
      <c r="L626" s="99" t="inlineStr">
        <is>
          <t>B-7</t>
        </is>
      </c>
      <c r="M626" s="99" t="inlineStr">
        <is>
          <t>PON-10</t>
        </is>
      </c>
      <c r="N626" s="99" t="inlineStr">
        <is>
          <t>Chưa lắp</t>
        </is>
      </c>
      <c r="O626" s="149" t="n"/>
      <c r="P626" s="150" t="n"/>
      <c r="Q626" s="13">
        <f>M626&amp;" &gt; P96#"&amp;U626&amp;" &gt; "&amp;K626&amp;" &gt; P96#"&amp;L626&amp;" &gt; "&amp;R626&amp;" "&amp;S626&amp;" "&amp;T626&amp;" &gt; "&amp;H626&amp;"#"&amp;I626&amp;" &gt; "&amp;F626&amp;" p"&amp;G626</f>
        <v/>
      </c>
      <c r="R626" s="9" t="inlineStr">
        <is>
          <t>ODF-02</t>
        </is>
      </c>
      <c r="S626" s="9" t="inlineStr">
        <is>
          <t>Phải</t>
        </is>
      </c>
      <c r="T626" s="9" t="inlineStr">
        <is>
          <t>H2-C3</t>
        </is>
      </c>
      <c r="U626" s="9" t="inlineStr">
        <is>
          <t>B-38</t>
        </is>
      </c>
    </row>
    <row r="627">
      <c r="A627" s="149" t="inlineStr">
        <is>
          <t>B-4-12</t>
        </is>
      </c>
      <c r="B627" s="99" t="inlineStr">
        <is>
          <t>B</t>
        </is>
      </c>
      <c r="C627" s="99" t="inlineStr">
        <is>
          <t>4</t>
        </is>
      </c>
      <c r="D627" s="99" t="n">
        <v>12</v>
      </c>
      <c r="E627" s="99" t="inlineStr">
        <is>
          <t>TU-B5</t>
        </is>
      </c>
      <c r="F627" s="99" t="inlineStr">
        <is>
          <t>TU-B5/S1</t>
        </is>
      </c>
      <c r="G627" s="99" t="n">
        <v>12</v>
      </c>
      <c r="H627" s="99" t="inlineStr">
        <is>
          <t>TR-B1</t>
        </is>
      </c>
      <c r="I627" s="99" t="n">
        <v>9</v>
      </c>
      <c r="J627" s="99" t="inlineStr">
        <is>
          <t>Ống 2 Cam / Xanh lá</t>
        </is>
      </c>
      <c r="K627" s="99" t="inlineStr">
        <is>
          <t>S4-10</t>
        </is>
      </c>
      <c r="L627" s="99" t="inlineStr">
        <is>
          <t>B-7</t>
        </is>
      </c>
      <c r="M627" s="99" t="inlineStr">
        <is>
          <t>PON-10</t>
        </is>
      </c>
      <c r="N627" s="99" t="inlineStr">
        <is>
          <t>Chưa lắp</t>
        </is>
      </c>
      <c r="O627" s="149" t="n"/>
      <c r="P627" s="150" t="n"/>
      <c r="Q627" s="13">
        <f>M627&amp;" &gt; P96#"&amp;U627&amp;" &gt; "&amp;K627&amp;" &gt; P96#"&amp;L627&amp;" &gt; "&amp;R627&amp;" "&amp;S627&amp;" "&amp;T627&amp;" &gt; "&amp;H627&amp;"#"&amp;I627&amp;" &gt; "&amp;F627&amp;" p"&amp;G627</f>
        <v/>
      </c>
      <c r="R627" s="9" t="inlineStr">
        <is>
          <t>ODF-02</t>
        </is>
      </c>
      <c r="S627" s="9" t="inlineStr">
        <is>
          <t>Phải</t>
        </is>
      </c>
      <c r="T627" s="9" t="inlineStr">
        <is>
          <t>H2-C3</t>
        </is>
      </c>
      <c r="U627" s="9" t="inlineStr">
        <is>
          <t>B-38</t>
        </is>
      </c>
    </row>
    <row r="628">
      <c r="A628" s="149" t="inlineStr">
        <is>
          <t>B-4-13</t>
        </is>
      </c>
      <c r="B628" s="99" t="inlineStr">
        <is>
          <t>B</t>
        </is>
      </c>
      <c r="C628" s="99" t="inlineStr">
        <is>
          <t>4</t>
        </is>
      </c>
      <c r="D628" s="99" t="n">
        <v>13</v>
      </c>
      <c r="E628" s="99" t="inlineStr">
        <is>
          <t>TU-B5</t>
        </is>
      </c>
      <c r="F628" s="99" t="inlineStr">
        <is>
          <t>TU-B5/S1</t>
        </is>
      </c>
      <c r="G628" s="99" t="n">
        <v>13</v>
      </c>
      <c r="H628" s="99" t="inlineStr">
        <is>
          <t>TR-B1</t>
        </is>
      </c>
      <c r="I628" s="99" t="n">
        <v>9</v>
      </c>
      <c r="J628" s="99" t="inlineStr">
        <is>
          <t>Ống 2 Cam / Xanh lá</t>
        </is>
      </c>
      <c r="K628" s="99" t="inlineStr">
        <is>
          <t>S4-10</t>
        </is>
      </c>
      <c r="L628" s="99" t="inlineStr">
        <is>
          <t>B-7</t>
        </is>
      </c>
      <c r="M628" s="99" t="inlineStr">
        <is>
          <t>PON-10</t>
        </is>
      </c>
      <c r="N628" s="99" t="inlineStr">
        <is>
          <t>Chưa lắp</t>
        </is>
      </c>
      <c r="O628" s="149" t="n"/>
      <c r="P628" s="150" t="n"/>
      <c r="Q628" s="13">
        <f>M628&amp;" &gt; P96#"&amp;U628&amp;" &gt; "&amp;K628&amp;" &gt; P96#"&amp;L628&amp;" &gt; "&amp;R628&amp;" "&amp;S628&amp;" "&amp;T628&amp;" &gt; "&amp;H628&amp;"#"&amp;I628&amp;" &gt; "&amp;F628&amp;" p"&amp;G628</f>
        <v/>
      </c>
      <c r="R628" s="9" t="inlineStr">
        <is>
          <t>ODF-02</t>
        </is>
      </c>
      <c r="S628" s="9" t="inlineStr">
        <is>
          <t>Phải</t>
        </is>
      </c>
      <c r="T628" s="9" t="inlineStr">
        <is>
          <t>H2-C3</t>
        </is>
      </c>
      <c r="U628" s="9" t="inlineStr">
        <is>
          <t>B-38</t>
        </is>
      </c>
    </row>
    <row r="629">
      <c r="A629" s="149" t="inlineStr">
        <is>
          <t>B-4-14</t>
        </is>
      </c>
      <c r="B629" s="99" t="inlineStr">
        <is>
          <t>B</t>
        </is>
      </c>
      <c r="C629" s="99" t="inlineStr">
        <is>
          <t>4</t>
        </is>
      </c>
      <c r="D629" s="99" t="n">
        <v>14</v>
      </c>
      <c r="E629" s="99" t="inlineStr">
        <is>
          <t>TU-B5</t>
        </is>
      </c>
      <c r="F629" s="99" t="inlineStr">
        <is>
          <t>TU-B5/S1</t>
        </is>
      </c>
      <c r="G629" s="99" t="n">
        <v>14</v>
      </c>
      <c r="H629" s="99" t="inlineStr">
        <is>
          <t>TR-B1</t>
        </is>
      </c>
      <c r="I629" s="99" t="n">
        <v>9</v>
      </c>
      <c r="J629" s="99" t="inlineStr">
        <is>
          <t>Ống 2 Cam / Xanh lá</t>
        </is>
      </c>
      <c r="K629" s="99" t="inlineStr">
        <is>
          <t>S4-10</t>
        </is>
      </c>
      <c r="L629" s="99" t="inlineStr">
        <is>
          <t>B-7</t>
        </is>
      </c>
      <c r="M629" s="99" t="inlineStr">
        <is>
          <t>PON-10</t>
        </is>
      </c>
      <c r="N629" s="99" t="inlineStr">
        <is>
          <t>Chưa lắp</t>
        </is>
      </c>
      <c r="O629" s="149" t="n"/>
      <c r="P629" s="150" t="n"/>
      <c r="Q629" s="13">
        <f>M629&amp;" &gt; P96#"&amp;U629&amp;" &gt; "&amp;K629&amp;" &gt; P96#"&amp;L629&amp;" &gt; "&amp;R629&amp;" "&amp;S629&amp;" "&amp;T629&amp;" &gt; "&amp;H629&amp;"#"&amp;I629&amp;" &gt; "&amp;F629&amp;" p"&amp;G629</f>
        <v/>
      </c>
      <c r="R629" s="9" t="inlineStr">
        <is>
          <t>ODF-02</t>
        </is>
      </c>
      <c r="S629" s="9" t="inlineStr">
        <is>
          <t>Phải</t>
        </is>
      </c>
      <c r="T629" s="9" t="inlineStr">
        <is>
          <t>H2-C3</t>
        </is>
      </c>
      <c r="U629" s="9" t="inlineStr">
        <is>
          <t>B-38</t>
        </is>
      </c>
    </row>
    <row r="630">
      <c r="A630" s="149" t="inlineStr">
        <is>
          <t>B-3-01</t>
        </is>
      </c>
      <c r="B630" s="99" t="inlineStr">
        <is>
          <t>B</t>
        </is>
      </c>
      <c r="C630" s="99" t="inlineStr">
        <is>
          <t>3</t>
        </is>
      </c>
      <c r="D630" s="99" t="n">
        <v>1</v>
      </c>
      <c r="E630" s="99" t="inlineStr">
        <is>
          <t>TU-B2</t>
        </is>
      </c>
      <c r="F630" s="99" t="inlineStr">
        <is>
          <t>TU-B2/S4</t>
        </is>
      </c>
      <c r="G630" s="99" t="n">
        <v>1</v>
      </c>
      <c r="H630" s="99" t="inlineStr">
        <is>
          <t>TR-B1</t>
        </is>
      </c>
      <c r="I630" s="99" t="n">
        <v>4</v>
      </c>
      <c r="J630" s="99" t="inlineStr">
        <is>
          <t>Ống 1 Xanh dương / Nâu</t>
        </is>
      </c>
      <c r="K630" s="99" t="inlineStr">
        <is>
          <t>S4-10</t>
        </is>
      </c>
      <c r="L630" s="99" t="inlineStr">
        <is>
          <t>B-5</t>
        </is>
      </c>
      <c r="M630" s="99" t="inlineStr">
        <is>
          <t>PON-10</t>
        </is>
      </c>
      <c r="N630" s="99" t="inlineStr">
        <is>
          <t>Chưa lắp</t>
        </is>
      </c>
      <c r="O630" s="149" t="n"/>
      <c r="P630" s="150" t="n"/>
      <c r="Q630" s="13">
        <f>M630&amp;" &gt; P96#"&amp;U630&amp;" &gt; "&amp;K630&amp;" &gt; P96#"&amp;L630&amp;" &gt; "&amp;R630&amp;" "&amp;S630&amp;" "&amp;T630&amp;" &gt; "&amp;H630&amp;"#"&amp;I630&amp;" &gt; "&amp;F630&amp;" p"&amp;G630</f>
        <v/>
      </c>
      <c r="R630" s="9" t="inlineStr">
        <is>
          <t>ODF-02</t>
        </is>
      </c>
      <c r="S630" s="9" t="inlineStr">
        <is>
          <t>Phải</t>
        </is>
      </c>
      <c r="T630" s="9" t="inlineStr">
        <is>
          <t>H1-C4</t>
        </is>
      </c>
      <c r="U630" s="9" t="inlineStr">
        <is>
          <t>B-38</t>
        </is>
      </c>
    </row>
    <row r="631">
      <c r="A631" s="149" t="inlineStr">
        <is>
          <t>B-3-02</t>
        </is>
      </c>
      <c r="B631" s="99" t="inlineStr">
        <is>
          <t>B</t>
        </is>
      </c>
      <c r="C631" s="99" t="inlineStr">
        <is>
          <t>3</t>
        </is>
      </c>
      <c r="D631" s="99" t="n">
        <v>2</v>
      </c>
      <c r="E631" s="99" t="inlineStr">
        <is>
          <t>TU-B2</t>
        </is>
      </c>
      <c r="F631" s="99" t="inlineStr">
        <is>
          <t>TU-B2/S4</t>
        </is>
      </c>
      <c r="G631" s="99" t="n">
        <v>2</v>
      </c>
      <c r="H631" s="99" t="inlineStr">
        <is>
          <t>TR-B1</t>
        </is>
      </c>
      <c r="I631" s="99" t="n">
        <v>4</v>
      </c>
      <c r="J631" s="99" t="inlineStr">
        <is>
          <t>Ống 1 Xanh dương / Nâu</t>
        </is>
      </c>
      <c r="K631" s="99" t="inlineStr">
        <is>
          <t>S4-10</t>
        </is>
      </c>
      <c r="L631" s="99" t="inlineStr">
        <is>
          <t>B-5</t>
        </is>
      </c>
      <c r="M631" s="99" t="inlineStr">
        <is>
          <t>PON-10</t>
        </is>
      </c>
      <c r="N631" s="99" t="inlineStr">
        <is>
          <t>Chưa lắp</t>
        </is>
      </c>
      <c r="O631" s="149" t="n"/>
      <c r="P631" s="150" t="n"/>
      <c r="Q631" s="13">
        <f>M631&amp;" &gt; P96#"&amp;U631&amp;" &gt; "&amp;K631&amp;" &gt; P96#"&amp;L631&amp;" &gt; "&amp;R631&amp;" "&amp;S631&amp;" "&amp;T631&amp;" &gt; "&amp;H631&amp;"#"&amp;I631&amp;" &gt; "&amp;F631&amp;" p"&amp;G631</f>
        <v/>
      </c>
      <c r="R631" s="9" t="inlineStr">
        <is>
          <t>ODF-02</t>
        </is>
      </c>
      <c r="S631" s="9" t="inlineStr">
        <is>
          <t>Phải</t>
        </is>
      </c>
      <c r="T631" s="9" t="inlineStr">
        <is>
          <t>H1-C4</t>
        </is>
      </c>
      <c r="U631" s="9" t="inlineStr">
        <is>
          <t>B-38</t>
        </is>
      </c>
    </row>
    <row r="632">
      <c r="A632" s="151" t="inlineStr">
        <is>
          <t>B-3-03</t>
        </is>
      </c>
      <c r="B632" s="102" t="inlineStr">
        <is>
          <t>B</t>
        </is>
      </c>
      <c r="C632" s="102" t="inlineStr">
        <is>
          <t>3</t>
        </is>
      </c>
      <c r="D632" s="102" t="n">
        <v>3</v>
      </c>
      <c r="E632" s="102" t="inlineStr">
        <is>
          <t>TU-B2</t>
        </is>
      </c>
      <c r="F632" s="102" t="inlineStr">
        <is>
          <t>TU-B2/S4</t>
        </is>
      </c>
      <c r="G632" s="102" t="n">
        <v>3</v>
      </c>
      <c r="H632" s="102" t="inlineStr">
        <is>
          <t>TR-B1</t>
        </is>
      </c>
      <c r="I632" s="102" t="n">
        <v>4</v>
      </c>
      <c r="J632" s="102" t="inlineStr">
        <is>
          <t>Ống 1 Xanh dương / Nâu</t>
        </is>
      </c>
      <c r="K632" s="102" t="inlineStr">
        <is>
          <t>S4-10</t>
        </is>
      </c>
      <c r="L632" s="102" t="inlineStr">
        <is>
          <t>B-5</t>
        </is>
      </c>
      <c r="M632" s="102" t="inlineStr">
        <is>
          <t>PON-10</t>
        </is>
      </c>
      <c r="N632" s="102" t="inlineStr">
        <is>
          <t>Chưa lắp</t>
        </is>
      </c>
      <c r="O632" s="151" t="n"/>
      <c r="P632" s="152" t="n"/>
      <c r="Q632" s="13">
        <f>M632&amp;" &gt; P96#"&amp;U632&amp;" &gt; "&amp;K632&amp;" &gt; P96#"&amp;L632&amp;" &gt; "&amp;R632&amp;" "&amp;S632&amp;" "&amp;T632&amp;" &gt; "&amp;H632&amp;"#"&amp;I632&amp;" &gt; "&amp;F632&amp;" p"&amp;G632</f>
        <v/>
      </c>
      <c r="R632" s="9" t="inlineStr">
        <is>
          <t>ODF-02</t>
        </is>
      </c>
      <c r="S632" s="9" t="inlineStr">
        <is>
          <t>Phải</t>
        </is>
      </c>
      <c r="T632" s="9" t="inlineStr">
        <is>
          <t>H1-C4</t>
        </is>
      </c>
      <c r="U632" s="9" t="inlineStr">
        <is>
          <t>B-38</t>
        </is>
      </c>
    </row>
    <row r="633">
      <c r="A633" s="151" t="inlineStr">
        <is>
          <t>B-3-04</t>
        </is>
      </c>
      <c r="B633" s="102" t="inlineStr">
        <is>
          <t>B</t>
        </is>
      </c>
      <c r="C633" s="102" t="inlineStr">
        <is>
          <t>3</t>
        </is>
      </c>
      <c r="D633" s="102" t="n">
        <v>4</v>
      </c>
      <c r="E633" s="102" t="inlineStr">
        <is>
          <t>TU-B2</t>
        </is>
      </c>
      <c r="F633" s="102" t="inlineStr">
        <is>
          <t>TU-B2/S4</t>
        </is>
      </c>
      <c r="G633" s="102" t="n">
        <v>4</v>
      </c>
      <c r="H633" s="102" t="inlineStr">
        <is>
          <t>TR-B1</t>
        </is>
      </c>
      <c r="I633" s="102" t="n">
        <v>4</v>
      </c>
      <c r="J633" s="102" t="inlineStr">
        <is>
          <t>Ống 1 Xanh dương / Nâu</t>
        </is>
      </c>
      <c r="K633" s="102" t="inlineStr">
        <is>
          <t>S4-10</t>
        </is>
      </c>
      <c r="L633" s="102" t="inlineStr">
        <is>
          <t>B-5</t>
        </is>
      </c>
      <c r="M633" s="102" t="inlineStr">
        <is>
          <t>PON-10</t>
        </is>
      </c>
      <c r="N633" s="102" t="inlineStr">
        <is>
          <t>Chưa lắp</t>
        </is>
      </c>
      <c r="O633" s="151" t="n"/>
      <c r="P633" s="152" t="n"/>
      <c r="Q633" s="13">
        <f>M633&amp;" &gt; P96#"&amp;U633&amp;" &gt; "&amp;K633&amp;" &gt; P96#"&amp;L633&amp;" &gt; "&amp;R633&amp;" "&amp;S633&amp;" "&amp;T633&amp;" &gt; "&amp;H633&amp;"#"&amp;I633&amp;" &gt; "&amp;F633&amp;" p"&amp;G633</f>
        <v/>
      </c>
      <c r="R633" s="9" t="inlineStr">
        <is>
          <t>ODF-02</t>
        </is>
      </c>
      <c r="S633" s="9" t="inlineStr">
        <is>
          <t>Phải</t>
        </is>
      </c>
      <c r="T633" s="9" t="inlineStr">
        <is>
          <t>H1-C4</t>
        </is>
      </c>
      <c r="U633" s="9" t="inlineStr">
        <is>
          <t>B-38</t>
        </is>
      </c>
    </row>
    <row r="634">
      <c r="A634" s="151" t="inlineStr">
        <is>
          <t>B-3-05</t>
        </is>
      </c>
      <c r="B634" s="102" t="inlineStr">
        <is>
          <t>B</t>
        </is>
      </c>
      <c r="C634" s="102" t="inlineStr">
        <is>
          <t>3</t>
        </is>
      </c>
      <c r="D634" s="102" t="n">
        <v>5</v>
      </c>
      <c r="E634" s="102" t="inlineStr">
        <is>
          <t>TU-B2</t>
        </is>
      </c>
      <c r="F634" s="102" t="inlineStr">
        <is>
          <t>TU-B2/S4</t>
        </is>
      </c>
      <c r="G634" s="102" t="n">
        <v>5</v>
      </c>
      <c r="H634" s="102" t="inlineStr">
        <is>
          <t>TR-B1</t>
        </is>
      </c>
      <c r="I634" s="102" t="n">
        <v>4</v>
      </c>
      <c r="J634" s="102" t="inlineStr">
        <is>
          <t>Ống 1 Xanh dương / Nâu</t>
        </is>
      </c>
      <c r="K634" s="102" t="inlineStr">
        <is>
          <t>S4-10</t>
        </is>
      </c>
      <c r="L634" s="102" t="inlineStr">
        <is>
          <t>B-5</t>
        </is>
      </c>
      <c r="M634" s="102" t="inlineStr">
        <is>
          <t>PON-10</t>
        </is>
      </c>
      <c r="N634" s="102" t="inlineStr">
        <is>
          <t>Chưa lắp</t>
        </is>
      </c>
      <c r="O634" s="151" t="n"/>
      <c r="P634" s="152" t="n"/>
      <c r="Q634" s="13">
        <f>M634&amp;" &gt; P96#"&amp;U634&amp;" &gt; "&amp;K634&amp;" &gt; P96#"&amp;L634&amp;" &gt; "&amp;R634&amp;" "&amp;S634&amp;" "&amp;T634&amp;" &gt; "&amp;H634&amp;"#"&amp;I634&amp;" &gt; "&amp;F634&amp;" p"&amp;G634</f>
        <v/>
      </c>
      <c r="R634" s="9" t="inlineStr">
        <is>
          <t>ODF-02</t>
        </is>
      </c>
      <c r="S634" s="9" t="inlineStr">
        <is>
          <t>Phải</t>
        </is>
      </c>
      <c r="T634" s="9" t="inlineStr">
        <is>
          <t>H1-C4</t>
        </is>
      </c>
      <c r="U634" s="9" t="inlineStr">
        <is>
          <t>B-38</t>
        </is>
      </c>
    </row>
    <row r="635">
      <c r="A635" s="151" t="inlineStr">
        <is>
          <t>B-3-06</t>
        </is>
      </c>
      <c r="B635" s="102" t="inlineStr">
        <is>
          <t>B</t>
        </is>
      </c>
      <c r="C635" s="102" t="inlineStr">
        <is>
          <t>3</t>
        </is>
      </c>
      <c r="D635" s="102" t="n">
        <v>6</v>
      </c>
      <c r="E635" s="102" t="inlineStr">
        <is>
          <t>TU-B2</t>
        </is>
      </c>
      <c r="F635" s="102" t="inlineStr">
        <is>
          <t>TU-B2/S4</t>
        </is>
      </c>
      <c r="G635" s="102" t="n">
        <v>6</v>
      </c>
      <c r="H635" s="102" t="inlineStr">
        <is>
          <t>TR-B1</t>
        </is>
      </c>
      <c r="I635" s="102" t="n">
        <v>4</v>
      </c>
      <c r="J635" s="102" t="inlineStr">
        <is>
          <t>Ống 1 Xanh dương / Nâu</t>
        </is>
      </c>
      <c r="K635" s="102" t="inlineStr">
        <is>
          <t>S4-10</t>
        </is>
      </c>
      <c r="L635" s="102" t="inlineStr">
        <is>
          <t>B-5</t>
        </is>
      </c>
      <c r="M635" s="102" t="inlineStr">
        <is>
          <t>PON-10</t>
        </is>
      </c>
      <c r="N635" s="102" t="inlineStr">
        <is>
          <t>Chưa lắp</t>
        </is>
      </c>
      <c r="O635" s="151" t="n"/>
      <c r="P635" s="152" t="n"/>
      <c r="Q635" s="13">
        <f>M635&amp;" &gt; P96#"&amp;U635&amp;" &gt; "&amp;K635&amp;" &gt; P96#"&amp;L635&amp;" &gt; "&amp;R635&amp;" "&amp;S635&amp;" "&amp;T635&amp;" &gt; "&amp;H635&amp;"#"&amp;I635&amp;" &gt; "&amp;F635&amp;" p"&amp;G635</f>
        <v/>
      </c>
      <c r="R635" s="9" t="inlineStr">
        <is>
          <t>ODF-02</t>
        </is>
      </c>
      <c r="S635" s="9" t="inlineStr">
        <is>
          <t>Phải</t>
        </is>
      </c>
      <c r="T635" s="9" t="inlineStr">
        <is>
          <t>H1-C4</t>
        </is>
      </c>
      <c r="U635" s="9" t="inlineStr">
        <is>
          <t>B-38</t>
        </is>
      </c>
    </row>
    <row r="636">
      <c r="A636" s="151" t="inlineStr">
        <is>
          <t>B-3-07</t>
        </is>
      </c>
      <c r="B636" s="102" t="inlineStr">
        <is>
          <t>B</t>
        </is>
      </c>
      <c r="C636" s="102" t="inlineStr">
        <is>
          <t>3</t>
        </is>
      </c>
      <c r="D636" s="102" t="n">
        <v>7</v>
      </c>
      <c r="E636" s="102" t="inlineStr">
        <is>
          <t>TU-B2</t>
        </is>
      </c>
      <c r="F636" s="102" t="inlineStr">
        <is>
          <t>TU-B2/S4</t>
        </is>
      </c>
      <c r="G636" s="102" t="n">
        <v>7</v>
      </c>
      <c r="H636" s="102" t="inlineStr">
        <is>
          <t>TR-B1</t>
        </is>
      </c>
      <c r="I636" s="102" t="n">
        <v>4</v>
      </c>
      <c r="J636" s="102" t="inlineStr">
        <is>
          <t>Ống 1 Xanh dương / Nâu</t>
        </is>
      </c>
      <c r="K636" s="102" t="inlineStr">
        <is>
          <t>S4-10</t>
        </is>
      </c>
      <c r="L636" s="102" t="inlineStr">
        <is>
          <t>B-5</t>
        </is>
      </c>
      <c r="M636" s="102" t="inlineStr">
        <is>
          <t>PON-10</t>
        </is>
      </c>
      <c r="N636" s="102" t="inlineStr">
        <is>
          <t>Chưa lắp</t>
        </is>
      </c>
      <c r="O636" s="151" t="n"/>
      <c r="P636" s="152" t="n"/>
      <c r="Q636" s="13">
        <f>M636&amp;" &gt; P96#"&amp;U636&amp;" &gt; "&amp;K636&amp;" &gt; P96#"&amp;L636&amp;" &gt; "&amp;R636&amp;" "&amp;S636&amp;" "&amp;T636&amp;" &gt; "&amp;H636&amp;"#"&amp;I636&amp;" &gt; "&amp;F636&amp;" p"&amp;G636</f>
        <v/>
      </c>
      <c r="R636" s="9" t="inlineStr">
        <is>
          <t>ODF-02</t>
        </is>
      </c>
      <c r="S636" s="9" t="inlineStr">
        <is>
          <t>Phải</t>
        </is>
      </c>
      <c r="T636" s="9" t="inlineStr">
        <is>
          <t>H1-C4</t>
        </is>
      </c>
      <c r="U636" s="9" t="inlineStr">
        <is>
          <t>B-38</t>
        </is>
      </c>
    </row>
    <row r="637">
      <c r="A637" s="151" t="inlineStr">
        <is>
          <t>B-3-08</t>
        </is>
      </c>
      <c r="B637" s="102" t="inlineStr">
        <is>
          <t>B</t>
        </is>
      </c>
      <c r="C637" s="102" t="inlineStr">
        <is>
          <t>3</t>
        </is>
      </c>
      <c r="D637" s="102" t="n">
        <v>8</v>
      </c>
      <c r="E637" s="102" t="inlineStr">
        <is>
          <t>TU-B2</t>
        </is>
      </c>
      <c r="F637" s="102" t="inlineStr">
        <is>
          <t>TU-B2/S4</t>
        </is>
      </c>
      <c r="G637" s="102" t="n">
        <v>8</v>
      </c>
      <c r="H637" s="102" t="inlineStr">
        <is>
          <t>TR-B1</t>
        </is>
      </c>
      <c r="I637" s="102" t="n">
        <v>4</v>
      </c>
      <c r="J637" s="102" t="inlineStr">
        <is>
          <t>Ống 1 Xanh dương / Nâu</t>
        </is>
      </c>
      <c r="K637" s="102" t="inlineStr">
        <is>
          <t>S4-10</t>
        </is>
      </c>
      <c r="L637" s="102" t="inlineStr">
        <is>
          <t>B-5</t>
        </is>
      </c>
      <c r="M637" s="102" t="inlineStr">
        <is>
          <t>PON-10</t>
        </is>
      </c>
      <c r="N637" s="102" t="inlineStr">
        <is>
          <t>Chưa lắp</t>
        </is>
      </c>
      <c r="O637" s="151" t="n"/>
      <c r="P637" s="152" t="n"/>
      <c r="Q637" s="13">
        <f>M637&amp;" &gt; P96#"&amp;U637&amp;" &gt; "&amp;K637&amp;" &gt; P96#"&amp;L637&amp;" &gt; "&amp;R637&amp;" "&amp;S637&amp;" "&amp;T637&amp;" &gt; "&amp;H637&amp;"#"&amp;I637&amp;" &gt; "&amp;F637&amp;" p"&amp;G637</f>
        <v/>
      </c>
      <c r="R637" s="9" t="inlineStr">
        <is>
          <t>ODF-02</t>
        </is>
      </c>
      <c r="S637" s="9" t="inlineStr">
        <is>
          <t>Phải</t>
        </is>
      </c>
      <c r="T637" s="9" t="inlineStr">
        <is>
          <t>H1-C4</t>
        </is>
      </c>
      <c r="U637" s="9" t="inlineStr">
        <is>
          <t>B-38</t>
        </is>
      </c>
    </row>
    <row r="638">
      <c r="A638" s="151" t="inlineStr">
        <is>
          <t>B-3-09</t>
        </is>
      </c>
      <c r="B638" s="102" t="inlineStr">
        <is>
          <t>B</t>
        </is>
      </c>
      <c r="C638" s="102" t="inlineStr">
        <is>
          <t>3</t>
        </is>
      </c>
      <c r="D638" s="102" t="n">
        <v>9</v>
      </c>
      <c r="E638" s="102" t="inlineStr">
        <is>
          <t>TU-B2</t>
        </is>
      </c>
      <c r="F638" s="102" t="inlineStr">
        <is>
          <t>TU-B2/S4</t>
        </is>
      </c>
      <c r="G638" s="102" t="n">
        <v>9</v>
      </c>
      <c r="H638" s="102" t="inlineStr">
        <is>
          <t>TR-B1</t>
        </is>
      </c>
      <c r="I638" s="102" t="n">
        <v>4</v>
      </c>
      <c r="J638" s="102" t="inlineStr">
        <is>
          <t>Ống 1 Xanh dương / Nâu</t>
        </is>
      </c>
      <c r="K638" s="102" t="inlineStr">
        <is>
          <t>S4-10</t>
        </is>
      </c>
      <c r="L638" s="102" t="inlineStr">
        <is>
          <t>B-5</t>
        </is>
      </c>
      <c r="M638" s="102" t="inlineStr">
        <is>
          <t>PON-10</t>
        </is>
      </c>
      <c r="N638" s="102" t="inlineStr">
        <is>
          <t>Chưa lắp</t>
        </is>
      </c>
      <c r="O638" s="151" t="n"/>
      <c r="P638" s="152" t="n"/>
      <c r="Q638" s="13">
        <f>M638&amp;" &gt; P96#"&amp;U638&amp;" &gt; "&amp;K638&amp;" &gt; P96#"&amp;L638&amp;" &gt; "&amp;R638&amp;" "&amp;S638&amp;" "&amp;T638&amp;" &gt; "&amp;H638&amp;"#"&amp;I638&amp;" &gt; "&amp;F638&amp;" p"&amp;G638</f>
        <v/>
      </c>
      <c r="R638" s="9" t="inlineStr">
        <is>
          <t>ODF-02</t>
        </is>
      </c>
      <c r="S638" s="9" t="inlineStr">
        <is>
          <t>Phải</t>
        </is>
      </c>
      <c r="T638" s="9" t="inlineStr">
        <is>
          <t>H1-C4</t>
        </is>
      </c>
      <c r="U638" s="9" t="inlineStr">
        <is>
          <t>B-38</t>
        </is>
      </c>
    </row>
    <row r="639">
      <c r="A639" s="151" t="inlineStr">
        <is>
          <t>B-3-10</t>
        </is>
      </c>
      <c r="B639" s="102" t="inlineStr">
        <is>
          <t>B</t>
        </is>
      </c>
      <c r="C639" s="102" t="inlineStr">
        <is>
          <t>3</t>
        </is>
      </c>
      <c r="D639" s="102" t="n">
        <v>10</v>
      </c>
      <c r="E639" s="102" t="inlineStr">
        <is>
          <t>TU-B2</t>
        </is>
      </c>
      <c r="F639" s="102" t="inlineStr">
        <is>
          <t>TU-B2/S5</t>
        </is>
      </c>
      <c r="G639" s="102" t="n">
        <v>1</v>
      </c>
      <c r="H639" s="102" t="inlineStr">
        <is>
          <t>TR-B1</t>
        </is>
      </c>
      <c r="I639" s="102" t="n">
        <v>5</v>
      </c>
      <c r="J639" s="102" t="inlineStr">
        <is>
          <t>Ống 1 Xanh dương / Xám</t>
        </is>
      </c>
      <c r="K639" s="102" t="inlineStr">
        <is>
          <t>S4-10</t>
        </is>
      </c>
      <c r="L639" s="102" t="inlineStr">
        <is>
          <t>B-6</t>
        </is>
      </c>
      <c r="M639" s="102" t="inlineStr">
        <is>
          <t>PON-10</t>
        </is>
      </c>
      <c r="N639" s="102" t="inlineStr">
        <is>
          <t>Chưa lắp</t>
        </is>
      </c>
      <c r="O639" s="151" t="n"/>
      <c r="P639" s="152" t="n"/>
      <c r="Q639" s="13">
        <f>M639&amp;" &gt; P96#"&amp;U639&amp;" &gt; "&amp;K639&amp;" &gt; P96#"&amp;L639&amp;" &gt; "&amp;R639&amp;" "&amp;S639&amp;" "&amp;T639&amp;" &gt; "&amp;H639&amp;"#"&amp;I639&amp;" &gt; "&amp;F639&amp;" p"&amp;G639</f>
        <v/>
      </c>
      <c r="R639" s="9" t="inlineStr">
        <is>
          <t>ODF-02</t>
        </is>
      </c>
      <c r="S639" s="9" t="inlineStr">
        <is>
          <t>Phải</t>
        </is>
      </c>
      <c r="T639" s="9" t="inlineStr">
        <is>
          <t>H1-C5</t>
        </is>
      </c>
      <c r="U639" s="9" t="inlineStr">
        <is>
          <t>B-38</t>
        </is>
      </c>
    </row>
    <row r="640">
      <c r="A640" s="151" t="inlineStr">
        <is>
          <t>B-3-11</t>
        </is>
      </c>
      <c r="B640" s="102" t="inlineStr">
        <is>
          <t>B</t>
        </is>
      </c>
      <c r="C640" s="102" t="inlineStr">
        <is>
          <t>3</t>
        </is>
      </c>
      <c r="D640" s="102" t="n">
        <v>11</v>
      </c>
      <c r="E640" s="102" t="inlineStr">
        <is>
          <t>TU-B2</t>
        </is>
      </c>
      <c r="F640" s="102" t="inlineStr">
        <is>
          <t>TU-B2/S5</t>
        </is>
      </c>
      <c r="G640" s="102" t="n">
        <v>2</v>
      </c>
      <c r="H640" s="102" t="inlineStr">
        <is>
          <t>TR-B1</t>
        </is>
      </c>
      <c r="I640" s="102" t="n">
        <v>5</v>
      </c>
      <c r="J640" s="102" t="inlineStr">
        <is>
          <t>Ống 1 Xanh dương / Xám</t>
        </is>
      </c>
      <c r="K640" s="102" t="inlineStr">
        <is>
          <t>S4-10</t>
        </is>
      </c>
      <c r="L640" s="102" t="inlineStr">
        <is>
          <t>B-6</t>
        </is>
      </c>
      <c r="M640" s="102" t="inlineStr">
        <is>
          <t>PON-10</t>
        </is>
      </c>
      <c r="N640" s="102" t="inlineStr">
        <is>
          <t>Chưa lắp</t>
        </is>
      </c>
      <c r="O640" s="151" t="n"/>
      <c r="P640" s="152" t="n"/>
      <c r="Q640" s="13">
        <f>M640&amp;" &gt; P96#"&amp;U640&amp;" &gt; "&amp;K640&amp;" &gt; P96#"&amp;L640&amp;" &gt; "&amp;R640&amp;" "&amp;S640&amp;" "&amp;T640&amp;" &gt; "&amp;H640&amp;"#"&amp;I640&amp;" &gt; "&amp;F640&amp;" p"&amp;G640</f>
        <v/>
      </c>
      <c r="R640" s="9" t="inlineStr">
        <is>
          <t>ODF-02</t>
        </is>
      </c>
      <c r="S640" s="9" t="inlineStr">
        <is>
          <t>Phải</t>
        </is>
      </c>
      <c r="T640" s="9" t="inlineStr">
        <is>
          <t>H1-C5</t>
        </is>
      </c>
      <c r="U640" s="9" t="inlineStr">
        <is>
          <t>B-38</t>
        </is>
      </c>
    </row>
    <row r="641">
      <c r="A641" s="151" t="inlineStr">
        <is>
          <t>B-3-12</t>
        </is>
      </c>
      <c r="B641" s="102" t="inlineStr">
        <is>
          <t>B</t>
        </is>
      </c>
      <c r="C641" s="102" t="inlineStr">
        <is>
          <t>3</t>
        </is>
      </c>
      <c r="D641" s="102" t="n">
        <v>12</v>
      </c>
      <c r="E641" s="102" t="inlineStr">
        <is>
          <t>TU-B2</t>
        </is>
      </c>
      <c r="F641" s="102" t="inlineStr">
        <is>
          <t>TU-B2/S5</t>
        </is>
      </c>
      <c r="G641" s="102" t="n">
        <v>3</v>
      </c>
      <c r="H641" s="102" t="inlineStr">
        <is>
          <t>TR-B1</t>
        </is>
      </c>
      <c r="I641" s="102" t="n">
        <v>5</v>
      </c>
      <c r="J641" s="102" t="inlineStr">
        <is>
          <t>Ống 1 Xanh dương / Xám</t>
        </is>
      </c>
      <c r="K641" s="102" t="inlineStr">
        <is>
          <t>S4-10</t>
        </is>
      </c>
      <c r="L641" s="102" t="inlineStr">
        <is>
          <t>B-6</t>
        </is>
      </c>
      <c r="M641" s="102" t="inlineStr">
        <is>
          <t>PON-10</t>
        </is>
      </c>
      <c r="N641" s="102" t="inlineStr">
        <is>
          <t>Chưa lắp</t>
        </is>
      </c>
      <c r="O641" s="151" t="n"/>
      <c r="P641" s="152" t="n"/>
      <c r="Q641" s="13">
        <f>M641&amp;" &gt; P96#"&amp;U641&amp;" &gt; "&amp;K641&amp;" &gt; P96#"&amp;L641&amp;" &gt; "&amp;R641&amp;" "&amp;S641&amp;" "&amp;T641&amp;" &gt; "&amp;H641&amp;"#"&amp;I641&amp;" &gt; "&amp;F641&amp;" p"&amp;G641</f>
        <v/>
      </c>
      <c r="R641" s="9" t="inlineStr">
        <is>
          <t>ODF-02</t>
        </is>
      </c>
      <c r="S641" s="9" t="inlineStr">
        <is>
          <t>Phải</t>
        </is>
      </c>
      <c r="T641" s="9" t="inlineStr">
        <is>
          <t>H1-C5</t>
        </is>
      </c>
      <c r="U641" s="9" t="inlineStr">
        <is>
          <t>B-38</t>
        </is>
      </c>
    </row>
    <row r="642">
      <c r="A642" s="151" t="inlineStr">
        <is>
          <t>B-3-13</t>
        </is>
      </c>
      <c r="B642" s="102" t="inlineStr">
        <is>
          <t>B</t>
        </is>
      </c>
      <c r="C642" s="102" t="inlineStr">
        <is>
          <t>3</t>
        </is>
      </c>
      <c r="D642" s="102" t="n">
        <v>13</v>
      </c>
      <c r="E642" s="102" t="inlineStr">
        <is>
          <t>TU-B2</t>
        </is>
      </c>
      <c r="F642" s="102" t="inlineStr">
        <is>
          <t>TU-B2/S5</t>
        </is>
      </c>
      <c r="G642" s="102" t="n">
        <v>4</v>
      </c>
      <c r="H642" s="102" t="inlineStr">
        <is>
          <t>TR-B1</t>
        </is>
      </c>
      <c r="I642" s="102" t="n">
        <v>5</v>
      </c>
      <c r="J642" s="102" t="inlineStr">
        <is>
          <t>Ống 1 Xanh dương / Xám</t>
        </is>
      </c>
      <c r="K642" s="102" t="inlineStr">
        <is>
          <t>S4-10</t>
        </is>
      </c>
      <c r="L642" s="102" t="inlineStr">
        <is>
          <t>B-6</t>
        </is>
      </c>
      <c r="M642" s="102" t="inlineStr">
        <is>
          <t>PON-10</t>
        </is>
      </c>
      <c r="N642" s="102" t="inlineStr">
        <is>
          <t>Chưa lắp</t>
        </is>
      </c>
      <c r="O642" s="151" t="n"/>
      <c r="P642" s="152" t="n"/>
      <c r="Q642" s="13">
        <f>M642&amp;" &gt; P96#"&amp;U642&amp;" &gt; "&amp;K642&amp;" &gt; P96#"&amp;L642&amp;" &gt; "&amp;R642&amp;" "&amp;S642&amp;" "&amp;T642&amp;" &gt; "&amp;H642&amp;"#"&amp;I642&amp;" &gt; "&amp;F642&amp;" p"&amp;G642</f>
        <v/>
      </c>
      <c r="R642" s="9" t="inlineStr">
        <is>
          <t>ODF-02</t>
        </is>
      </c>
      <c r="S642" s="9" t="inlineStr">
        <is>
          <t>Phải</t>
        </is>
      </c>
      <c r="T642" s="9" t="inlineStr">
        <is>
          <t>H1-C5</t>
        </is>
      </c>
      <c r="U642" s="9" t="inlineStr">
        <is>
          <t>B-38</t>
        </is>
      </c>
    </row>
    <row r="643">
      <c r="A643" s="151" t="inlineStr">
        <is>
          <t>B-3-14</t>
        </is>
      </c>
      <c r="B643" s="102" t="inlineStr">
        <is>
          <t>B</t>
        </is>
      </c>
      <c r="C643" s="102" t="inlineStr">
        <is>
          <t>3</t>
        </is>
      </c>
      <c r="D643" s="102" t="n">
        <v>14</v>
      </c>
      <c r="E643" s="102" t="inlineStr">
        <is>
          <t>TU-B2</t>
        </is>
      </c>
      <c r="F643" s="102" t="inlineStr">
        <is>
          <t>TU-B2/S5</t>
        </is>
      </c>
      <c r="G643" s="102" t="n">
        <v>5</v>
      </c>
      <c r="H643" s="102" t="inlineStr">
        <is>
          <t>TR-B1</t>
        </is>
      </c>
      <c r="I643" s="102" t="n">
        <v>5</v>
      </c>
      <c r="J643" s="102" t="inlineStr">
        <is>
          <t>Ống 1 Xanh dương / Xám</t>
        </is>
      </c>
      <c r="K643" s="102" t="inlineStr">
        <is>
          <t>S4-10</t>
        </is>
      </c>
      <c r="L643" s="102" t="inlineStr">
        <is>
          <t>B-6</t>
        </is>
      </c>
      <c r="M643" s="102" t="inlineStr">
        <is>
          <t>PON-10</t>
        </is>
      </c>
      <c r="N643" s="102" t="inlineStr">
        <is>
          <t>Chưa lắp</t>
        </is>
      </c>
      <c r="O643" s="151" t="n"/>
      <c r="P643" s="152" t="n"/>
      <c r="Q643" s="13">
        <f>M643&amp;" &gt; P96#"&amp;U643&amp;" &gt; "&amp;K643&amp;" &gt; P96#"&amp;L643&amp;" &gt; "&amp;R643&amp;" "&amp;S643&amp;" "&amp;T643&amp;" &gt; "&amp;H643&amp;"#"&amp;I643&amp;" &gt; "&amp;F643&amp;" p"&amp;G643</f>
        <v/>
      </c>
      <c r="R643" s="9" t="inlineStr">
        <is>
          <t>ODF-02</t>
        </is>
      </c>
      <c r="S643" s="9" t="inlineStr">
        <is>
          <t>Phải</t>
        </is>
      </c>
      <c r="T643" s="9" t="inlineStr">
        <is>
          <t>H1-C5</t>
        </is>
      </c>
      <c r="U643" s="9" t="inlineStr">
        <is>
          <t>B-38</t>
        </is>
      </c>
    </row>
    <row r="644">
      <c r="A644" s="151" t="inlineStr">
        <is>
          <t>B-3-15</t>
        </is>
      </c>
      <c r="B644" s="102" t="inlineStr">
        <is>
          <t>B</t>
        </is>
      </c>
      <c r="C644" s="102" t="inlineStr">
        <is>
          <t>3</t>
        </is>
      </c>
      <c r="D644" s="102" t="n">
        <v>15</v>
      </c>
      <c r="E644" s="102" t="inlineStr">
        <is>
          <t>TU-B2</t>
        </is>
      </c>
      <c r="F644" s="102" t="inlineStr">
        <is>
          <t>TU-B2/S5</t>
        </is>
      </c>
      <c r="G644" s="102" t="n">
        <v>6</v>
      </c>
      <c r="H644" s="102" t="inlineStr">
        <is>
          <t>TR-B1</t>
        </is>
      </c>
      <c r="I644" s="102" t="n">
        <v>5</v>
      </c>
      <c r="J644" s="102" t="inlineStr">
        <is>
          <t>Ống 1 Xanh dương / Xám</t>
        </is>
      </c>
      <c r="K644" s="102" t="inlineStr">
        <is>
          <t>S4-10</t>
        </is>
      </c>
      <c r="L644" s="102" t="inlineStr">
        <is>
          <t>B-6</t>
        </is>
      </c>
      <c r="M644" s="102" t="inlineStr">
        <is>
          <t>PON-10</t>
        </is>
      </c>
      <c r="N644" s="102" t="inlineStr">
        <is>
          <t>Chưa lắp</t>
        </is>
      </c>
      <c r="O644" s="151" t="n"/>
      <c r="P644" s="152" t="n"/>
      <c r="Q644" s="13">
        <f>M644&amp;" &gt; P96#"&amp;U644&amp;" &gt; "&amp;K644&amp;" &gt; P96#"&amp;L644&amp;" &gt; "&amp;R644&amp;" "&amp;S644&amp;" "&amp;T644&amp;" &gt; "&amp;H644&amp;"#"&amp;I644&amp;" &gt; "&amp;F644&amp;" p"&amp;G644</f>
        <v/>
      </c>
      <c r="R644" s="9" t="inlineStr">
        <is>
          <t>ODF-02</t>
        </is>
      </c>
      <c r="S644" s="9" t="inlineStr">
        <is>
          <t>Phải</t>
        </is>
      </c>
      <c r="T644" s="9" t="inlineStr">
        <is>
          <t>H1-C5</t>
        </is>
      </c>
      <c r="U644" s="9" t="inlineStr">
        <is>
          <t>B-38</t>
        </is>
      </c>
    </row>
    <row r="645">
      <c r="A645" s="151" t="inlineStr">
        <is>
          <t>B-3-16</t>
        </is>
      </c>
      <c r="B645" s="102" t="inlineStr">
        <is>
          <t>B</t>
        </is>
      </c>
      <c r="C645" s="102" t="inlineStr">
        <is>
          <t>3</t>
        </is>
      </c>
      <c r="D645" s="102" t="n">
        <v>16</v>
      </c>
      <c r="E645" s="102" t="inlineStr">
        <is>
          <t>TU-B2</t>
        </is>
      </c>
      <c r="F645" s="102" t="inlineStr">
        <is>
          <t>TU-B2/S5</t>
        </is>
      </c>
      <c r="G645" s="102" t="n">
        <v>7</v>
      </c>
      <c r="H645" s="102" t="inlineStr">
        <is>
          <t>TR-B1</t>
        </is>
      </c>
      <c r="I645" s="102" t="n">
        <v>5</v>
      </c>
      <c r="J645" s="102" t="inlineStr">
        <is>
          <t>Ống 1 Xanh dương / Xám</t>
        </is>
      </c>
      <c r="K645" s="102" t="inlineStr">
        <is>
          <t>S4-10</t>
        </is>
      </c>
      <c r="L645" s="102" t="inlineStr">
        <is>
          <t>B-6</t>
        </is>
      </c>
      <c r="M645" s="102" t="inlineStr">
        <is>
          <t>PON-10</t>
        </is>
      </c>
      <c r="N645" s="102" t="inlineStr">
        <is>
          <t>Chưa lắp</t>
        </is>
      </c>
      <c r="O645" s="151" t="n"/>
      <c r="P645" s="152" t="n"/>
      <c r="Q645" s="13">
        <f>M645&amp;" &gt; P96#"&amp;U645&amp;" &gt; "&amp;K645&amp;" &gt; P96#"&amp;L645&amp;" &gt; "&amp;R645&amp;" "&amp;S645&amp;" "&amp;T645&amp;" &gt; "&amp;H645&amp;"#"&amp;I645&amp;" &gt; "&amp;F645&amp;" p"&amp;G645</f>
        <v/>
      </c>
      <c r="R645" s="9" t="inlineStr">
        <is>
          <t>ODF-02</t>
        </is>
      </c>
      <c r="S645" s="9" t="inlineStr">
        <is>
          <t>Phải</t>
        </is>
      </c>
      <c r="T645" s="9" t="inlineStr">
        <is>
          <t>H1-C5</t>
        </is>
      </c>
      <c r="U645" s="9" t="inlineStr">
        <is>
          <t>B-38</t>
        </is>
      </c>
    </row>
    <row r="646">
      <c r="A646" s="149" t="inlineStr">
        <is>
          <t>B-3-17</t>
        </is>
      </c>
      <c r="B646" s="99" t="inlineStr">
        <is>
          <t>B</t>
        </is>
      </c>
      <c r="C646" s="99" t="inlineStr">
        <is>
          <t>3</t>
        </is>
      </c>
      <c r="D646" s="99" t="n">
        <v>17</v>
      </c>
      <c r="E646" s="99" t="inlineStr">
        <is>
          <t>TU-B2</t>
        </is>
      </c>
      <c r="F646" s="99" t="inlineStr">
        <is>
          <t>TU-B2/S5</t>
        </is>
      </c>
      <c r="G646" s="99" t="n">
        <v>8</v>
      </c>
      <c r="H646" s="99" t="inlineStr">
        <is>
          <t>TR-B1</t>
        </is>
      </c>
      <c r="I646" s="99" t="n">
        <v>5</v>
      </c>
      <c r="J646" s="99" t="inlineStr">
        <is>
          <t>Ống 1 Xanh dương / Xám</t>
        </is>
      </c>
      <c r="K646" s="99" t="inlineStr">
        <is>
          <t>S4-10</t>
        </is>
      </c>
      <c r="L646" s="99" t="inlineStr">
        <is>
          <t>B-6</t>
        </is>
      </c>
      <c r="M646" s="99" t="inlineStr">
        <is>
          <t>PON-10</t>
        </is>
      </c>
      <c r="N646" s="99" t="inlineStr">
        <is>
          <t>Chưa lắp</t>
        </is>
      </c>
      <c r="O646" s="149" t="n"/>
      <c r="P646" s="150" t="n"/>
      <c r="Q646" s="13">
        <f>M646&amp;" &gt; P96#"&amp;U646&amp;" &gt; "&amp;K646&amp;" &gt; P96#"&amp;L646&amp;" &gt; "&amp;R646&amp;" "&amp;S646&amp;" "&amp;T646&amp;" &gt; "&amp;H646&amp;"#"&amp;I646&amp;" &gt; "&amp;F646&amp;" p"&amp;G646</f>
        <v/>
      </c>
      <c r="R646" s="9" t="inlineStr">
        <is>
          <t>ODF-02</t>
        </is>
      </c>
      <c r="S646" s="9" t="inlineStr">
        <is>
          <t>Phải</t>
        </is>
      </c>
      <c r="T646" s="9" t="inlineStr">
        <is>
          <t>H1-C5</t>
        </is>
      </c>
      <c r="U646" s="9" t="inlineStr">
        <is>
          <t>B-38</t>
        </is>
      </c>
    </row>
    <row r="647">
      <c r="A647" s="149" t="inlineStr">
        <is>
          <t>B-2-01</t>
        </is>
      </c>
      <c r="B647" s="99" t="inlineStr">
        <is>
          <t>B</t>
        </is>
      </c>
      <c r="C647" s="99" t="inlineStr">
        <is>
          <t>2</t>
        </is>
      </c>
      <c r="D647" s="99" t="n">
        <v>1</v>
      </c>
      <c r="E647" s="99" t="inlineStr">
        <is>
          <t>TU-B2</t>
        </is>
      </c>
      <c r="F647" s="99" t="inlineStr">
        <is>
          <t>TU-B2/S2</t>
        </is>
      </c>
      <c r="G647" s="99" t="n">
        <v>1</v>
      </c>
      <c r="H647" s="99" t="inlineStr">
        <is>
          <t>TR-B1</t>
        </is>
      </c>
      <c r="I647" s="99" t="n">
        <v>2</v>
      </c>
      <c r="J647" s="99" t="inlineStr">
        <is>
          <t>Ống 1 Xanh dương / Cam</t>
        </is>
      </c>
      <c r="K647" s="99" t="inlineStr">
        <is>
          <t>S4-09</t>
        </is>
      </c>
      <c r="L647" s="99" t="inlineStr">
        <is>
          <t>B-2</t>
        </is>
      </c>
      <c r="M647" s="99" t="inlineStr">
        <is>
          <t>PON-09</t>
        </is>
      </c>
      <c r="N647" s="99" t="inlineStr">
        <is>
          <t>Chưa lắp</t>
        </is>
      </c>
      <c r="O647" s="149" t="n"/>
      <c r="P647" s="150" t="n"/>
      <c r="Q647" s="13">
        <f>M647&amp;" &gt; P96#"&amp;U647&amp;" &gt; "&amp;K647&amp;" &gt; P96#"&amp;L647&amp;" &gt; "&amp;R647&amp;" "&amp;S647&amp;" "&amp;T647&amp;" &gt; "&amp;H647&amp;"#"&amp;I647&amp;" &gt; "&amp;F647&amp;" p"&amp;G647</f>
        <v/>
      </c>
      <c r="R647" s="9" t="inlineStr">
        <is>
          <t>ODF-02</t>
        </is>
      </c>
      <c r="S647" s="9" t="inlineStr">
        <is>
          <t>Phải</t>
        </is>
      </c>
      <c r="T647" s="9" t="inlineStr">
        <is>
          <t>H1-C2</t>
        </is>
      </c>
      <c r="U647" s="9" t="inlineStr">
        <is>
          <t>B-37</t>
        </is>
      </c>
    </row>
    <row r="648">
      <c r="A648" s="149" t="inlineStr">
        <is>
          <t>B-2-02</t>
        </is>
      </c>
      <c r="B648" s="99" t="inlineStr">
        <is>
          <t>B</t>
        </is>
      </c>
      <c r="C648" s="99" t="inlineStr">
        <is>
          <t>2</t>
        </is>
      </c>
      <c r="D648" s="99" t="n">
        <v>2</v>
      </c>
      <c r="E648" s="99" t="inlineStr">
        <is>
          <t>TU-B2</t>
        </is>
      </c>
      <c r="F648" s="99" t="inlineStr">
        <is>
          <t>TU-B2/S2</t>
        </is>
      </c>
      <c r="G648" s="99" t="n">
        <v>2</v>
      </c>
      <c r="H648" s="99" t="inlineStr">
        <is>
          <t>TR-B1</t>
        </is>
      </c>
      <c r="I648" s="99" t="n">
        <v>2</v>
      </c>
      <c r="J648" s="99" t="inlineStr">
        <is>
          <t>Ống 1 Xanh dương / Cam</t>
        </is>
      </c>
      <c r="K648" s="99" t="inlineStr">
        <is>
          <t>S4-09</t>
        </is>
      </c>
      <c r="L648" s="99" t="inlineStr">
        <is>
          <t>B-2</t>
        </is>
      </c>
      <c r="M648" s="99" t="inlineStr">
        <is>
          <t>PON-09</t>
        </is>
      </c>
      <c r="N648" s="99" t="inlineStr">
        <is>
          <t>Chưa lắp</t>
        </is>
      </c>
      <c r="O648" s="149" t="n"/>
      <c r="P648" s="150" t="n"/>
      <c r="Q648" s="13">
        <f>M648&amp;" &gt; P96#"&amp;U648&amp;" &gt; "&amp;K648&amp;" &gt; P96#"&amp;L648&amp;" &gt; "&amp;R648&amp;" "&amp;S648&amp;" "&amp;T648&amp;" &gt; "&amp;H648&amp;"#"&amp;I648&amp;" &gt; "&amp;F648&amp;" p"&amp;G648</f>
        <v/>
      </c>
      <c r="R648" s="9" t="inlineStr">
        <is>
          <t>ODF-02</t>
        </is>
      </c>
      <c r="S648" s="9" t="inlineStr">
        <is>
          <t>Phải</t>
        </is>
      </c>
      <c r="T648" s="9" t="inlineStr">
        <is>
          <t>H1-C2</t>
        </is>
      </c>
      <c r="U648" s="9" t="inlineStr">
        <is>
          <t>B-37</t>
        </is>
      </c>
    </row>
    <row r="649">
      <c r="A649" s="149" t="inlineStr">
        <is>
          <t>B-2-03</t>
        </is>
      </c>
      <c r="B649" s="99" t="inlineStr">
        <is>
          <t>B</t>
        </is>
      </c>
      <c r="C649" s="99" t="inlineStr">
        <is>
          <t>2</t>
        </is>
      </c>
      <c r="D649" s="99" t="n">
        <v>3</v>
      </c>
      <c r="E649" s="99" t="inlineStr">
        <is>
          <t>TU-B2</t>
        </is>
      </c>
      <c r="F649" s="99" t="inlineStr">
        <is>
          <t>TU-B2/S2</t>
        </is>
      </c>
      <c r="G649" s="99" t="n">
        <v>3</v>
      </c>
      <c r="H649" s="99" t="inlineStr">
        <is>
          <t>TR-B1</t>
        </is>
      </c>
      <c r="I649" s="99" t="n">
        <v>2</v>
      </c>
      <c r="J649" s="99" t="inlineStr">
        <is>
          <t>Ống 1 Xanh dương / Cam</t>
        </is>
      </c>
      <c r="K649" s="99" t="inlineStr">
        <is>
          <t>S4-09</t>
        </is>
      </c>
      <c r="L649" s="99" t="inlineStr">
        <is>
          <t>B-2</t>
        </is>
      </c>
      <c r="M649" s="99" t="inlineStr">
        <is>
          <t>PON-09</t>
        </is>
      </c>
      <c r="N649" s="99" t="inlineStr">
        <is>
          <t>Chưa lắp</t>
        </is>
      </c>
      <c r="O649" s="149" t="n"/>
      <c r="P649" s="150" t="n"/>
      <c r="Q649" s="13">
        <f>M649&amp;" &gt; P96#"&amp;U649&amp;" &gt; "&amp;K649&amp;" &gt; P96#"&amp;L649&amp;" &gt; "&amp;R649&amp;" "&amp;S649&amp;" "&amp;T649&amp;" &gt; "&amp;H649&amp;"#"&amp;I649&amp;" &gt; "&amp;F649&amp;" p"&amp;G649</f>
        <v/>
      </c>
      <c r="R649" s="9" t="inlineStr">
        <is>
          <t>ODF-02</t>
        </is>
      </c>
      <c r="S649" s="9" t="inlineStr">
        <is>
          <t>Phải</t>
        </is>
      </c>
      <c r="T649" s="9" t="inlineStr">
        <is>
          <t>H1-C2</t>
        </is>
      </c>
      <c r="U649" s="9" t="inlineStr">
        <is>
          <t>B-37</t>
        </is>
      </c>
    </row>
    <row r="650">
      <c r="A650" s="149" t="inlineStr">
        <is>
          <t>B-2-04</t>
        </is>
      </c>
      <c r="B650" s="99" t="inlineStr">
        <is>
          <t>B</t>
        </is>
      </c>
      <c r="C650" s="99" t="inlineStr">
        <is>
          <t>2</t>
        </is>
      </c>
      <c r="D650" s="99" t="n">
        <v>4</v>
      </c>
      <c r="E650" s="99" t="inlineStr">
        <is>
          <t>TU-B2</t>
        </is>
      </c>
      <c r="F650" s="99" t="inlineStr">
        <is>
          <t>TU-B2/S2</t>
        </is>
      </c>
      <c r="G650" s="99" t="n">
        <v>4</v>
      </c>
      <c r="H650" s="99" t="inlineStr">
        <is>
          <t>TR-B1</t>
        </is>
      </c>
      <c r="I650" s="99" t="n">
        <v>2</v>
      </c>
      <c r="J650" s="99" t="inlineStr">
        <is>
          <t>Ống 1 Xanh dương / Cam</t>
        </is>
      </c>
      <c r="K650" s="99" t="inlineStr">
        <is>
          <t>S4-09</t>
        </is>
      </c>
      <c r="L650" s="99" t="inlineStr">
        <is>
          <t>B-2</t>
        </is>
      </c>
      <c r="M650" s="99" t="inlineStr">
        <is>
          <t>PON-09</t>
        </is>
      </c>
      <c r="N650" s="99" t="inlineStr">
        <is>
          <t>Chưa lắp</t>
        </is>
      </c>
      <c r="O650" s="149" t="n"/>
      <c r="P650" s="150" t="n"/>
      <c r="Q650" s="13">
        <f>M650&amp;" &gt; P96#"&amp;U650&amp;" &gt; "&amp;K650&amp;" &gt; P96#"&amp;L650&amp;" &gt; "&amp;R650&amp;" "&amp;S650&amp;" "&amp;T650&amp;" &gt; "&amp;H650&amp;"#"&amp;I650&amp;" &gt; "&amp;F650&amp;" p"&amp;G650</f>
        <v/>
      </c>
      <c r="R650" s="9" t="inlineStr">
        <is>
          <t>ODF-02</t>
        </is>
      </c>
      <c r="S650" s="9" t="inlineStr">
        <is>
          <t>Phải</t>
        </is>
      </c>
      <c r="T650" s="9" t="inlineStr">
        <is>
          <t>H1-C2</t>
        </is>
      </c>
      <c r="U650" s="9" t="inlineStr">
        <is>
          <t>B-37</t>
        </is>
      </c>
    </row>
    <row r="651">
      <c r="A651" s="149" t="inlineStr">
        <is>
          <t>B-2-05</t>
        </is>
      </c>
      <c r="B651" s="99" t="inlineStr">
        <is>
          <t>B</t>
        </is>
      </c>
      <c r="C651" s="99" t="inlineStr">
        <is>
          <t>2</t>
        </is>
      </c>
      <c r="D651" s="99" t="n">
        <v>5</v>
      </c>
      <c r="E651" s="99" t="inlineStr">
        <is>
          <t>TU-B2</t>
        </is>
      </c>
      <c r="F651" s="99" t="inlineStr">
        <is>
          <t>TU-B2/S2</t>
        </is>
      </c>
      <c r="G651" s="99" t="n">
        <v>5</v>
      </c>
      <c r="H651" s="99" t="inlineStr">
        <is>
          <t>TR-B1</t>
        </is>
      </c>
      <c r="I651" s="99" t="n">
        <v>2</v>
      </c>
      <c r="J651" s="99" t="inlineStr">
        <is>
          <t>Ống 1 Xanh dương / Cam</t>
        </is>
      </c>
      <c r="K651" s="99" t="inlineStr">
        <is>
          <t>S4-09</t>
        </is>
      </c>
      <c r="L651" s="99" t="inlineStr">
        <is>
          <t>B-2</t>
        </is>
      </c>
      <c r="M651" s="99" t="inlineStr">
        <is>
          <t>PON-09</t>
        </is>
      </c>
      <c r="N651" s="99" t="inlineStr">
        <is>
          <t>Chưa lắp</t>
        </is>
      </c>
      <c r="O651" s="149" t="n"/>
      <c r="P651" s="150" t="n"/>
      <c r="Q651" s="13">
        <f>M651&amp;" &gt; P96#"&amp;U651&amp;" &gt; "&amp;K651&amp;" &gt; P96#"&amp;L651&amp;" &gt; "&amp;R651&amp;" "&amp;S651&amp;" "&amp;T651&amp;" &gt; "&amp;H651&amp;"#"&amp;I651&amp;" &gt; "&amp;F651&amp;" p"&amp;G651</f>
        <v/>
      </c>
      <c r="R651" s="9" t="inlineStr">
        <is>
          <t>ODF-02</t>
        </is>
      </c>
      <c r="S651" s="9" t="inlineStr">
        <is>
          <t>Phải</t>
        </is>
      </c>
      <c r="T651" s="9" t="inlineStr">
        <is>
          <t>H1-C2</t>
        </is>
      </c>
      <c r="U651" s="9" t="inlineStr">
        <is>
          <t>B-37</t>
        </is>
      </c>
    </row>
    <row r="652">
      <c r="A652" s="149" t="inlineStr">
        <is>
          <t>B-2-06</t>
        </is>
      </c>
      <c r="B652" s="99" t="inlineStr">
        <is>
          <t>B</t>
        </is>
      </c>
      <c r="C652" s="99" t="inlineStr">
        <is>
          <t>2</t>
        </is>
      </c>
      <c r="D652" s="99" t="n">
        <v>6</v>
      </c>
      <c r="E652" s="99" t="inlineStr">
        <is>
          <t>TU-B2</t>
        </is>
      </c>
      <c r="F652" s="99" t="inlineStr">
        <is>
          <t>TU-B2/S2</t>
        </is>
      </c>
      <c r="G652" s="99" t="n">
        <v>6</v>
      </c>
      <c r="H652" s="99" t="inlineStr">
        <is>
          <t>TR-B1</t>
        </is>
      </c>
      <c r="I652" s="99" t="n">
        <v>2</v>
      </c>
      <c r="J652" s="99" t="inlineStr">
        <is>
          <t>Ống 1 Xanh dương / Cam</t>
        </is>
      </c>
      <c r="K652" s="99" t="inlineStr">
        <is>
          <t>S4-09</t>
        </is>
      </c>
      <c r="L652" s="99" t="inlineStr">
        <is>
          <t>B-2</t>
        </is>
      </c>
      <c r="M652" s="99" t="inlineStr">
        <is>
          <t>PON-09</t>
        </is>
      </c>
      <c r="N652" s="99" t="inlineStr">
        <is>
          <t>Chưa lắp</t>
        </is>
      </c>
      <c r="O652" s="149" t="n"/>
      <c r="P652" s="150" t="n"/>
      <c r="Q652" s="13">
        <f>M652&amp;" &gt; P96#"&amp;U652&amp;" &gt; "&amp;K652&amp;" &gt; P96#"&amp;L652&amp;" &gt; "&amp;R652&amp;" "&amp;S652&amp;" "&amp;T652&amp;" &gt; "&amp;H652&amp;"#"&amp;I652&amp;" &gt; "&amp;F652&amp;" p"&amp;G652</f>
        <v/>
      </c>
      <c r="R652" s="9" t="inlineStr">
        <is>
          <t>ODF-02</t>
        </is>
      </c>
      <c r="S652" s="9" t="inlineStr">
        <is>
          <t>Phải</t>
        </is>
      </c>
      <c r="T652" s="9" t="inlineStr">
        <is>
          <t>H1-C2</t>
        </is>
      </c>
      <c r="U652" s="9" t="inlineStr">
        <is>
          <t>B-37</t>
        </is>
      </c>
    </row>
    <row r="653">
      <c r="A653" s="149" t="inlineStr">
        <is>
          <t>B-2-07</t>
        </is>
      </c>
      <c r="B653" s="99" t="inlineStr">
        <is>
          <t>B</t>
        </is>
      </c>
      <c r="C653" s="99" t="inlineStr">
        <is>
          <t>2</t>
        </is>
      </c>
      <c r="D653" s="99" t="n">
        <v>7</v>
      </c>
      <c r="E653" s="99" t="inlineStr">
        <is>
          <t>TU-B2</t>
        </is>
      </c>
      <c r="F653" s="99" t="inlineStr">
        <is>
          <t>TU-B2/S2</t>
        </is>
      </c>
      <c r="G653" s="99" t="n">
        <v>7</v>
      </c>
      <c r="H653" s="99" t="inlineStr">
        <is>
          <t>TR-B1</t>
        </is>
      </c>
      <c r="I653" s="99" t="n">
        <v>2</v>
      </c>
      <c r="J653" s="99" t="inlineStr">
        <is>
          <t>Ống 1 Xanh dương / Cam</t>
        </is>
      </c>
      <c r="K653" s="99" t="inlineStr">
        <is>
          <t>S4-09</t>
        </is>
      </c>
      <c r="L653" s="99" t="inlineStr">
        <is>
          <t>B-2</t>
        </is>
      </c>
      <c r="M653" s="99" t="inlineStr">
        <is>
          <t>PON-09</t>
        </is>
      </c>
      <c r="N653" s="99" t="inlineStr">
        <is>
          <t>Chưa lắp</t>
        </is>
      </c>
      <c r="O653" s="149" t="n"/>
      <c r="P653" s="150" t="n"/>
      <c r="Q653" s="13">
        <f>M653&amp;" &gt; P96#"&amp;U653&amp;" &gt; "&amp;K653&amp;" &gt; P96#"&amp;L653&amp;" &gt; "&amp;R653&amp;" "&amp;S653&amp;" "&amp;T653&amp;" &gt; "&amp;H653&amp;"#"&amp;I653&amp;" &gt; "&amp;F653&amp;" p"&amp;G653</f>
        <v/>
      </c>
      <c r="R653" s="9" t="inlineStr">
        <is>
          <t>ODF-02</t>
        </is>
      </c>
      <c r="S653" s="9" t="inlineStr">
        <is>
          <t>Phải</t>
        </is>
      </c>
      <c r="T653" s="9" t="inlineStr">
        <is>
          <t>H1-C2</t>
        </is>
      </c>
      <c r="U653" s="9" t="inlineStr">
        <is>
          <t>B-37</t>
        </is>
      </c>
    </row>
    <row r="654">
      <c r="A654" s="149" t="inlineStr">
        <is>
          <t>B-2-08</t>
        </is>
      </c>
      <c r="B654" s="99" t="inlineStr">
        <is>
          <t>B</t>
        </is>
      </c>
      <c r="C654" s="99" t="inlineStr">
        <is>
          <t>2</t>
        </is>
      </c>
      <c r="D654" s="99" t="n">
        <v>8</v>
      </c>
      <c r="E654" s="99" t="inlineStr">
        <is>
          <t>TU-B2</t>
        </is>
      </c>
      <c r="F654" s="99" t="inlineStr">
        <is>
          <t>TU-B2/S2</t>
        </is>
      </c>
      <c r="G654" s="99" t="n">
        <v>8</v>
      </c>
      <c r="H654" s="99" t="inlineStr">
        <is>
          <t>TR-B1</t>
        </is>
      </c>
      <c r="I654" s="99" t="n">
        <v>2</v>
      </c>
      <c r="J654" s="99" t="inlineStr">
        <is>
          <t>Ống 1 Xanh dương / Cam</t>
        </is>
      </c>
      <c r="K654" s="99" t="inlineStr">
        <is>
          <t>S4-09</t>
        </is>
      </c>
      <c r="L654" s="99" t="inlineStr">
        <is>
          <t>B-2</t>
        </is>
      </c>
      <c r="M654" s="99" t="inlineStr">
        <is>
          <t>PON-09</t>
        </is>
      </c>
      <c r="N654" s="99" t="inlineStr">
        <is>
          <t>Chưa lắp</t>
        </is>
      </c>
      <c r="O654" s="149" t="n"/>
      <c r="P654" s="150" t="n"/>
      <c r="Q654" s="13">
        <f>M654&amp;" &gt; P96#"&amp;U654&amp;" &gt; "&amp;K654&amp;" &gt; P96#"&amp;L654&amp;" &gt; "&amp;R654&amp;" "&amp;S654&amp;" "&amp;T654&amp;" &gt; "&amp;H654&amp;"#"&amp;I654&amp;" &gt; "&amp;F654&amp;" p"&amp;G654</f>
        <v/>
      </c>
      <c r="R654" s="9" t="inlineStr">
        <is>
          <t>ODF-02</t>
        </is>
      </c>
      <c r="S654" s="9" t="inlineStr">
        <is>
          <t>Phải</t>
        </is>
      </c>
      <c r="T654" s="9" t="inlineStr">
        <is>
          <t>H1-C2</t>
        </is>
      </c>
      <c r="U654" s="9" t="inlineStr">
        <is>
          <t>B-37</t>
        </is>
      </c>
    </row>
    <row r="655">
      <c r="A655" s="149" t="inlineStr">
        <is>
          <t>B-2-09</t>
        </is>
      </c>
      <c r="B655" s="99" t="inlineStr">
        <is>
          <t>B</t>
        </is>
      </c>
      <c r="C655" s="99" t="inlineStr">
        <is>
          <t>2</t>
        </is>
      </c>
      <c r="D655" s="99" t="n">
        <v>9</v>
      </c>
      <c r="E655" s="99" t="inlineStr">
        <is>
          <t>TU-B2</t>
        </is>
      </c>
      <c r="F655" s="99" t="inlineStr">
        <is>
          <t>TU-B2/S2</t>
        </is>
      </c>
      <c r="G655" s="99" t="n">
        <v>9</v>
      </c>
      <c r="H655" s="99" t="inlineStr">
        <is>
          <t>TR-B1</t>
        </is>
      </c>
      <c r="I655" s="99" t="n">
        <v>2</v>
      </c>
      <c r="J655" s="99" t="inlineStr">
        <is>
          <t>Ống 1 Xanh dương / Cam</t>
        </is>
      </c>
      <c r="K655" s="99" t="inlineStr">
        <is>
          <t>S4-09</t>
        </is>
      </c>
      <c r="L655" s="99" t="inlineStr">
        <is>
          <t>B-2</t>
        </is>
      </c>
      <c r="M655" s="99" t="inlineStr">
        <is>
          <t>PON-09</t>
        </is>
      </c>
      <c r="N655" s="99" t="inlineStr">
        <is>
          <t>Chưa lắp</t>
        </is>
      </c>
      <c r="O655" s="149" t="n"/>
      <c r="P655" s="150" t="n"/>
      <c r="Q655" s="13">
        <f>M655&amp;" &gt; P96#"&amp;U655&amp;" &gt; "&amp;K655&amp;" &gt; P96#"&amp;L655&amp;" &gt; "&amp;R655&amp;" "&amp;S655&amp;" "&amp;T655&amp;" &gt; "&amp;H655&amp;"#"&amp;I655&amp;" &gt; "&amp;F655&amp;" p"&amp;G655</f>
        <v/>
      </c>
      <c r="R655" s="9" t="inlineStr">
        <is>
          <t>ODF-02</t>
        </is>
      </c>
      <c r="S655" s="9" t="inlineStr">
        <is>
          <t>Phải</t>
        </is>
      </c>
      <c r="T655" s="9" t="inlineStr">
        <is>
          <t>H1-C2</t>
        </is>
      </c>
      <c r="U655" s="9" t="inlineStr">
        <is>
          <t>B-37</t>
        </is>
      </c>
    </row>
    <row r="656">
      <c r="A656" s="149" t="inlineStr">
        <is>
          <t>B-2-10</t>
        </is>
      </c>
      <c r="B656" s="99" t="inlineStr">
        <is>
          <t>B</t>
        </is>
      </c>
      <c r="C656" s="99" t="inlineStr">
        <is>
          <t>2</t>
        </is>
      </c>
      <c r="D656" s="99" t="n">
        <v>10</v>
      </c>
      <c r="E656" s="99" t="inlineStr">
        <is>
          <t>TU-B2</t>
        </is>
      </c>
      <c r="F656" s="99" t="inlineStr">
        <is>
          <t>TU-B2/S2</t>
        </is>
      </c>
      <c r="G656" s="99" t="n">
        <v>10</v>
      </c>
      <c r="H656" s="99" t="inlineStr">
        <is>
          <t>TR-B1</t>
        </is>
      </c>
      <c r="I656" s="99" t="n">
        <v>2</v>
      </c>
      <c r="J656" s="99" t="inlineStr">
        <is>
          <t>Ống 1 Xanh dương / Cam</t>
        </is>
      </c>
      <c r="K656" s="99" t="inlineStr">
        <is>
          <t>S4-09</t>
        </is>
      </c>
      <c r="L656" s="99" t="inlineStr">
        <is>
          <t>B-2</t>
        </is>
      </c>
      <c r="M656" s="99" t="inlineStr">
        <is>
          <t>PON-09</t>
        </is>
      </c>
      <c r="N656" s="99" t="inlineStr">
        <is>
          <t>Chưa lắp</t>
        </is>
      </c>
      <c r="O656" s="149" t="n"/>
      <c r="P656" s="150" t="n"/>
      <c r="Q656" s="13">
        <f>M656&amp;" &gt; P96#"&amp;U656&amp;" &gt; "&amp;K656&amp;" &gt; P96#"&amp;L656&amp;" &gt; "&amp;R656&amp;" "&amp;S656&amp;" "&amp;T656&amp;" &gt; "&amp;H656&amp;"#"&amp;I656&amp;" &gt; "&amp;F656&amp;" p"&amp;G656</f>
        <v/>
      </c>
      <c r="R656" s="9" t="inlineStr">
        <is>
          <t>ODF-02</t>
        </is>
      </c>
      <c r="S656" s="9" t="inlineStr">
        <is>
          <t>Phải</t>
        </is>
      </c>
      <c r="T656" s="9" t="inlineStr">
        <is>
          <t>H1-C2</t>
        </is>
      </c>
      <c r="U656" s="9" t="inlineStr">
        <is>
          <t>B-37</t>
        </is>
      </c>
    </row>
    <row r="657">
      <c r="A657" s="149" t="inlineStr">
        <is>
          <t>B-2-11</t>
        </is>
      </c>
      <c r="B657" s="99" t="inlineStr">
        <is>
          <t>B</t>
        </is>
      </c>
      <c r="C657" s="99" t="inlineStr">
        <is>
          <t>2</t>
        </is>
      </c>
      <c r="D657" s="99" t="n">
        <v>11</v>
      </c>
      <c r="E657" s="99" t="inlineStr">
        <is>
          <t>TU-B2</t>
        </is>
      </c>
      <c r="F657" s="99" t="inlineStr">
        <is>
          <t>TU-B2/S2</t>
        </is>
      </c>
      <c r="G657" s="99" t="n">
        <v>11</v>
      </c>
      <c r="H657" s="99" t="inlineStr">
        <is>
          <t>TR-B1</t>
        </is>
      </c>
      <c r="I657" s="99" t="n">
        <v>2</v>
      </c>
      <c r="J657" s="99" t="inlineStr">
        <is>
          <t>Ống 1 Xanh dương / Cam</t>
        </is>
      </c>
      <c r="K657" s="99" t="inlineStr">
        <is>
          <t>S4-09</t>
        </is>
      </c>
      <c r="L657" s="99" t="inlineStr">
        <is>
          <t>B-2</t>
        </is>
      </c>
      <c r="M657" s="99" t="inlineStr">
        <is>
          <t>PON-09</t>
        </is>
      </c>
      <c r="N657" s="99" t="inlineStr">
        <is>
          <t>Chưa lắp</t>
        </is>
      </c>
      <c r="O657" s="149" t="n"/>
      <c r="P657" s="150" t="n"/>
      <c r="Q657" s="13">
        <f>M657&amp;" &gt; P96#"&amp;U657&amp;" &gt; "&amp;K657&amp;" &gt; P96#"&amp;L657&amp;" &gt; "&amp;R657&amp;" "&amp;S657&amp;" "&amp;T657&amp;" &gt; "&amp;H657&amp;"#"&amp;I657&amp;" &gt; "&amp;F657&amp;" p"&amp;G657</f>
        <v/>
      </c>
      <c r="R657" s="9" t="inlineStr">
        <is>
          <t>ODF-02</t>
        </is>
      </c>
      <c r="S657" s="9" t="inlineStr">
        <is>
          <t>Phải</t>
        </is>
      </c>
      <c r="T657" s="9" t="inlineStr">
        <is>
          <t>H1-C2</t>
        </is>
      </c>
      <c r="U657" s="9" t="inlineStr">
        <is>
          <t>B-37</t>
        </is>
      </c>
    </row>
    <row r="658">
      <c r="A658" s="149" t="inlineStr">
        <is>
          <t>B-2-12</t>
        </is>
      </c>
      <c r="B658" s="99" t="inlineStr">
        <is>
          <t>B</t>
        </is>
      </c>
      <c r="C658" s="99" t="inlineStr">
        <is>
          <t>2</t>
        </is>
      </c>
      <c r="D658" s="99" t="n">
        <v>12</v>
      </c>
      <c r="E658" s="99" t="inlineStr">
        <is>
          <t>TU-B2</t>
        </is>
      </c>
      <c r="F658" s="99" t="inlineStr">
        <is>
          <t>TU-B2/S3</t>
        </is>
      </c>
      <c r="G658" s="99" t="n">
        <v>1</v>
      </c>
      <c r="H658" s="99" t="inlineStr">
        <is>
          <t>TR-B1</t>
        </is>
      </c>
      <c r="I658" s="99" t="n">
        <v>3</v>
      </c>
      <c r="J658" s="99" t="inlineStr">
        <is>
          <t>Ống 1 Xanh dương / Xanh lá</t>
        </is>
      </c>
      <c r="K658" s="99" t="inlineStr">
        <is>
          <t>S4-09</t>
        </is>
      </c>
      <c r="L658" s="99" t="inlineStr">
        <is>
          <t>B-3</t>
        </is>
      </c>
      <c r="M658" s="99" t="inlineStr">
        <is>
          <t>PON-09</t>
        </is>
      </c>
      <c r="N658" s="99" t="inlineStr">
        <is>
          <t>Chưa lắp</t>
        </is>
      </c>
      <c r="O658" s="149" t="n"/>
      <c r="P658" s="150" t="n"/>
      <c r="Q658" s="13">
        <f>M658&amp;" &gt; P96#"&amp;U658&amp;" &gt; "&amp;K658&amp;" &gt; P96#"&amp;L658&amp;" &gt; "&amp;R658&amp;" "&amp;S658&amp;" "&amp;T658&amp;" &gt; "&amp;H658&amp;"#"&amp;I658&amp;" &gt; "&amp;F658&amp;" p"&amp;G658</f>
        <v/>
      </c>
      <c r="R658" s="9" t="inlineStr">
        <is>
          <t>ODF-02</t>
        </is>
      </c>
      <c r="S658" s="9" t="inlineStr">
        <is>
          <t>Phải</t>
        </is>
      </c>
      <c r="T658" s="9" t="inlineStr">
        <is>
          <t>H1-C3</t>
        </is>
      </c>
      <c r="U658" s="9" t="inlineStr">
        <is>
          <t>B-37</t>
        </is>
      </c>
    </row>
    <row r="659">
      <c r="A659" s="149" t="inlineStr">
        <is>
          <t>B-2-13</t>
        </is>
      </c>
      <c r="B659" s="99" t="inlineStr">
        <is>
          <t>B</t>
        </is>
      </c>
      <c r="C659" s="99" t="inlineStr">
        <is>
          <t>2</t>
        </is>
      </c>
      <c r="D659" s="99" t="n">
        <v>13</v>
      </c>
      <c r="E659" s="99" t="inlineStr">
        <is>
          <t>TU-B2</t>
        </is>
      </c>
      <c r="F659" s="99" t="inlineStr">
        <is>
          <t>TU-B2/S3</t>
        </is>
      </c>
      <c r="G659" s="99" t="n">
        <v>2</v>
      </c>
      <c r="H659" s="99" t="inlineStr">
        <is>
          <t>TR-B1</t>
        </is>
      </c>
      <c r="I659" s="99" t="n">
        <v>3</v>
      </c>
      <c r="J659" s="99" t="inlineStr">
        <is>
          <t>Ống 1 Xanh dương / Xanh lá</t>
        </is>
      </c>
      <c r="K659" s="99" t="inlineStr">
        <is>
          <t>S4-09</t>
        </is>
      </c>
      <c r="L659" s="99" t="inlineStr">
        <is>
          <t>B-3</t>
        </is>
      </c>
      <c r="M659" s="99" t="inlineStr">
        <is>
          <t>PON-09</t>
        </is>
      </c>
      <c r="N659" s="99" t="inlineStr">
        <is>
          <t>Chưa lắp</t>
        </is>
      </c>
      <c r="O659" s="149" t="n"/>
      <c r="P659" s="150" t="n"/>
      <c r="Q659" s="13">
        <f>M659&amp;" &gt; P96#"&amp;U659&amp;" &gt; "&amp;K659&amp;" &gt; P96#"&amp;L659&amp;" &gt; "&amp;R659&amp;" "&amp;S659&amp;" "&amp;T659&amp;" &gt; "&amp;H659&amp;"#"&amp;I659&amp;" &gt; "&amp;F659&amp;" p"&amp;G659</f>
        <v/>
      </c>
      <c r="R659" s="9" t="inlineStr">
        <is>
          <t>ODF-02</t>
        </is>
      </c>
      <c r="S659" s="9" t="inlineStr">
        <is>
          <t>Phải</t>
        </is>
      </c>
      <c r="T659" s="9" t="inlineStr">
        <is>
          <t>H1-C3</t>
        </is>
      </c>
      <c r="U659" s="9" t="inlineStr">
        <is>
          <t>B-37</t>
        </is>
      </c>
    </row>
    <row r="660">
      <c r="A660" s="151" t="inlineStr">
        <is>
          <t>B-2-14</t>
        </is>
      </c>
      <c r="B660" s="102" t="inlineStr">
        <is>
          <t>B</t>
        </is>
      </c>
      <c r="C660" s="102" t="inlineStr">
        <is>
          <t>2</t>
        </is>
      </c>
      <c r="D660" s="102" t="n">
        <v>14</v>
      </c>
      <c r="E660" s="102" t="inlineStr">
        <is>
          <t>TU-B2</t>
        </is>
      </c>
      <c r="F660" s="102" t="inlineStr">
        <is>
          <t>TU-B2/S3</t>
        </is>
      </c>
      <c r="G660" s="102" t="n">
        <v>3</v>
      </c>
      <c r="H660" s="102" t="inlineStr">
        <is>
          <t>TR-B1</t>
        </is>
      </c>
      <c r="I660" s="102" t="n">
        <v>3</v>
      </c>
      <c r="J660" s="102" t="inlineStr">
        <is>
          <t>Ống 1 Xanh dương / Xanh lá</t>
        </is>
      </c>
      <c r="K660" s="102" t="inlineStr">
        <is>
          <t>S4-09</t>
        </is>
      </c>
      <c r="L660" s="102" t="inlineStr">
        <is>
          <t>B-3</t>
        </is>
      </c>
      <c r="M660" s="102" t="inlineStr">
        <is>
          <t>PON-09</t>
        </is>
      </c>
      <c r="N660" s="102" t="inlineStr">
        <is>
          <t>Chưa lắp</t>
        </is>
      </c>
      <c r="O660" s="151" t="n"/>
      <c r="P660" s="152" t="n"/>
      <c r="Q660" s="13">
        <f>M660&amp;" &gt; P96#"&amp;U660&amp;" &gt; "&amp;K660&amp;" &gt; P96#"&amp;L660&amp;" &gt; "&amp;R660&amp;" "&amp;S660&amp;" "&amp;T660&amp;" &gt; "&amp;H660&amp;"#"&amp;I660&amp;" &gt; "&amp;F660&amp;" p"&amp;G660</f>
        <v/>
      </c>
      <c r="R660" s="9" t="inlineStr">
        <is>
          <t>ODF-02</t>
        </is>
      </c>
      <c r="S660" s="9" t="inlineStr">
        <is>
          <t>Phải</t>
        </is>
      </c>
      <c r="T660" s="9" t="inlineStr">
        <is>
          <t>H1-C3</t>
        </is>
      </c>
      <c r="U660" s="9" t="inlineStr">
        <is>
          <t>B-37</t>
        </is>
      </c>
    </row>
    <row r="661">
      <c r="A661" s="151" t="inlineStr">
        <is>
          <t>B-2-15</t>
        </is>
      </c>
      <c r="B661" s="102" t="inlineStr">
        <is>
          <t>B</t>
        </is>
      </c>
      <c r="C661" s="102" t="inlineStr">
        <is>
          <t>2</t>
        </is>
      </c>
      <c r="D661" s="102" t="n">
        <v>15</v>
      </c>
      <c r="E661" s="102" t="inlineStr">
        <is>
          <t>TU-B2</t>
        </is>
      </c>
      <c r="F661" s="102" t="inlineStr">
        <is>
          <t>TU-B2/S3</t>
        </is>
      </c>
      <c r="G661" s="102" t="n">
        <v>4</v>
      </c>
      <c r="H661" s="102" t="inlineStr">
        <is>
          <t>TR-B1</t>
        </is>
      </c>
      <c r="I661" s="102" t="n">
        <v>3</v>
      </c>
      <c r="J661" s="102" t="inlineStr">
        <is>
          <t>Ống 1 Xanh dương / Xanh lá</t>
        </is>
      </c>
      <c r="K661" s="102" t="inlineStr">
        <is>
          <t>S4-09</t>
        </is>
      </c>
      <c r="L661" s="102" t="inlineStr">
        <is>
          <t>B-3</t>
        </is>
      </c>
      <c r="M661" s="102" t="inlineStr">
        <is>
          <t>PON-09</t>
        </is>
      </c>
      <c r="N661" s="102" t="inlineStr">
        <is>
          <t>Chưa lắp</t>
        </is>
      </c>
      <c r="O661" s="151" t="n"/>
      <c r="P661" s="152" t="n"/>
      <c r="Q661" s="13">
        <f>M661&amp;" &gt; P96#"&amp;U661&amp;" &gt; "&amp;K661&amp;" &gt; P96#"&amp;L661&amp;" &gt; "&amp;R661&amp;" "&amp;S661&amp;" "&amp;T661&amp;" &gt; "&amp;H661&amp;"#"&amp;I661&amp;" &gt; "&amp;F661&amp;" p"&amp;G661</f>
        <v/>
      </c>
      <c r="R661" s="9" t="inlineStr">
        <is>
          <t>ODF-02</t>
        </is>
      </c>
      <c r="S661" s="9" t="inlineStr">
        <is>
          <t>Phải</t>
        </is>
      </c>
      <c r="T661" s="9" t="inlineStr">
        <is>
          <t>H1-C3</t>
        </is>
      </c>
      <c r="U661" s="9" t="inlineStr">
        <is>
          <t>B-37</t>
        </is>
      </c>
    </row>
    <row r="662">
      <c r="A662" s="151" t="inlineStr">
        <is>
          <t>B-2-16</t>
        </is>
      </c>
      <c r="B662" s="102" t="inlineStr">
        <is>
          <t>B</t>
        </is>
      </c>
      <c r="C662" s="102" t="inlineStr">
        <is>
          <t>2</t>
        </is>
      </c>
      <c r="D662" s="102" t="n">
        <v>16</v>
      </c>
      <c r="E662" s="102" t="inlineStr">
        <is>
          <t>TU-B2</t>
        </is>
      </c>
      <c r="F662" s="102" t="inlineStr">
        <is>
          <t>TU-B2/S3</t>
        </is>
      </c>
      <c r="G662" s="102" t="n">
        <v>5</v>
      </c>
      <c r="H662" s="102" t="inlineStr">
        <is>
          <t>TR-B1</t>
        </is>
      </c>
      <c r="I662" s="102" t="n">
        <v>3</v>
      </c>
      <c r="J662" s="102" t="inlineStr">
        <is>
          <t>Ống 1 Xanh dương / Xanh lá</t>
        </is>
      </c>
      <c r="K662" s="102" t="inlineStr">
        <is>
          <t>S4-09</t>
        </is>
      </c>
      <c r="L662" s="102" t="inlineStr">
        <is>
          <t>B-3</t>
        </is>
      </c>
      <c r="M662" s="102" t="inlineStr">
        <is>
          <t>PON-09</t>
        </is>
      </c>
      <c r="N662" s="102" t="inlineStr">
        <is>
          <t>Chưa lắp</t>
        </is>
      </c>
      <c r="O662" s="151" t="n"/>
      <c r="P662" s="152" t="n"/>
      <c r="Q662" s="13">
        <f>M662&amp;" &gt; P96#"&amp;U662&amp;" &gt; "&amp;K662&amp;" &gt; P96#"&amp;L662&amp;" &gt; "&amp;R662&amp;" "&amp;S662&amp;" "&amp;T662&amp;" &gt; "&amp;H662&amp;"#"&amp;I662&amp;" &gt; "&amp;F662&amp;" p"&amp;G662</f>
        <v/>
      </c>
      <c r="R662" s="9" t="inlineStr">
        <is>
          <t>ODF-02</t>
        </is>
      </c>
      <c r="S662" s="9" t="inlineStr">
        <is>
          <t>Phải</t>
        </is>
      </c>
      <c r="T662" s="9" t="inlineStr">
        <is>
          <t>H1-C3</t>
        </is>
      </c>
      <c r="U662" s="9" t="inlineStr">
        <is>
          <t>B-37</t>
        </is>
      </c>
    </row>
    <row r="663">
      <c r="A663" s="151" t="inlineStr">
        <is>
          <t>B-2-17</t>
        </is>
      </c>
      <c r="B663" s="102" t="inlineStr">
        <is>
          <t>B</t>
        </is>
      </c>
      <c r="C663" s="102" t="inlineStr">
        <is>
          <t>2</t>
        </is>
      </c>
      <c r="D663" s="102" t="n">
        <v>17</v>
      </c>
      <c r="E663" s="102" t="inlineStr">
        <is>
          <t>TU-B2</t>
        </is>
      </c>
      <c r="F663" s="102" t="inlineStr">
        <is>
          <t>TU-B2/S3</t>
        </is>
      </c>
      <c r="G663" s="102" t="n">
        <v>6</v>
      </c>
      <c r="H663" s="102" t="inlineStr">
        <is>
          <t>TR-B1</t>
        </is>
      </c>
      <c r="I663" s="102" t="n">
        <v>3</v>
      </c>
      <c r="J663" s="102" t="inlineStr">
        <is>
          <t>Ống 1 Xanh dương / Xanh lá</t>
        </is>
      </c>
      <c r="K663" s="102" t="inlineStr">
        <is>
          <t>S4-09</t>
        </is>
      </c>
      <c r="L663" s="102" t="inlineStr">
        <is>
          <t>B-3</t>
        </is>
      </c>
      <c r="M663" s="102" t="inlineStr">
        <is>
          <t>PON-09</t>
        </is>
      </c>
      <c r="N663" s="102" t="inlineStr">
        <is>
          <t>Chưa lắp</t>
        </is>
      </c>
      <c r="O663" s="151" t="n"/>
      <c r="P663" s="152" t="n"/>
      <c r="Q663" s="13">
        <f>M663&amp;" &gt; P96#"&amp;U663&amp;" &gt; "&amp;K663&amp;" &gt; P96#"&amp;L663&amp;" &gt; "&amp;R663&amp;" "&amp;S663&amp;" "&amp;T663&amp;" &gt; "&amp;H663&amp;"#"&amp;I663&amp;" &gt; "&amp;F663&amp;" p"&amp;G663</f>
        <v/>
      </c>
      <c r="R663" s="9" t="inlineStr">
        <is>
          <t>ODF-02</t>
        </is>
      </c>
      <c r="S663" s="9" t="inlineStr">
        <is>
          <t>Phải</t>
        </is>
      </c>
      <c r="T663" s="9" t="inlineStr">
        <is>
          <t>H1-C3</t>
        </is>
      </c>
      <c r="U663" s="9" t="inlineStr">
        <is>
          <t>B-37</t>
        </is>
      </c>
    </row>
    <row r="664">
      <c r="A664" s="151" t="inlineStr">
        <is>
          <t>B-2-18</t>
        </is>
      </c>
      <c r="B664" s="102" t="inlineStr">
        <is>
          <t>B</t>
        </is>
      </c>
      <c r="C664" s="102" t="inlineStr">
        <is>
          <t>2</t>
        </is>
      </c>
      <c r="D664" s="102" t="n">
        <v>18</v>
      </c>
      <c r="E664" s="102" t="inlineStr">
        <is>
          <t>TU-B2</t>
        </is>
      </c>
      <c r="F664" s="102" t="inlineStr">
        <is>
          <t>TU-B2/S3</t>
        </is>
      </c>
      <c r="G664" s="102" t="n">
        <v>7</v>
      </c>
      <c r="H664" s="102" t="inlineStr">
        <is>
          <t>TR-B1</t>
        </is>
      </c>
      <c r="I664" s="102" t="n">
        <v>3</v>
      </c>
      <c r="J664" s="102" t="inlineStr">
        <is>
          <t>Ống 1 Xanh dương / Xanh lá</t>
        </is>
      </c>
      <c r="K664" s="102" t="inlineStr">
        <is>
          <t>S4-09</t>
        </is>
      </c>
      <c r="L664" s="102" t="inlineStr">
        <is>
          <t>B-3</t>
        </is>
      </c>
      <c r="M664" s="102" t="inlineStr">
        <is>
          <t>PON-09</t>
        </is>
      </c>
      <c r="N664" s="102" t="inlineStr">
        <is>
          <t>Chưa lắp</t>
        </is>
      </c>
      <c r="O664" s="151" t="n"/>
      <c r="P664" s="152" t="n"/>
      <c r="Q664" s="13">
        <f>M664&amp;" &gt; P96#"&amp;U664&amp;" &gt; "&amp;K664&amp;" &gt; P96#"&amp;L664&amp;" &gt; "&amp;R664&amp;" "&amp;S664&amp;" "&amp;T664&amp;" &gt; "&amp;H664&amp;"#"&amp;I664&amp;" &gt; "&amp;F664&amp;" p"&amp;G664</f>
        <v/>
      </c>
      <c r="R664" s="9" t="inlineStr">
        <is>
          <t>ODF-02</t>
        </is>
      </c>
      <c r="S664" s="9" t="inlineStr">
        <is>
          <t>Phải</t>
        </is>
      </c>
      <c r="T664" s="9" t="inlineStr">
        <is>
          <t>H1-C3</t>
        </is>
      </c>
      <c r="U664" s="9" t="inlineStr">
        <is>
          <t>B-37</t>
        </is>
      </c>
    </row>
    <row r="665">
      <c r="A665" s="151" t="inlineStr">
        <is>
          <t>B-2-19</t>
        </is>
      </c>
      <c r="B665" s="102" t="inlineStr">
        <is>
          <t>B</t>
        </is>
      </c>
      <c r="C665" s="102" t="inlineStr">
        <is>
          <t>2</t>
        </is>
      </c>
      <c r="D665" s="102" t="n">
        <v>19</v>
      </c>
      <c r="E665" s="102" t="inlineStr">
        <is>
          <t>TU-B2</t>
        </is>
      </c>
      <c r="F665" s="102" t="inlineStr">
        <is>
          <t>TU-B2/S3</t>
        </is>
      </c>
      <c r="G665" s="102" t="n">
        <v>8</v>
      </c>
      <c r="H665" s="102" t="inlineStr">
        <is>
          <t>TR-B1</t>
        </is>
      </c>
      <c r="I665" s="102" t="n">
        <v>3</v>
      </c>
      <c r="J665" s="102" t="inlineStr">
        <is>
          <t>Ống 1 Xanh dương / Xanh lá</t>
        </is>
      </c>
      <c r="K665" s="102" t="inlineStr">
        <is>
          <t>S4-09</t>
        </is>
      </c>
      <c r="L665" s="102" t="inlineStr">
        <is>
          <t>B-3</t>
        </is>
      </c>
      <c r="M665" s="102" t="inlineStr">
        <is>
          <t>PON-09</t>
        </is>
      </c>
      <c r="N665" s="102" t="inlineStr">
        <is>
          <t>Chưa lắp</t>
        </is>
      </c>
      <c r="O665" s="151" t="n"/>
      <c r="P665" s="152" t="n"/>
      <c r="Q665" s="13">
        <f>M665&amp;" &gt; P96#"&amp;U665&amp;" &gt; "&amp;K665&amp;" &gt; P96#"&amp;L665&amp;" &gt; "&amp;R665&amp;" "&amp;S665&amp;" "&amp;T665&amp;" &gt; "&amp;H665&amp;"#"&amp;I665&amp;" &gt; "&amp;F665&amp;" p"&amp;G665</f>
        <v/>
      </c>
      <c r="R665" s="9" t="inlineStr">
        <is>
          <t>ODF-02</t>
        </is>
      </c>
      <c r="S665" s="9" t="inlineStr">
        <is>
          <t>Phải</t>
        </is>
      </c>
      <c r="T665" s="9" t="inlineStr">
        <is>
          <t>H1-C3</t>
        </is>
      </c>
      <c r="U665" s="9" t="inlineStr">
        <is>
          <t>B-37</t>
        </is>
      </c>
    </row>
    <row r="666">
      <c r="A666" s="151" t="inlineStr">
        <is>
          <t>B-2-20</t>
        </is>
      </c>
      <c r="B666" s="102" t="inlineStr">
        <is>
          <t>B</t>
        </is>
      </c>
      <c r="C666" s="102" t="inlineStr">
        <is>
          <t>2</t>
        </is>
      </c>
      <c r="D666" s="102" t="n">
        <v>20</v>
      </c>
      <c r="E666" s="102" t="inlineStr">
        <is>
          <t>TU-B2</t>
        </is>
      </c>
      <c r="F666" s="102" t="inlineStr">
        <is>
          <t>TU-B2/S3</t>
        </is>
      </c>
      <c r="G666" s="102" t="n">
        <v>9</v>
      </c>
      <c r="H666" s="102" t="inlineStr">
        <is>
          <t>TR-B1</t>
        </is>
      </c>
      <c r="I666" s="102" t="n">
        <v>3</v>
      </c>
      <c r="J666" s="102" t="inlineStr">
        <is>
          <t>Ống 1 Xanh dương / Xanh lá</t>
        </is>
      </c>
      <c r="K666" s="102" t="inlineStr">
        <is>
          <t>S4-09</t>
        </is>
      </c>
      <c r="L666" s="102" t="inlineStr">
        <is>
          <t>B-3</t>
        </is>
      </c>
      <c r="M666" s="102" t="inlineStr">
        <is>
          <t>PON-09</t>
        </is>
      </c>
      <c r="N666" s="102" t="inlineStr">
        <is>
          <t>Chưa lắp</t>
        </is>
      </c>
      <c r="O666" s="151" t="n"/>
      <c r="P666" s="152" t="n"/>
      <c r="Q666" s="13">
        <f>M666&amp;" &gt; P96#"&amp;U666&amp;" &gt; "&amp;K666&amp;" &gt; P96#"&amp;L666&amp;" &gt; "&amp;R666&amp;" "&amp;S666&amp;" "&amp;T666&amp;" &gt; "&amp;H666&amp;"#"&amp;I666&amp;" &gt; "&amp;F666&amp;" p"&amp;G666</f>
        <v/>
      </c>
      <c r="R666" s="9" t="inlineStr">
        <is>
          <t>ODF-02</t>
        </is>
      </c>
      <c r="S666" s="9" t="inlineStr">
        <is>
          <t>Phải</t>
        </is>
      </c>
      <c r="T666" s="9" t="inlineStr">
        <is>
          <t>H1-C3</t>
        </is>
      </c>
      <c r="U666" s="9" t="inlineStr">
        <is>
          <t>B-37</t>
        </is>
      </c>
    </row>
    <row r="667">
      <c r="A667" s="151" t="inlineStr">
        <is>
          <t>B-2-21</t>
        </is>
      </c>
      <c r="B667" s="102" t="inlineStr">
        <is>
          <t>B</t>
        </is>
      </c>
      <c r="C667" s="102" t="inlineStr">
        <is>
          <t>2</t>
        </is>
      </c>
      <c r="D667" s="102" t="n">
        <v>21</v>
      </c>
      <c r="E667" s="102" t="inlineStr">
        <is>
          <t>TU-B2</t>
        </is>
      </c>
      <c r="F667" s="102" t="inlineStr">
        <is>
          <t>TU-B2/S3</t>
        </is>
      </c>
      <c r="G667" s="102" t="n">
        <v>10</v>
      </c>
      <c r="H667" s="102" t="inlineStr">
        <is>
          <t>TR-B1</t>
        </is>
      </c>
      <c r="I667" s="102" t="n">
        <v>3</v>
      </c>
      <c r="J667" s="102" t="inlineStr">
        <is>
          <t>Ống 1 Xanh dương / Xanh lá</t>
        </is>
      </c>
      <c r="K667" s="102" t="inlineStr">
        <is>
          <t>S4-09</t>
        </is>
      </c>
      <c r="L667" s="102" t="inlineStr">
        <is>
          <t>B-3</t>
        </is>
      </c>
      <c r="M667" s="102" t="inlineStr">
        <is>
          <t>PON-09</t>
        </is>
      </c>
      <c r="N667" s="102" t="inlineStr">
        <is>
          <t>Chưa lắp</t>
        </is>
      </c>
      <c r="O667" s="151" t="n"/>
      <c r="P667" s="152" t="n"/>
      <c r="Q667" s="13">
        <f>M667&amp;" &gt; P96#"&amp;U667&amp;" &gt; "&amp;K667&amp;" &gt; P96#"&amp;L667&amp;" &gt; "&amp;R667&amp;" "&amp;S667&amp;" "&amp;T667&amp;" &gt; "&amp;H667&amp;"#"&amp;I667&amp;" &gt; "&amp;F667&amp;" p"&amp;G667</f>
        <v/>
      </c>
      <c r="R667" s="9" t="inlineStr">
        <is>
          <t>ODF-02</t>
        </is>
      </c>
      <c r="S667" s="9" t="inlineStr">
        <is>
          <t>Phải</t>
        </is>
      </c>
      <c r="T667" s="9" t="inlineStr">
        <is>
          <t>H1-C3</t>
        </is>
      </c>
      <c r="U667" s="9" t="inlineStr">
        <is>
          <t>B-37</t>
        </is>
      </c>
    </row>
    <row r="668">
      <c r="A668" s="151" t="inlineStr">
        <is>
          <t>B-2-22</t>
        </is>
      </c>
      <c r="B668" s="102" t="inlineStr">
        <is>
          <t>B</t>
        </is>
      </c>
      <c r="C668" s="102" t="inlineStr">
        <is>
          <t>2</t>
        </is>
      </c>
      <c r="D668" s="102" t="n">
        <v>22</v>
      </c>
      <c r="E668" s="102" t="inlineStr">
        <is>
          <t>TU-B2</t>
        </is>
      </c>
      <c r="F668" s="102" t="inlineStr">
        <is>
          <t>TU-B2/S3</t>
        </is>
      </c>
      <c r="G668" s="102" t="n">
        <v>11</v>
      </c>
      <c r="H668" s="102" t="inlineStr">
        <is>
          <t>TR-B1</t>
        </is>
      </c>
      <c r="I668" s="102" t="n">
        <v>3</v>
      </c>
      <c r="J668" s="102" t="inlineStr">
        <is>
          <t>Ống 1 Xanh dương / Xanh lá</t>
        </is>
      </c>
      <c r="K668" s="102" t="inlineStr">
        <is>
          <t>S4-09</t>
        </is>
      </c>
      <c r="L668" s="102" t="inlineStr">
        <is>
          <t>B-3</t>
        </is>
      </c>
      <c r="M668" s="102" t="inlineStr">
        <is>
          <t>PON-09</t>
        </is>
      </c>
      <c r="N668" s="102" t="inlineStr">
        <is>
          <t>Chưa lắp</t>
        </is>
      </c>
      <c r="O668" s="151" t="n"/>
      <c r="P668" s="152" t="n"/>
      <c r="Q668" s="13">
        <f>M668&amp;" &gt; P96#"&amp;U668&amp;" &gt; "&amp;K668&amp;" &gt; P96#"&amp;L668&amp;" &gt; "&amp;R668&amp;" "&amp;S668&amp;" "&amp;T668&amp;" &gt; "&amp;H668&amp;"#"&amp;I668&amp;" &gt; "&amp;F668&amp;" p"&amp;G668</f>
        <v/>
      </c>
      <c r="R668" s="9" t="inlineStr">
        <is>
          <t>ODF-02</t>
        </is>
      </c>
      <c r="S668" s="9" t="inlineStr">
        <is>
          <t>Phải</t>
        </is>
      </c>
      <c r="T668" s="9" t="inlineStr">
        <is>
          <t>H1-C3</t>
        </is>
      </c>
      <c r="U668" s="9" t="inlineStr">
        <is>
          <t>B-37</t>
        </is>
      </c>
    </row>
    <row r="669">
      <c r="A669" s="151" t="inlineStr">
        <is>
          <t>B-1-01</t>
        </is>
      </c>
      <c r="B669" s="102" t="inlineStr">
        <is>
          <t>B</t>
        </is>
      </c>
      <c r="C669" s="102" t="inlineStr">
        <is>
          <t>1</t>
        </is>
      </c>
      <c r="D669" s="102" t="n">
        <v>1</v>
      </c>
      <c r="E669" s="102" t="inlineStr">
        <is>
          <t>TU-B2</t>
        </is>
      </c>
      <c r="F669" s="102" t="inlineStr">
        <is>
          <t>TU-B2/S1</t>
        </is>
      </c>
      <c r="G669" s="102" t="n">
        <v>1</v>
      </c>
      <c r="H669" s="102" t="inlineStr">
        <is>
          <t>TR-B1</t>
        </is>
      </c>
      <c r="I669" s="102" t="n">
        <v>1</v>
      </c>
      <c r="J669" s="102" t="inlineStr">
        <is>
          <t>Ống 1 Xanh dương / Xanh dương</t>
        </is>
      </c>
      <c r="K669" s="102" t="inlineStr">
        <is>
          <t>S4-09</t>
        </is>
      </c>
      <c r="L669" s="102" t="inlineStr">
        <is>
          <t>B-1</t>
        </is>
      </c>
      <c r="M669" s="102" t="inlineStr">
        <is>
          <t>PON-09</t>
        </is>
      </c>
      <c r="N669" s="102" t="inlineStr">
        <is>
          <t>Chưa lắp</t>
        </is>
      </c>
      <c r="O669" s="151" t="n"/>
      <c r="P669" s="152" t="n"/>
      <c r="Q669" s="13">
        <f>M669&amp;" &gt; P96#"&amp;U669&amp;" &gt; "&amp;K669&amp;" &gt; P96#"&amp;L669&amp;" &gt; "&amp;R669&amp;" "&amp;S669&amp;" "&amp;T669&amp;" &gt; "&amp;H669&amp;"#"&amp;I669&amp;" &gt; "&amp;F669&amp;" p"&amp;G669</f>
        <v/>
      </c>
      <c r="R669" s="9" t="inlineStr">
        <is>
          <t>ODF-02</t>
        </is>
      </c>
      <c r="S669" s="9" t="inlineStr">
        <is>
          <t>Phải</t>
        </is>
      </c>
      <c r="T669" s="9" t="inlineStr">
        <is>
          <t>H1-C1</t>
        </is>
      </c>
      <c r="U669" s="9" t="inlineStr">
        <is>
          <t>B-37</t>
        </is>
      </c>
    </row>
    <row r="670">
      <c r="A670" s="151" t="inlineStr">
        <is>
          <t>B-1-02</t>
        </is>
      </c>
      <c r="B670" s="102" t="inlineStr">
        <is>
          <t>B</t>
        </is>
      </c>
      <c r="C670" s="102" t="inlineStr">
        <is>
          <t>1</t>
        </is>
      </c>
      <c r="D670" s="102" t="n">
        <v>2</v>
      </c>
      <c r="E670" s="102" t="inlineStr">
        <is>
          <t>TU-B2</t>
        </is>
      </c>
      <c r="F670" s="102" t="inlineStr">
        <is>
          <t>TU-B2/S1</t>
        </is>
      </c>
      <c r="G670" s="102" t="n">
        <v>2</v>
      </c>
      <c r="H670" s="102" t="inlineStr">
        <is>
          <t>TR-B1</t>
        </is>
      </c>
      <c r="I670" s="102" t="n">
        <v>1</v>
      </c>
      <c r="J670" s="102" t="inlineStr">
        <is>
          <t>Ống 1 Xanh dương / Xanh dương</t>
        </is>
      </c>
      <c r="K670" s="102" t="inlineStr">
        <is>
          <t>S4-09</t>
        </is>
      </c>
      <c r="L670" s="102" t="inlineStr">
        <is>
          <t>B-1</t>
        </is>
      </c>
      <c r="M670" s="102" t="inlineStr">
        <is>
          <t>PON-09</t>
        </is>
      </c>
      <c r="N670" s="102" t="inlineStr">
        <is>
          <t>Chưa lắp</t>
        </is>
      </c>
      <c r="O670" s="151" t="n"/>
      <c r="P670" s="152" t="n"/>
      <c r="Q670" s="13">
        <f>M670&amp;" &gt; P96#"&amp;U670&amp;" &gt; "&amp;K670&amp;" &gt; P96#"&amp;L670&amp;" &gt; "&amp;R670&amp;" "&amp;S670&amp;" "&amp;T670&amp;" &gt; "&amp;H670&amp;"#"&amp;I670&amp;" &gt; "&amp;F670&amp;" p"&amp;G670</f>
        <v/>
      </c>
      <c r="R670" s="9" t="inlineStr">
        <is>
          <t>ODF-02</t>
        </is>
      </c>
      <c r="S670" s="9" t="inlineStr">
        <is>
          <t>Phải</t>
        </is>
      </c>
      <c r="T670" s="9" t="inlineStr">
        <is>
          <t>H1-C1</t>
        </is>
      </c>
      <c r="U670" s="9" t="inlineStr">
        <is>
          <t>B-37</t>
        </is>
      </c>
    </row>
    <row r="671">
      <c r="A671" s="151" t="inlineStr">
        <is>
          <t>B-1-03</t>
        </is>
      </c>
      <c r="B671" s="102" t="inlineStr">
        <is>
          <t>B</t>
        </is>
      </c>
      <c r="C671" s="102" t="inlineStr">
        <is>
          <t>1</t>
        </is>
      </c>
      <c r="D671" s="102" t="n">
        <v>3</v>
      </c>
      <c r="E671" s="102" t="inlineStr">
        <is>
          <t>TU-B2</t>
        </is>
      </c>
      <c r="F671" s="102" t="inlineStr">
        <is>
          <t>TU-B2/S1</t>
        </is>
      </c>
      <c r="G671" s="102" t="n">
        <v>3</v>
      </c>
      <c r="H671" s="102" t="inlineStr">
        <is>
          <t>TR-B1</t>
        </is>
      </c>
      <c r="I671" s="102" t="n">
        <v>1</v>
      </c>
      <c r="J671" s="102" t="inlineStr">
        <is>
          <t>Ống 1 Xanh dương / Xanh dương</t>
        </is>
      </c>
      <c r="K671" s="102" t="inlineStr">
        <is>
          <t>S4-09</t>
        </is>
      </c>
      <c r="L671" s="102" t="inlineStr">
        <is>
          <t>B-1</t>
        </is>
      </c>
      <c r="M671" s="102" t="inlineStr">
        <is>
          <t>PON-09</t>
        </is>
      </c>
      <c r="N671" s="102" t="inlineStr">
        <is>
          <t>Chưa lắp</t>
        </is>
      </c>
      <c r="O671" s="151" t="n"/>
      <c r="P671" s="152" t="n"/>
      <c r="Q671" s="13">
        <f>M671&amp;" &gt; P96#"&amp;U671&amp;" &gt; "&amp;K671&amp;" &gt; P96#"&amp;L671&amp;" &gt; "&amp;R671&amp;" "&amp;S671&amp;" "&amp;T671&amp;" &gt; "&amp;H671&amp;"#"&amp;I671&amp;" &gt; "&amp;F671&amp;" p"&amp;G671</f>
        <v/>
      </c>
      <c r="R671" s="9" t="inlineStr">
        <is>
          <t>ODF-02</t>
        </is>
      </c>
      <c r="S671" s="9" t="inlineStr">
        <is>
          <t>Phải</t>
        </is>
      </c>
      <c r="T671" s="9" t="inlineStr">
        <is>
          <t>H1-C1</t>
        </is>
      </c>
      <c r="U671" s="9" t="inlineStr">
        <is>
          <t>B-37</t>
        </is>
      </c>
    </row>
    <row r="672">
      <c r="A672" s="151" t="inlineStr">
        <is>
          <t>B-1-04</t>
        </is>
      </c>
      <c r="B672" s="102" t="inlineStr">
        <is>
          <t>B</t>
        </is>
      </c>
      <c r="C672" s="102" t="inlineStr">
        <is>
          <t>1</t>
        </is>
      </c>
      <c r="D672" s="102" t="n">
        <v>4</v>
      </c>
      <c r="E672" s="102" t="inlineStr">
        <is>
          <t>TU-B2</t>
        </is>
      </c>
      <c r="F672" s="102" t="inlineStr">
        <is>
          <t>TU-B2/S1</t>
        </is>
      </c>
      <c r="G672" s="102" t="n">
        <v>4</v>
      </c>
      <c r="H672" s="102" t="inlineStr">
        <is>
          <t>TR-B1</t>
        </is>
      </c>
      <c r="I672" s="102" t="n">
        <v>1</v>
      </c>
      <c r="J672" s="102" t="inlineStr">
        <is>
          <t>Ống 1 Xanh dương / Xanh dương</t>
        </is>
      </c>
      <c r="K672" s="102" t="inlineStr">
        <is>
          <t>S4-09</t>
        </is>
      </c>
      <c r="L672" s="102" t="inlineStr">
        <is>
          <t>B-1</t>
        </is>
      </c>
      <c r="M672" s="102" t="inlineStr">
        <is>
          <t>PON-09</t>
        </is>
      </c>
      <c r="N672" s="102" t="inlineStr">
        <is>
          <t>Chưa lắp</t>
        </is>
      </c>
      <c r="O672" s="151" t="n"/>
      <c r="P672" s="152" t="n"/>
      <c r="Q672" s="13">
        <f>M672&amp;" &gt; P96#"&amp;U672&amp;" &gt; "&amp;K672&amp;" &gt; P96#"&amp;L672&amp;" &gt; "&amp;R672&amp;" "&amp;S672&amp;" "&amp;T672&amp;" &gt; "&amp;H672&amp;"#"&amp;I672&amp;" &gt; "&amp;F672&amp;" p"&amp;G672</f>
        <v/>
      </c>
      <c r="R672" s="9" t="inlineStr">
        <is>
          <t>ODF-02</t>
        </is>
      </c>
      <c r="S672" s="9" t="inlineStr">
        <is>
          <t>Phải</t>
        </is>
      </c>
      <c r="T672" s="9" t="inlineStr">
        <is>
          <t>H1-C1</t>
        </is>
      </c>
      <c r="U672" s="9" t="inlineStr">
        <is>
          <t>B-37</t>
        </is>
      </c>
    </row>
    <row r="673">
      <c r="A673" s="151" t="inlineStr">
        <is>
          <t>B-1-05</t>
        </is>
      </c>
      <c r="B673" s="102" t="inlineStr">
        <is>
          <t>B</t>
        </is>
      </c>
      <c r="C673" s="102" t="inlineStr">
        <is>
          <t>1</t>
        </is>
      </c>
      <c r="D673" s="102" t="n">
        <v>5</v>
      </c>
      <c r="E673" s="102" t="inlineStr">
        <is>
          <t>TU-B2</t>
        </is>
      </c>
      <c r="F673" s="102" t="inlineStr">
        <is>
          <t>TU-B2/S1</t>
        </is>
      </c>
      <c r="G673" s="102" t="n">
        <v>5</v>
      </c>
      <c r="H673" s="102" t="inlineStr">
        <is>
          <t>TR-B1</t>
        </is>
      </c>
      <c r="I673" s="102" t="n">
        <v>1</v>
      </c>
      <c r="J673" s="102" t="inlineStr">
        <is>
          <t>Ống 1 Xanh dương / Xanh dương</t>
        </is>
      </c>
      <c r="K673" s="102" t="inlineStr">
        <is>
          <t>S4-09</t>
        </is>
      </c>
      <c r="L673" s="102" t="inlineStr">
        <is>
          <t>B-1</t>
        </is>
      </c>
      <c r="M673" s="102" t="inlineStr">
        <is>
          <t>PON-09</t>
        </is>
      </c>
      <c r="N673" s="102" t="inlineStr">
        <is>
          <t>Chưa lắp</t>
        </is>
      </c>
      <c r="O673" s="151" t="n"/>
      <c r="P673" s="152" t="n"/>
      <c r="Q673" s="13">
        <f>M673&amp;" &gt; P96#"&amp;U673&amp;" &gt; "&amp;K673&amp;" &gt; P96#"&amp;L673&amp;" &gt; "&amp;R673&amp;" "&amp;S673&amp;" "&amp;T673&amp;" &gt; "&amp;H673&amp;"#"&amp;I673&amp;" &gt; "&amp;F673&amp;" p"&amp;G673</f>
        <v/>
      </c>
      <c r="R673" s="9" t="inlineStr">
        <is>
          <t>ODF-02</t>
        </is>
      </c>
      <c r="S673" s="9" t="inlineStr">
        <is>
          <t>Phải</t>
        </is>
      </c>
      <c r="T673" s="9" t="inlineStr">
        <is>
          <t>H1-C1</t>
        </is>
      </c>
      <c r="U673" s="9" t="inlineStr">
        <is>
          <t>B-37</t>
        </is>
      </c>
    </row>
    <row r="674">
      <c r="A674" s="149" t="inlineStr">
        <is>
          <t>B-1-06</t>
        </is>
      </c>
      <c r="B674" s="99" t="inlineStr">
        <is>
          <t>B</t>
        </is>
      </c>
      <c r="C674" s="99" t="inlineStr">
        <is>
          <t>1</t>
        </is>
      </c>
      <c r="D674" s="99" t="n">
        <v>6</v>
      </c>
      <c r="E674" s="99" t="inlineStr">
        <is>
          <t>TU-B2</t>
        </is>
      </c>
      <c r="F674" s="99" t="inlineStr">
        <is>
          <t>TU-B2/S1</t>
        </is>
      </c>
      <c r="G674" s="99" t="n">
        <v>6</v>
      </c>
      <c r="H674" s="99" t="inlineStr">
        <is>
          <t>TR-B1</t>
        </is>
      </c>
      <c r="I674" s="99" t="n">
        <v>1</v>
      </c>
      <c r="J674" s="99" t="inlineStr">
        <is>
          <t>Ống 1 Xanh dương / Xanh dương</t>
        </is>
      </c>
      <c r="K674" s="99" t="inlineStr">
        <is>
          <t>S4-09</t>
        </is>
      </c>
      <c r="L674" s="99" t="inlineStr">
        <is>
          <t>B-1</t>
        </is>
      </c>
      <c r="M674" s="99" t="inlineStr">
        <is>
          <t>PON-09</t>
        </is>
      </c>
      <c r="N674" s="99" t="inlineStr">
        <is>
          <t>Chưa lắp</t>
        </is>
      </c>
      <c r="O674" s="149" t="n"/>
      <c r="P674" s="150" t="n"/>
      <c r="Q674" s="13">
        <f>M674&amp;" &gt; P96#"&amp;U674&amp;" &gt; "&amp;K674&amp;" &gt; P96#"&amp;L674&amp;" &gt; "&amp;R674&amp;" "&amp;S674&amp;" "&amp;T674&amp;" &gt; "&amp;H674&amp;"#"&amp;I674&amp;" &gt; "&amp;F674&amp;" p"&amp;G674</f>
        <v/>
      </c>
      <c r="R674" s="9" t="inlineStr">
        <is>
          <t>ODF-02</t>
        </is>
      </c>
      <c r="S674" s="9" t="inlineStr">
        <is>
          <t>Phải</t>
        </is>
      </c>
      <c r="T674" s="9" t="inlineStr">
        <is>
          <t>H1-C1</t>
        </is>
      </c>
      <c r="U674" s="9" t="inlineStr">
        <is>
          <t>B-37</t>
        </is>
      </c>
    </row>
    <row r="675">
      <c r="A675" s="149" t="inlineStr">
        <is>
          <t>B-1-07</t>
        </is>
      </c>
      <c r="B675" s="99" t="inlineStr">
        <is>
          <t>B</t>
        </is>
      </c>
      <c r="C675" s="99" t="inlineStr">
        <is>
          <t>1</t>
        </is>
      </c>
      <c r="D675" s="99" t="n">
        <v>7</v>
      </c>
      <c r="E675" s="99" t="inlineStr">
        <is>
          <t>TU-B2</t>
        </is>
      </c>
      <c r="F675" s="99" t="inlineStr">
        <is>
          <t>TU-B2/S1</t>
        </is>
      </c>
      <c r="G675" s="99" t="n">
        <v>7</v>
      </c>
      <c r="H675" s="99" t="inlineStr">
        <is>
          <t>TR-B1</t>
        </is>
      </c>
      <c r="I675" s="99" t="n">
        <v>1</v>
      </c>
      <c r="J675" s="99" t="inlineStr">
        <is>
          <t>Ống 1 Xanh dương / Xanh dương</t>
        </is>
      </c>
      <c r="K675" s="99" t="inlineStr">
        <is>
          <t>S4-09</t>
        </is>
      </c>
      <c r="L675" s="99" t="inlineStr">
        <is>
          <t>B-1</t>
        </is>
      </c>
      <c r="M675" s="99" t="inlineStr">
        <is>
          <t>PON-09</t>
        </is>
      </c>
      <c r="N675" s="99" t="inlineStr">
        <is>
          <t>Chưa lắp</t>
        </is>
      </c>
      <c r="O675" s="149" t="n"/>
      <c r="P675" s="150" t="n"/>
      <c r="Q675" s="13">
        <f>M675&amp;" &gt; P96#"&amp;U675&amp;" &gt; "&amp;K675&amp;" &gt; P96#"&amp;L675&amp;" &gt; "&amp;R675&amp;" "&amp;S675&amp;" "&amp;T675&amp;" &gt; "&amp;H675&amp;"#"&amp;I675&amp;" &gt; "&amp;F675&amp;" p"&amp;G675</f>
        <v/>
      </c>
      <c r="R675" s="9" t="inlineStr">
        <is>
          <t>ODF-02</t>
        </is>
      </c>
      <c r="S675" s="9" t="inlineStr">
        <is>
          <t>Phải</t>
        </is>
      </c>
      <c r="T675" s="9" t="inlineStr">
        <is>
          <t>H1-C1</t>
        </is>
      </c>
      <c r="U675" s="9" t="inlineStr">
        <is>
          <t>B-37</t>
        </is>
      </c>
    </row>
    <row r="676">
      <c r="A676" s="149" t="inlineStr">
        <is>
          <t>B-1-08</t>
        </is>
      </c>
      <c r="B676" s="99" t="inlineStr">
        <is>
          <t>B</t>
        </is>
      </c>
      <c r="C676" s="99" t="inlineStr">
        <is>
          <t>1</t>
        </is>
      </c>
      <c r="D676" s="99" t="n">
        <v>8</v>
      </c>
      <c r="E676" s="99" t="inlineStr">
        <is>
          <t>TU-B2</t>
        </is>
      </c>
      <c r="F676" s="99" t="inlineStr">
        <is>
          <t>TU-B2/S1</t>
        </is>
      </c>
      <c r="G676" s="99" t="n">
        <v>8</v>
      </c>
      <c r="H676" s="99" t="inlineStr">
        <is>
          <t>TR-B1</t>
        </is>
      </c>
      <c r="I676" s="99" t="n">
        <v>1</v>
      </c>
      <c r="J676" s="99" t="inlineStr">
        <is>
          <t>Ống 1 Xanh dương / Xanh dương</t>
        </is>
      </c>
      <c r="K676" s="99" t="inlineStr">
        <is>
          <t>S4-09</t>
        </is>
      </c>
      <c r="L676" s="99" t="inlineStr">
        <is>
          <t>B-1</t>
        </is>
      </c>
      <c r="M676" s="99" t="inlineStr">
        <is>
          <t>PON-09</t>
        </is>
      </c>
      <c r="N676" s="99" t="inlineStr">
        <is>
          <t>Chưa lắp</t>
        </is>
      </c>
      <c r="O676" s="149" t="n"/>
      <c r="P676" s="150" t="n"/>
      <c r="Q676" s="13">
        <f>M676&amp;" &gt; P96#"&amp;U676&amp;" &gt; "&amp;K676&amp;" &gt; P96#"&amp;L676&amp;" &gt; "&amp;R676&amp;" "&amp;S676&amp;" "&amp;T676&amp;" &gt; "&amp;H676&amp;"#"&amp;I676&amp;" &gt; "&amp;F676&amp;" p"&amp;G676</f>
        <v/>
      </c>
      <c r="R676" s="9" t="inlineStr">
        <is>
          <t>ODF-02</t>
        </is>
      </c>
      <c r="S676" s="9" t="inlineStr">
        <is>
          <t>Phải</t>
        </is>
      </c>
      <c r="T676" s="9" t="inlineStr">
        <is>
          <t>H1-C1</t>
        </is>
      </c>
      <c r="U676" s="9" t="inlineStr">
        <is>
          <t>B-37</t>
        </is>
      </c>
    </row>
    <row r="677">
      <c r="A677" s="149" t="inlineStr">
        <is>
          <t>B-1-09</t>
        </is>
      </c>
      <c r="B677" s="99" t="inlineStr">
        <is>
          <t>B</t>
        </is>
      </c>
      <c r="C677" s="99" t="inlineStr">
        <is>
          <t>1</t>
        </is>
      </c>
      <c r="D677" s="99" t="n">
        <v>9</v>
      </c>
      <c r="E677" s="99" t="inlineStr">
        <is>
          <t>TU-B2</t>
        </is>
      </c>
      <c r="F677" s="99" t="inlineStr">
        <is>
          <t>TU-B2/S1</t>
        </is>
      </c>
      <c r="G677" s="99" t="n">
        <v>9</v>
      </c>
      <c r="H677" s="99" t="inlineStr">
        <is>
          <t>TR-B1</t>
        </is>
      </c>
      <c r="I677" s="99" t="n">
        <v>1</v>
      </c>
      <c r="J677" s="99" t="inlineStr">
        <is>
          <t>Ống 1 Xanh dương / Xanh dương</t>
        </is>
      </c>
      <c r="K677" s="99" t="inlineStr">
        <is>
          <t>S4-09</t>
        </is>
      </c>
      <c r="L677" s="99" t="inlineStr">
        <is>
          <t>B-1</t>
        </is>
      </c>
      <c r="M677" s="99" t="inlineStr">
        <is>
          <t>PON-09</t>
        </is>
      </c>
      <c r="N677" s="99" t="inlineStr">
        <is>
          <t>Chưa lắp</t>
        </is>
      </c>
      <c r="O677" s="149" t="n"/>
      <c r="P677" s="150" t="n"/>
      <c r="Q677" s="13">
        <f>M677&amp;" &gt; P96#"&amp;U677&amp;" &gt; "&amp;K677&amp;" &gt; P96#"&amp;L677&amp;" &gt; "&amp;R677&amp;" "&amp;S677&amp;" "&amp;T677&amp;" &gt; "&amp;H677&amp;"#"&amp;I677&amp;" &gt; "&amp;F677&amp;" p"&amp;G677</f>
        <v/>
      </c>
      <c r="R677" s="9" t="inlineStr">
        <is>
          <t>ODF-02</t>
        </is>
      </c>
      <c r="S677" s="9" t="inlineStr">
        <is>
          <t>Phải</t>
        </is>
      </c>
      <c r="T677" s="9" t="inlineStr">
        <is>
          <t>H1-C1</t>
        </is>
      </c>
      <c r="U677" s="9" t="inlineStr">
        <is>
          <t>B-37</t>
        </is>
      </c>
    </row>
  </sheetData>
  <autoFilter ref="A1:U677"/>
  <conditionalFormatting sqref="N2:N677">
    <cfRule type="cellIs" priority="1" operator="equal" dxfId="3">
      <formula>"Hoạt động"</formula>
    </cfRule>
    <cfRule type="cellIs" priority="2" operator="equal" dxfId="4">
      <formula>"Đã đấu nối"</formula>
    </cfRule>
    <cfRule type="cellIs" priority="3" operator="equal" dxfId="0">
      <formula>"Sự cố"</formula>
    </cfRule>
  </conditionalFormatting>
  <dataValidations count="1">
    <dataValidation sqref="N2:N677" showDropDown="0" showInputMessage="0" showErrorMessage="0" allowBlank="0" type="list">
      <formula1>"Chưa lắp,Đã đấu nối,Hoạt động,Sự cố"</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E8710A"/>
    <outlinePr summaryBelow="1" summaryRight="1"/>
    <pageSetUpPr fitToPage="1"/>
  </sheetPr>
  <dimension ref="A1:I23"/>
  <sheetViews>
    <sheetView showGridLines="0" workbookViewId="0">
      <selection activeCell="A1" sqref="A1"/>
    </sheetView>
  </sheetViews>
  <sheetFormatPr baseColWidth="8" defaultRowHeight="15"/>
  <cols>
    <col width="3" customWidth="1" min="1" max="1"/>
    <col width="30" customWidth="1" min="2" max="2"/>
    <col width="40" customWidth="1" min="3" max="3"/>
    <col width="4" customWidth="1" min="4" max="4"/>
    <col width="22" customWidth="1" min="5" max="5"/>
    <col width="14" customWidth="1" min="6" max="6"/>
    <col width="14" customWidth="1" min="7" max="7"/>
    <col width="14" customWidth="1" min="8" max="8"/>
    <col width="14" customWidth="1" min="9" max="9"/>
  </cols>
  <sheetData>
    <row r="1">
      <c r="A1" s="1" t="inlineStr">
        <is>
          <t>Tra cứu đường quang</t>
        </is>
      </c>
    </row>
    <row r="2">
      <c r="A2" s="2" t="inlineStr">
        <is>
          <t>Chọn mã căn hộ ở ô vàng (gõ hoặc chọn từ danh sách).</t>
        </is>
      </c>
    </row>
    <row r="4">
      <c r="B4" s="153" t="inlineStr">
        <is>
          <t>MÃ CĂN HỘ</t>
        </is>
      </c>
      <c r="C4" s="154" t="inlineStr">
        <is>
          <t>A-18-05</t>
        </is>
      </c>
      <c r="E4" s="155" t="inlineStr">
        <is>
          <t>TỦ → SPLITTER</t>
        </is>
      </c>
    </row>
    <row r="5">
      <c r="B5" s="13" t="inlineStr">
        <is>
          <t>Tháp</t>
        </is>
      </c>
      <c r="C5" s="153">
        <f>IFERROR(INDEX('Thuê bao'!$B$2:$B$677,MATCH($C$4,'Thuê bao'!$A$2:$A$677,0))&amp;"","Không tìm thấy")</f>
        <v/>
      </c>
      <c r="E5" s="153" t="inlineStr">
        <is>
          <t>Chọn tủ:</t>
        </is>
      </c>
      <c r="F5" s="154" t="inlineStr">
        <is>
          <t>TU-A18</t>
        </is>
      </c>
    </row>
    <row r="6" ht="22" customHeight="1">
      <c r="B6" s="13" t="inlineStr">
        <is>
          <t>Tầng</t>
        </is>
      </c>
      <c r="C6" s="153">
        <f>IFERROR(INDEX('Thuê bao'!$C$2:$C$677,MATCH($C$4,'Thuê bao'!$A$2:$A$677,0))&amp;"","Không tìm thấy")</f>
        <v/>
      </c>
      <c r="E6" s="7" t="inlineStr">
        <is>
          <t>Splitter</t>
        </is>
      </c>
      <c r="F6" s="7" t="inlineStr">
        <is>
          <t>Căn hộ</t>
        </is>
      </c>
      <c r="G6" s="7" t="inlineStr">
        <is>
          <t>Hoạt động</t>
        </is>
      </c>
      <c r="H6" s="7" t="inlineStr">
        <is>
          <t>Còn trống</t>
        </is>
      </c>
      <c r="I6" s="7" t="inlineStr">
        <is>
          <t>PON</t>
        </is>
      </c>
    </row>
    <row r="7">
      <c r="B7" s="13" t="inlineStr">
        <is>
          <t>Box</t>
        </is>
      </c>
      <c r="C7" s="153">
        <f>IFERROR(INDEX('Thuê bao'!$D$2:$D$677,MATCH($C$4,'Thuê bao'!$A$2:$A$677,0))&amp;"","Không tìm thấy")</f>
        <v/>
      </c>
      <c r="E7" s="9">
        <f>$F$5&amp;"/S1"</f>
        <v/>
      </c>
      <c r="F7" s="9">
        <f>COUNTIF('Thuê bao'!$F$2:$F$677,E7)</f>
        <v/>
      </c>
      <c r="G7" s="9">
        <f>COUNTIFS('Thuê bao'!$F$2:$F$677,E7,'Thuê bao'!$N$2:$N$677,"Hoạt động")</f>
        <v/>
      </c>
      <c r="H7" s="9">
        <f>IF(F7=0,"chưa lắp",16-F7)</f>
        <v/>
      </c>
      <c r="I7" s="9">
        <f>IFERROR(INDEX('Thuê bao'!$M$2:$M$677,MATCH(E7,'Thuê bao'!$F$2:$F$677,0))&amp;"","—")</f>
        <v/>
      </c>
    </row>
    <row r="8">
      <c r="B8" s="13" t="inlineStr">
        <is>
          <t>Tủ phối quang</t>
        </is>
      </c>
      <c r="C8" s="153">
        <f>IFERROR(INDEX('Thuê bao'!$E$2:$E$677,MATCH($C$4,'Thuê bao'!$A$2:$A$677,0))&amp;"","Không tìm thấy")</f>
        <v/>
      </c>
      <c r="E8" s="9">
        <f>$F$5&amp;"/S2"</f>
        <v/>
      </c>
      <c r="F8" s="9">
        <f>COUNTIF('Thuê bao'!$F$2:$F$677,E8)</f>
        <v/>
      </c>
      <c r="G8" s="9">
        <f>COUNTIFS('Thuê bao'!$F$2:$F$677,E8,'Thuê bao'!$N$2:$N$677,"Hoạt động")</f>
        <v/>
      </c>
      <c r="H8" s="9">
        <f>IF(F8=0,"chưa lắp",16-F8)</f>
        <v/>
      </c>
      <c r="I8" s="9">
        <f>IFERROR(INDEX('Thuê bao'!$M$2:$M$677,MATCH(E8,'Thuê bao'!$F$2:$F$677,0))&amp;"","—")</f>
        <v/>
      </c>
    </row>
    <row r="9">
      <c r="B9" s="13" t="inlineStr">
        <is>
          <t>Splitter 1:16 tại tủ</t>
        </is>
      </c>
      <c r="C9" s="153">
        <f>IFERROR(INDEX('Thuê bao'!$F$2:$F$677,MATCH($C$4,'Thuê bao'!$A$2:$A$677,0))&amp;"","Không tìm thấy")</f>
        <v/>
      </c>
      <c r="E9" s="9">
        <f>$F$5&amp;"/S3"</f>
        <v/>
      </c>
      <c r="F9" s="9">
        <f>COUNTIF('Thuê bao'!$F$2:$F$677,E9)</f>
        <v/>
      </c>
      <c r="G9" s="9">
        <f>COUNTIFS('Thuê bao'!$F$2:$F$677,E9,'Thuê bao'!$N$2:$N$677,"Hoạt động")</f>
        <v/>
      </c>
      <c r="H9" s="9">
        <f>IF(F9=0,"chưa lắp",16-F9)</f>
        <v/>
      </c>
      <c r="I9" s="9">
        <f>IFERROR(INDEX('Thuê bao'!$M$2:$M$677,MATCH(E9,'Thuê bao'!$F$2:$F$677,0))&amp;"","—")</f>
        <v/>
      </c>
    </row>
    <row r="10">
      <c r="B10" s="13" t="inlineStr">
        <is>
          <t>Cổng splitter</t>
        </is>
      </c>
      <c r="C10" s="153">
        <f>IFERROR(INDEX('Thuê bao'!$G$2:$G$677,MATCH($C$4,'Thuê bao'!$A$2:$A$677,0))&amp;"","Không tìm thấy")</f>
        <v/>
      </c>
      <c r="E10" s="9">
        <f>$F$5&amp;"/S4"</f>
        <v/>
      </c>
      <c r="F10" s="9">
        <f>COUNTIF('Thuê bao'!$F$2:$F$677,E10)</f>
        <v/>
      </c>
      <c r="G10" s="9">
        <f>COUNTIFS('Thuê bao'!$F$2:$F$677,E10,'Thuê bao'!$N$2:$N$677,"Hoạt động")</f>
        <v/>
      </c>
      <c r="H10" s="9">
        <f>IF(F10=0,"chưa lắp",16-F10)</f>
        <v/>
      </c>
      <c r="I10" s="9">
        <f>IFERROR(INDEX('Thuê bao'!$M$2:$M$677,MATCH(E10,'Thuê bao'!$F$2:$F$677,0))&amp;"","—")</f>
        <v/>
      </c>
    </row>
    <row r="11">
      <c r="B11" s="13" t="inlineStr">
        <is>
          <t>Cáp trục</t>
        </is>
      </c>
      <c r="C11" s="153">
        <f>IFERROR(INDEX('Thuê bao'!$H$2:$H$677,MATCH($C$4,'Thuê bao'!$A$2:$A$677,0))&amp;"","Không tìm thấy")</f>
        <v/>
      </c>
      <c r="E11" s="9">
        <f>$F$5&amp;"/S5"</f>
        <v/>
      </c>
      <c r="F11" s="9">
        <f>COUNTIF('Thuê bao'!$F$2:$F$677,E11)</f>
        <v/>
      </c>
      <c r="G11" s="9">
        <f>COUNTIFS('Thuê bao'!$F$2:$F$677,E11,'Thuê bao'!$N$2:$N$677,"Hoạt động")</f>
        <v/>
      </c>
      <c r="H11" s="9">
        <f>IF(F11=0,"chưa lắp",16-F11)</f>
        <v/>
      </c>
      <c r="I11" s="9">
        <f>IFERROR(INDEX('Thuê bao'!$M$2:$M$677,MATCH(E11,'Thuê bao'!$F$2:$F$677,0))&amp;"","—")</f>
        <v/>
      </c>
    </row>
    <row r="12">
      <c r="B12" s="13" t="inlineStr">
        <is>
          <t>Sợi trục</t>
        </is>
      </c>
      <c r="C12" s="153">
        <f>IFERROR(INDEX('Thuê bao'!$I$2:$I$677,MATCH($C$4,'Thuê bao'!$A$2:$A$677,0))&amp;"","Không tìm thấy")</f>
        <v/>
      </c>
    </row>
    <row r="13">
      <c r="B13" s="13" t="inlineStr">
        <is>
          <t>Ống đệm / màu sợi</t>
        </is>
      </c>
      <c r="C13" s="153">
        <f>IFERROR(INDEX('Thuê bao'!$J$2:$J$677,MATCH($C$4,'Thuê bao'!$A$2:$A$677,0))&amp;"","Không tìm thấy")</f>
        <v/>
      </c>
    </row>
    <row r="14">
      <c r="B14" s="13" t="inlineStr">
        <is>
          <t>ODF-48 (trục)</t>
        </is>
      </c>
      <c r="C14" s="153">
        <f>IFERROR(INDEX('Thuê bao'!$R$2:$R$677,MATCH($C$4,'Thuê bao'!$A$2:$A$677,0))&amp;"","Không tìm thấy")</f>
        <v/>
      </c>
    </row>
    <row r="15">
      <c r="B15" s="13" t="inlineStr">
        <is>
          <t>Khay</t>
        </is>
      </c>
      <c r="C15" s="153">
        <f>IFERROR(INDEX('Thuê bao'!$S$2:$S$677,MATCH($C$4,'Thuê bao'!$A$2:$A$677,0))&amp;"","Không tìm thấy")</f>
        <v/>
      </c>
    </row>
    <row r="16">
      <c r="B16" s="13" t="inlineStr">
        <is>
          <t>Coupler ODF-48</t>
        </is>
      </c>
      <c r="C16" s="153">
        <f>IFERROR(INDEX('Thuê bao'!$T$2:$T$677,MATCH($C$4,'Thuê bao'!$A$2:$A$677,0))&amp;"","Không tìm thấy")</f>
        <v/>
      </c>
    </row>
    <row r="17">
      <c r="B17" s="13" t="inlineStr">
        <is>
          <t>Splitter PM 1:4</t>
        </is>
      </c>
      <c r="C17" s="153">
        <f>IFERROR(INDEX('Thuê bao'!$K$2:$K$677,MATCH($C$4,'Thuê bao'!$A$2:$A$677,0))&amp;"","Không tìm thấy")</f>
        <v/>
      </c>
    </row>
    <row r="18">
      <c r="B18" s="13" t="inlineStr">
        <is>
          <t>ODF-96 cổng ra (nửa-số)</t>
        </is>
      </c>
      <c r="C18" s="153">
        <f>IFERROR(INDEX('Thuê bao'!$L$2:$L$677,MATCH($C$4,'Thuê bao'!$A$2:$A$677,0))&amp;"","Không tìm thấy")</f>
        <v/>
      </c>
    </row>
    <row r="19">
      <c r="B19" s="13" t="inlineStr">
        <is>
          <t>ODF-96 cổng vào (OLT)</t>
        </is>
      </c>
      <c r="C19" s="153">
        <f>IFERROR(INDEX('Thuê bao'!$U$2:$U$677,MATCH($C$4,'Thuê bao'!$A$2:$A$677,0))&amp;"","Không tìm thấy")</f>
        <v/>
      </c>
    </row>
    <row r="20">
      <c r="B20" s="13" t="inlineStr">
        <is>
          <t>PON</t>
        </is>
      </c>
      <c r="C20" s="153">
        <f>IFERROR(INDEX('Thuê bao'!$M$2:$M$677,MATCH($C$4,'Thuê bao'!$A$2:$A$677,0))&amp;"","Không tìm thấy")</f>
        <v/>
      </c>
    </row>
    <row r="21">
      <c r="B21" s="13" t="inlineStr">
        <is>
          <t>Trạng thái</t>
        </is>
      </c>
      <c r="C21" s="153">
        <f>IFERROR(INDEX('Thuê bao'!$N$2:$N$677,MATCH($C$4,'Thuê bao'!$A$2:$A$677,0))&amp;"","Không tìm thấy")</f>
        <v/>
      </c>
    </row>
    <row r="22">
      <c r="B22" s="13" t="inlineStr">
        <is>
          <t>Serial / Ghi chú</t>
        </is>
      </c>
      <c r="C22" s="153">
        <f>IFERROR(INDEX('Thuê bao'!$O$2:$O$677,MATCH($C$4,'Thuê bao'!$A$2:$A$677,0))&amp;"","Không tìm thấy")</f>
        <v/>
      </c>
    </row>
    <row r="23">
      <c r="B23" s="13" t="inlineStr">
        <is>
          <t>Đường quang</t>
        </is>
      </c>
      <c r="C23" s="153">
        <f>IFERROR(INDEX('Thuê bao'!$Q$2:$Q$677,MATCH($C$4,'Thuê bao'!$A$2:$A$677,0))&amp;"","Không tìm thấy")</f>
        <v/>
      </c>
    </row>
  </sheetData>
  <mergeCells count="1">
    <mergeCell ref="E4:I4"/>
  </mergeCells>
  <dataValidations count="2">
    <dataValidation sqref="C4" showDropDown="0" showInputMessage="0" showErrorMessage="0" allowBlank="0" type="list">
      <formula1>='Thuê bao'!$A$2:$A$677</formula1>
    </dataValidation>
    <dataValidation sqref="F5" showDropDown="0" showInputMessage="0" showErrorMessage="0" allowBlank="0" type="list">
      <formula1>='Tủ phối quang'!$A$5:$A$21</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tabColor rgb="00C00000"/>
    <outlinePr summaryBelow="1" summaryRight="1"/>
    <pageSetUpPr fitToPage="1"/>
  </sheetPr>
  <dimension ref="A1:L6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2" customWidth="1" min="3" max="3"/>
    <col width="17" customWidth="1" min="4" max="4"/>
    <col width="17" customWidth="1" min="5" max="5"/>
    <col width="42" customWidth="1" min="6" max="6"/>
    <col width="44" customWidth="1" min="7" max="7"/>
    <col width="44" customWidth="1" min="8" max="8"/>
    <col width="38" customWidth="1" min="9" max="9"/>
    <col width="34" customWidth="1" min="10" max="10"/>
    <col width="8" customWidth="1" min="11" max="11"/>
    <col width="14" customWidth="1" min="12" max="12"/>
  </cols>
  <sheetData>
    <row r="1">
      <c r="A1" s="1" t="inlineStr">
        <is>
          <t>Sự cố tuyến quang và phương án khắc phục (từ dây nhảy PON ở OLT đến fast connector cắm modem)</t>
        </is>
      </c>
    </row>
    <row r="2">
      <c r="A2" s="2" t="inlineStr">
        <is>
          <t>Phạm vi: OLT (cổng PON, SFP) → dây nhảy → ODF-96 → splitter 1:4 → ODF-96 → dây nhảy → ODF-48 → cáp trục 24FO → cáp nhánh 8FO → tủ (splitter 1:16) → cáp 1FO → hộp BOX → fast connector. Số hộ ảnh hưởng tính từ dữ liệu thiết kế.</t>
        </is>
      </c>
    </row>
    <row r="4" ht="44" customHeight="1">
      <c r="A4" s="7" t="inlineStr">
        <is>
          <t>Mã</t>
        </is>
      </c>
      <c r="B4" s="7" t="inlineStr">
        <is>
          <t>Đoạn tuyến</t>
        </is>
      </c>
      <c r="C4" s="7" t="inlineStr">
        <is>
          <t>Sự cố</t>
        </is>
      </c>
      <c r="D4" s="7" t="inlineStr">
        <is>
          <t>Phạm vi</t>
        </is>
      </c>
      <c r="E4" s="7" t="inlineStr">
        <is>
          <t>Số hộ ảnh hưởng (nhỏ nhất / TB / lớn nhất)</t>
        </is>
      </c>
      <c r="F4" s="7" t="inlineStr">
        <is>
          <t>Triệu chứng</t>
        </is>
      </c>
      <c r="G4" s="7" t="inlineStr">
        <is>
          <t>Chẩn đoán và đo kiểm</t>
        </is>
      </c>
      <c r="H4" s="7" t="inlineStr">
        <is>
          <t>Khắc phục tạm thời</t>
        </is>
      </c>
      <c r="I4" s="7" t="inlineStr">
        <is>
          <t>Khắc phục dứt điểm</t>
        </is>
      </c>
      <c r="J4" s="7" t="inlineStr">
        <is>
          <t>Phòng ngừa</t>
        </is>
      </c>
      <c r="K4" s="7" t="inlineStr">
        <is>
          <t>Ưu tiên</t>
        </is>
      </c>
      <c r="L4" s="7" t="inlineStr">
        <is>
          <t>Thời gian mục tiêu (ước tính)</t>
        </is>
      </c>
    </row>
    <row r="5" ht="60" customHeight="1">
      <c r="A5" s="156" t="inlineStr">
        <is>
          <t>P1</t>
        </is>
      </c>
      <c r="B5" s="157" t="inlineStr">
        <is>
          <t>OLT: cổng PON và module quang SFP</t>
        </is>
      </c>
      <c r="C5" s="158" t="inlineStr">
        <is>
          <t>Cổng PON / SFP trên OLT hỏng hoặc phát yếu</t>
        </is>
      </c>
      <c r="D5" s="159" t="inlineStr">
        <is>
          <t>Cả 1 PON</t>
        </is>
      </c>
      <c r="E5" s="159" t="inlineStr">
        <is>
          <t>31 / 42 / 56</t>
        </is>
      </c>
      <c r="F5" s="157" t="inlineStr">
        <is>
          <t>Toàn bộ ONU của PON mất tín hiệu (LOS) cùng một lúc; OLT báo PON port down hoặc Tx power thấp; các PON khác bình thường.</t>
        </is>
      </c>
      <c r="G5" s="157" t="inlineStr">
        <is>
          <t>Xem trạng thái và DDM của SFP trên OLT (Tx power, nhiệt độ, dòng bias). Đo công suất phát bằng OPM tại đầu dây nhảy, so với số đo lúc nghiệm thu.</t>
        </is>
      </c>
      <c r="H5" s="157" t="inlineStr">
        <is>
          <t>Thay SFP dự phòng đúng chuẩn (GPON/XGS-PON, class B+/C+). Nếu cổng PON hỏng: dời dây nhảy sang cổng PON trống của OLT, cấu hình lại profile và ghi lại PON mới.</t>
        </is>
      </c>
      <c r="I5" s="157" t="inlineStr">
        <is>
          <t>Thay SFP hoặc card PON (bảo hành/RMA). Cập nhật bảng đấu nối PON ↔ cổng vào ODF-96.</t>
        </is>
      </c>
      <c r="J5" s="157" t="inlineStr">
        <is>
          <t>Dự trữ ít nhất 2 SFP mỗi loại. Ghi Tx power chuẩn khi nghiệm thu, đặt ngưỡng cảnh báo DDM.</t>
        </is>
      </c>
      <c r="K5" s="160" t="inlineStr">
        <is>
          <t>P1</t>
        </is>
      </c>
      <c r="L5" s="159" t="inlineStr">
        <is>
          <t>15-30 phút</t>
        </is>
      </c>
    </row>
    <row r="6" ht="73.5" customHeight="1">
      <c r="A6" s="156" t="inlineStr">
        <is>
          <t>P2</t>
        </is>
      </c>
      <c r="B6" s="157" t="inlineStr">
        <is>
          <t>Dây nhảy PON: OLT → ODF-96 (cổng vào)</t>
        </is>
      </c>
      <c r="C6" s="158" t="inlineStr">
        <is>
          <t>Dây nhảy OLT → ODF-96 hoặc adapter cổng vào bị bẩn, gập, hỏng</t>
        </is>
      </c>
      <c r="D6" s="159" t="inlineStr">
        <is>
          <t>Cả 1 PON</t>
        </is>
      </c>
      <c r="E6" s="159" t="inlineStr">
        <is>
          <t>31 / 42 / 56</t>
        </is>
      </c>
      <c r="F6" s="157" t="inlineStr">
        <is>
          <t>Toàn bộ ONU của PON mất hoặc chập chờn; Tx power OLT bình thường nhưng công suất tại cổng vào ODF-96 thấp hoặc không có; thường xảy ra sau thao tác tại rack (rút nhầm, uốn gập).</t>
        </is>
      </c>
      <c r="G6" s="157" t="inlineStr">
        <is>
          <t>Đo OPM tại đầu dây nhảy phía ODF-96. Vệ sinh đầu SC/APC bằng bút vệ sinh, soi end-face bằng kính hiển vi. Kiểm tra bán kính uốn; dùng VFL xem rò sáng.</t>
        </is>
      </c>
      <c r="H6" s="157" t="inlineStr">
        <is>
          <t>Thay ngay dây nhảy SC/APC dự phòng (đầu xanh lá, không dùng UPC). Vệ sinh adapter.</t>
        </is>
      </c>
      <c r="I6" s="157" t="inlineStr">
        <is>
          <t>Thay adapter ODF-96 nếu hỏng; chỉnh lại đường đi dây, giữ bán kính uốn ≥ 30 mm; dán nhãn hai đầu.</t>
        </is>
      </c>
      <c r="J6" s="157" t="inlineStr">
        <is>
          <t>Nhãn hai đầu (PON-k ↔ A/B-số cổng), khay quản lý cáp, chỉ dùng APC với APC.</t>
        </is>
      </c>
      <c r="K6" s="160" t="inlineStr">
        <is>
          <t>P1</t>
        </is>
      </c>
      <c r="L6" s="159" t="inlineStr">
        <is>
          <t>10-20 phút</t>
        </is>
      </c>
    </row>
    <row r="7" ht="60" customHeight="1">
      <c r="A7" s="156" t="inlineStr">
        <is>
          <t>P3</t>
        </is>
      </c>
      <c r="B7" s="157" t="inlineStr">
        <is>
          <t>Splitter 1:4 tại phòng máy</t>
        </is>
      </c>
      <c r="C7" s="158" t="inlineStr">
        <is>
          <t>Splitter 1:4 hỏng hoặc suy hao tăng</t>
        </is>
      </c>
      <c r="D7" s="159" t="inlineStr">
        <is>
          <t>Cả 1 PON</t>
        </is>
      </c>
      <c r="E7" s="159" t="inlineStr">
        <is>
          <t>31 / 42 / 56</t>
        </is>
      </c>
      <c r="F7" s="157" t="inlineStr">
        <is>
          <t>Toàn bộ ONU của PON mất, hoặc Rx của mọi ONU thuộc PON giảm bất thường (hơn 3 dB so với chuẩn); OLT và dây nhảy bình thường.</t>
        </is>
      </c>
      <c r="G7" s="157" t="inlineStr">
        <is>
          <t>Đo công suất tại cổng vào splitter và từng cổng ra; chênh lệch kỳ vọng khoảng 7,3 dB. Có ánh sáng vào mà ra không có hoặc yếu bất thường thì nghi splitter.</t>
        </is>
      </c>
      <c r="H7" s="157" t="inlineStr">
        <is>
          <t>Thay splitter 1:4 dự phòng, cắm lại đúng 4 cổng ra theo bảng cổng.</t>
        </is>
      </c>
      <c r="I7" s="157" t="inlineStr">
        <is>
          <t>Thay hẳn, đo Rx một số ONU mẫu, cập nhật số seri và ngày thay.</t>
        </is>
      </c>
      <c r="J7" s="157" t="inlineStr">
        <is>
          <t>Dự trữ 1-2 splitter 1:4. Lưu số đo chuẩn (công suất vào/ra) lúc nghiệm thu.</t>
        </is>
      </c>
      <c r="K7" s="160" t="inlineStr">
        <is>
          <t>P1</t>
        </is>
      </c>
      <c r="L7" s="159" t="inlineStr">
        <is>
          <t>20-40 phút</t>
        </is>
      </c>
    </row>
    <row r="8" ht="46.5" customHeight="1">
      <c r="A8" s="156" t="inlineStr">
        <is>
          <t>S4</t>
        </is>
      </c>
      <c r="B8" s="157" t="inlineStr">
        <is>
          <t>Dây nhảy ODF-96 (cổng ra) → ODF-48</t>
        </is>
      </c>
      <c r="C8" s="158" t="inlineStr">
        <is>
          <t>Dây nhảy hoặc adapter giữa ODF-96 và ODF-48 hỏng</t>
        </is>
      </c>
      <c r="D8" s="159" t="inlineStr">
        <is>
          <t>Một splitter 1:16 (một tầng)</t>
        </is>
      </c>
      <c r="E8" s="159" t="inlineStr">
        <is>
          <t>8 / 14 / 15</t>
        </is>
      </c>
      <c r="F8" s="157" t="inlineStr">
        <is>
          <t>Cả nhóm ONU thuộc cùng một splitter 1:16 (cùng tủ, cùng tầng) mất đồng loạt; các nhánh khác của PON vẫn bình thường.</t>
        </is>
      </c>
      <c r="G8" s="157" t="inlineStr">
        <is>
          <t>Tra mã splitter trong app/Excel để biết cổng ODF-96 và coupler ODF-48. Đo OPM hai đầu dây nhảy; vệ sinh và soi end-face.</t>
        </is>
      </c>
      <c r="H8" s="157" t="inlineStr">
        <is>
          <t>Thay dây nhảy dự phòng. Hoặc chuyển nhánh sang cổng ra thứ 4 (dự phòng) của cùng splitter 1:4 nếu PON còn cổng đó, để loại trừ cổng hỏng.</t>
        </is>
      </c>
      <c r="I8" s="157" t="inlineStr">
        <is>
          <t>Thay adapter/dây nhảy, cập nhật bảng dây nhảy.</t>
        </is>
      </c>
      <c r="J8" s="157" t="inlineStr">
        <is>
          <t>Nhãn hai đầu từng dây nhảy; không cắm rút các dây khác khi chưa cần.</t>
        </is>
      </c>
      <c r="K8" s="161" t="inlineStr">
        <is>
          <t>P2</t>
        </is>
      </c>
      <c r="L8" s="159" t="inlineStr">
        <is>
          <t>10-20 phút</t>
        </is>
      </c>
    </row>
    <row r="9" ht="46.5" customHeight="1">
      <c r="A9" s="156" t="inlineStr">
        <is>
          <t>S5</t>
        </is>
      </c>
      <c r="B9" s="157" t="inlineStr">
        <is>
          <t>Cáp trục: 1 sợi (coupler ODF-48 → đầu vào splitter tại tủ)</t>
        </is>
      </c>
      <c r="C9" s="158" t="inlineStr">
        <is>
          <t>Một sợi trục bị gãy, mối hàn hoặc pigtail hỏng</t>
        </is>
      </c>
      <c r="D9" s="159" t="inlineStr">
        <is>
          <t>Một splitter 1:16 (một tầng)</t>
        </is>
      </c>
      <c r="E9" s="159" t="inlineStr">
        <is>
          <t>8 / 14 / 15</t>
        </is>
      </c>
      <c r="F9" s="157" t="inlineStr">
        <is>
          <t>Cả nhóm ONU của một splitter 1:16 mất; các splitter khác trên cùng cáp trục vẫn bình thường (khác với đứt cả cáp).</t>
        </is>
      </c>
      <c r="G9" s="157" t="inlineStr">
        <is>
          <t>OTDR từ ODF-48 đo đúng sợi đó (dùng dây phóng đủ dài) để xác định khoảng cách. Dùng VFL tại tủ và đo OPM tại đầu vào splitter tủ.</t>
        </is>
      </c>
      <c r="H9" s="157" t="inlineStr">
        <is>
          <t>Chuyển sang sợi dự phòng trong dải 8FO của cùng tủ: đổi coupler ở ODF-48 và cổng vào splitter ở tủ; ghi lại số sợi mới.</t>
        </is>
      </c>
      <c r="I9" s="157" t="inlineStr">
        <is>
          <t>Hàn lại mối hàn hoặc thay pigtail; sửa xong có thể trả về sợi cũ. Cập nhật bảng sợi trục.</t>
        </is>
      </c>
      <c r="J9" s="157" t="inlineStr">
        <is>
          <t>Giữ sợi dự phòng không dùng; lưu OTDR chuẩn từng sợi lúc nghiệm thu.</t>
        </is>
      </c>
      <c r="K9" s="161" t="inlineStr">
        <is>
          <t>P2</t>
        </is>
      </c>
      <c r="L9" s="159" t="inlineStr">
        <is>
          <t>30-90 phút</t>
        </is>
      </c>
    </row>
    <row r="10" ht="46.5" customHeight="1">
      <c r="A10" s="156" t="inlineStr">
        <is>
          <t>S9</t>
        </is>
      </c>
      <c r="B10" s="157" t="inlineStr">
        <is>
          <t>Tủ: splitter 1:16</t>
        </is>
      </c>
      <c r="C10" s="158" t="inlineStr">
        <is>
          <t>Splitter 1:16 hỏng, đầu vào bẩn hoặc cổng ra hỏng</t>
        </is>
      </c>
      <c r="D10" s="159" t="inlineStr">
        <is>
          <t>Một splitter 1:16 (một tầng)</t>
        </is>
      </c>
      <c r="E10" s="159" t="inlineStr">
        <is>
          <t>8 / 14 / 15</t>
        </is>
      </c>
      <c r="F10" s="157" t="inlineStr">
        <is>
          <t>ONU của một splitter mất toàn bộ (hoặc vài cổng cùng chết nếu hỏng một phần); Rx các ONU còn lại thấp bất thường.</t>
        </is>
      </c>
      <c r="G10" s="157" t="inlineStr">
        <is>
          <t>Đo OPM đầu vào splitter (kỳ vọng khoảng -5 đến -8 dBm theo tính toán) và từng cổng ra (chênh khoảng 13,8 dB). Vệ sinh adapter đầu vào.</t>
        </is>
      </c>
      <c r="H10" s="157" t="inlineStr">
        <is>
          <t>Thay bằng splitter dự phòng mang theo. Nếu chỉ một cổng ra hỏng: chuyển căn hộ đó sang cổng trống cùng splitter và ghi lại cổng mới.</t>
        </is>
      </c>
      <c r="I10" s="157" t="inlineStr">
        <is>
          <t>Thay splitter, ghi seri và ngày; đo lại Rx ONU mẫu.</t>
        </is>
      </c>
      <c r="J10" s="157" t="inlineStr">
        <is>
          <t>Đậy nắp bụi mọi cổng chưa dùng; tủ có khóa và niêm phong.</t>
        </is>
      </c>
      <c r="K10" s="161" t="inlineStr">
        <is>
          <t>P2</t>
        </is>
      </c>
      <c r="L10" s="159" t="inlineStr">
        <is>
          <t>20-45 phút</t>
        </is>
      </c>
    </row>
    <row r="11" ht="46.5" customHeight="1">
      <c r="A11" s="156" t="inlineStr">
        <is>
          <t>C7</t>
        </is>
      </c>
      <c r="B11" s="157" t="inlineStr">
        <is>
          <t>Cáp nhánh 8FO: tủ → tủ hub (hộp nối tại hub)</t>
        </is>
      </c>
      <c r="C11" s="158" t="inlineStr">
        <is>
          <t>Đứt cáp nhánh 8FO hoặc hỏng mối hàn tại hub</t>
        </is>
      </c>
      <c r="D11" s="159" t="inlineStr">
        <is>
          <t>Cả 1 tủ</t>
        </is>
      </c>
      <c r="E11" s="159" t="inlineStr">
        <is>
          <t>14 / 40 / 48</t>
        </is>
      </c>
      <c r="F11" s="157" t="inlineStr">
        <is>
          <t>Toàn bộ căn hộ của một tủ (14-48 hộ, 1-5 splitter) mất; các tủ khác cùng cáp trục bình thường; nhiều PON mất một phần.</t>
        </is>
      </c>
      <c r="G11" s="157" t="inlineStr">
        <is>
          <t>OTDR từ ODF-48 trên từng sợi của tủ đó để biết khoảng cách điểm đứt; mở hộp nối tại hub kiểm tra mối hàn.</t>
        </is>
      </c>
      <c r="H11" s="157" t="inlineStr">
        <is>
          <t>Không có đường dự phòng vật lý. Nếu hỏng mối hàn: hàn lại ngay. Nếu cự ly ngắn: kéo cáp tạm nối trực tiếp.</t>
        </is>
      </c>
      <c r="I11" s="157" t="inlineStr">
        <is>
          <t>Hàn nối hoặc thay đoạn cáp 8FO, đo OTDR nghiệm thu, cập nhật hồ sơ.</t>
        </is>
      </c>
      <c r="J11" s="157" t="inlineStr">
        <is>
          <t>Cáp đi trong ống/thang cáp, hộp nối có khóa; lưu OTDR chuẩn.</t>
        </is>
      </c>
      <c r="K11" s="160" t="inlineStr">
        <is>
          <t>P1</t>
        </is>
      </c>
      <c r="L11" s="159" t="inlineStr">
        <is>
          <t>1-3 giờ</t>
        </is>
      </c>
    </row>
    <row r="12" ht="46.5" customHeight="1">
      <c r="A12" s="156" t="inlineStr">
        <is>
          <t>C8</t>
        </is>
      </c>
      <c r="B12" s="157" t="inlineStr">
        <is>
          <t>Tủ phối quang (vật lý)</t>
        </is>
      </c>
      <c r="C12" s="158" t="inlineStr">
        <is>
          <t>Tủ bị phá hoại, vào nước hoặc cháy</t>
        </is>
      </c>
      <c r="D12" s="159" t="inlineStr">
        <is>
          <t>Cả 1 tủ</t>
        </is>
      </c>
      <c r="E12" s="159" t="inlineStr">
        <is>
          <t>14 / 40 / 48</t>
        </is>
      </c>
      <c r="F12" s="157" t="inlineStr">
        <is>
          <t>Mất toàn bộ căn hộ của tủ kèm dấu hiệu hư hại vật lý (cửa mở, nước, mùi cháy).</t>
        </is>
      </c>
      <c r="G12" s="157" t="inlineStr">
        <is>
          <t>Chụp ảnh hiện trường; kiểm tra từng splitter, adapter, pigtail; đo OPM trên cáp trục tại tủ.</t>
        </is>
      </c>
      <c r="H12" s="157" t="inlineStr">
        <is>
          <t>Dựng tạm bằng splitter mang theo, cắm lại các cáp 1FO theo bảng cổng (cáp 1FO đặt cố định nên chỉ cần cắm đúng cổng đã quy hoạch).</t>
        </is>
      </c>
      <c r="I12" s="157" t="inlineStr">
        <is>
          <t>Thay tủ/splitter, hàn lại pigtail, khóa và niêm phong, cập nhật seri.</t>
        </is>
      </c>
      <c r="J12" s="157" t="inlineStr">
        <is>
          <t>Khóa tủ, niêm phong, kiểm tra định kỳ; giữ kỹ thuật viên có bảng cổng bản in và bản điện tử.</t>
        </is>
      </c>
      <c r="K12" s="160" t="inlineStr">
        <is>
          <t>P1</t>
        </is>
      </c>
      <c r="L12" s="159" t="inlineStr">
        <is>
          <t>2-4 giờ</t>
        </is>
      </c>
    </row>
    <row r="13" ht="60" customHeight="1">
      <c r="A13" s="156" t="inlineStr">
        <is>
          <t>T6</t>
        </is>
      </c>
      <c r="B13" s="157" t="inlineStr">
        <is>
          <t>Cáp trục 24FO (ODF-48 → tủ)</t>
        </is>
      </c>
      <c r="C13" s="158" t="inlineStr">
        <is>
          <t>Đứt cáp trục 24FO</t>
        </is>
      </c>
      <c r="D13" s="159" t="inlineStr">
        <is>
          <t>Cả 1 cáp trục 24FO</t>
        </is>
      </c>
      <c r="E13" s="159" t="inlineStr">
        <is>
          <t>90 / 113 / 131</t>
        </is>
      </c>
      <c r="F13" s="157" t="inlineStr">
        <is>
          <t>Mất đồng loạt nhiều tủ trên cùng một cáp trục (khoảng 90-131 hộ); nhiều PON mất các nhánh đi trên trục đó; OLT báo ONU LOS theo từng nhóm splitter.</t>
        </is>
      </c>
      <c r="G13" s="157" t="inlineStr">
        <is>
          <t>OTDR 1-2 sợi trục từ ODF-48 xác định khoảng cách tới điểm đứt, đối chiếu với chiều dài tuyến; kiểm tra khu vực có thi công, khoan, cháy; hộp nối tại hub.</t>
        </is>
      </c>
      <c r="H13" s="157" t="inlineStr">
        <is>
          <t>Không có tuyến dự phòng. Hàn nối nhanh bằng măng-xông hoặc hộp nối tạm tại điểm đứt; ưu tiên sợi của cụm tầng đông hộ. Nếu hư dài: kéo cáp tạm theo tuyến khác.</t>
        </is>
      </c>
      <c r="I13" s="157" t="inlineStr">
        <is>
          <t>Thay đoạn cáp, hàn đủ 24 sợi, đo OTDR nghiệm thu và cập nhật hồ sơ.</t>
        </is>
      </c>
      <c r="J13" s="157" t="inlineStr">
        <is>
          <t>Đi cáp trong ống/thang cáp kín; khóa hộp kỹ thuật; lưu OTDR chuẩn từng sợi để so sánh.</t>
        </is>
      </c>
      <c r="K13" s="160" t="inlineStr">
        <is>
          <t>P1</t>
        </is>
      </c>
      <c r="L13" s="159" t="inlineStr">
        <is>
          <t>2-6 giờ</t>
        </is>
      </c>
    </row>
    <row r="14" ht="46.5" customHeight="1">
      <c r="A14" s="156" t="inlineStr">
        <is>
          <t>H11</t>
        </is>
      </c>
      <c r="B14" s="157" t="inlineStr">
        <is>
          <t>Cáp 1FO: tủ → hộp BOX căn hộ</t>
        </is>
      </c>
      <c r="C14" s="158" t="inlineStr">
        <is>
          <t>Cáp 1FO bị đứt hoặc gập (đặt cố định trong ống)</t>
        </is>
      </c>
      <c r="D14" s="159" t="inlineStr">
        <is>
          <t>Một căn hộ</t>
        </is>
      </c>
      <c r="E14" s="159" t="inlineStr">
        <is>
          <t>1</t>
        </is>
      </c>
      <c r="F14" s="157" t="inlineStr">
        <is>
          <t>Một ONU mất tín hiệu hoặc Rx rất thấp; các ONU cùng splitter bình thường.</t>
        </is>
      </c>
      <c r="G14" s="157" t="inlineStr">
        <is>
          <t>Đo OPM tại cổng splitter ở tủ (có ánh sáng) và tại hộp BOX căn hộ. Dùng VFL từ tủ tìm điểm rò sáng; OTDR có dây phóng cho đoạn ngắn.</t>
        </is>
      </c>
      <c r="H14" s="157" t="inlineStr">
        <is>
          <t>Cáp đặt cố định nên không có đường khác. Chuyển sang cổng trống chỉ giải quyết lỗi cổng splitter, không giải quyết đứt cáp.</t>
        </is>
      </c>
      <c r="I14" s="157" t="inlineStr">
        <is>
          <t>Hàn nối cáp 1FO (mối hàn nóng chảy + ống co) tại điểm đứt hoặc kéo thay cáp trong ống nếu còn chỗ.</t>
        </is>
      </c>
      <c r="J14" s="157" t="inlineStr">
        <is>
          <t>Dán nhãn hai đầu; bán kính uốn tại hộp BOX; không bó cáp quá chặt.</t>
        </is>
      </c>
      <c r="K14" s="162" t="inlineStr">
        <is>
          <t>P3</t>
        </is>
      </c>
      <c r="L14" s="159" t="inlineStr">
        <is>
          <t>1-2 giờ</t>
        </is>
      </c>
    </row>
    <row r="15" ht="46.5" customHeight="1">
      <c r="A15" s="156" t="inlineStr">
        <is>
          <t>H12</t>
        </is>
      </c>
      <c r="B15" s="157" t="inlineStr">
        <is>
          <t>Hộp BOX → fast connector → modem</t>
        </is>
      </c>
      <c r="C15" s="158" t="inlineStr">
        <is>
          <t>Đầu fast connector hoặc ổ BOX tại căn hộ hỏng</t>
        </is>
      </c>
      <c r="D15" s="159" t="inlineStr">
        <is>
          <t>Một căn hộ</t>
        </is>
      </c>
      <c r="E15" s="159" t="inlineStr">
        <is>
          <t>1</t>
        </is>
      </c>
      <c r="F15" s="157" t="inlineStr">
        <is>
          <t>Modem báo LOS hoặc Rx dưới -27 dBm nhưng cáp 1FO tốt; thường xảy ra sau lắp đặt hoặc di dời modem.</t>
        </is>
      </c>
      <c r="G15" s="157" t="inlineStr">
        <is>
          <t>Đo OPM tại fast connector; soi và vệ sinh đầu; thử dây nhảy từ BOX tới modem.</t>
        </is>
      </c>
      <c r="H15" s="157" t="inlineStr">
        <is>
          <t>Cắm dây nhảy SC/APC dự phòng thẳng từ BOX vào modem; vệ sinh đầu cắm.</t>
        </is>
      </c>
      <c r="I15" s="157" t="inlineStr">
        <is>
          <t>Cắt và đấu lại fast connector (SC/APC), kiểm tra suy hao đầu cắm ≤ 0,5 dB; thay ổ BOX nếu nứt.</t>
        </is>
      </c>
      <c r="J15" s="157" t="inlineStr">
        <is>
          <t>Dùng fast connector chất lượng; đo Rx sau khi lắp; đậy nắp bụi; dặn khách không bẻ gập dây.</t>
        </is>
      </c>
      <c r="K15" s="162" t="inlineStr">
        <is>
          <t>P3</t>
        </is>
      </c>
      <c r="L15" s="159" t="inlineStr">
        <is>
          <t>20-40 phút</t>
        </is>
      </c>
    </row>
    <row r="16" ht="46.5" customHeight="1">
      <c r="A16" s="156" t="inlineStr">
        <is>
          <t>H13</t>
        </is>
      </c>
      <c r="B16" s="157" t="inlineStr">
        <is>
          <t>Tủ: cổng splitter của căn hộ (cắm nhầm hoặc nhãn sai)</t>
        </is>
      </c>
      <c r="C16" s="158" t="inlineStr">
        <is>
          <t>Cắm nhầm cổng hoặc dán nhãn sai tại tủ</t>
        </is>
      </c>
      <c r="D16" s="159" t="inlineStr">
        <is>
          <t>Một căn hộ</t>
        </is>
      </c>
      <c r="E16" s="159" t="inlineStr">
        <is>
          <t>1</t>
        </is>
      </c>
      <c r="F16" s="157" t="inlineStr">
        <is>
          <t>Một căn hộ mất hoặc OLT hiện ONU ở sai splitter so với bảng; thường xảy ra sau thao tác tại tủ.</t>
        </is>
      </c>
      <c r="G16" s="157" t="inlineStr">
        <is>
          <t>Đối chiếu nhãn cáp 1FO hai đầu với bảng cổng. Cắm VFL tại hộp BOX căn hộ rồi xem sợi nào sáng trong tủ.</t>
        </is>
      </c>
      <c r="H16" s="157" t="inlineStr">
        <is>
          <t>Cắm lại đúng cổng theo bảng.</t>
        </is>
      </c>
      <c r="I16" s="157" t="inlineStr">
        <is>
          <t>Dán lại nhãn hai đầu, ghi lại cổng thực tế vào bảng (nếu phải đổi cổng, ghi vào nhật ký).</t>
        </is>
      </c>
      <c r="J16" s="157" t="inlineStr">
        <is>
          <t>Quy hoạch cổng cố định cho từng căn hộ và in bảng cổng dán trong cửa tủ.</t>
        </is>
      </c>
      <c r="K16" s="162" t="inlineStr">
        <is>
          <t>P3</t>
        </is>
      </c>
      <c r="L16" s="159" t="inlineStr">
        <is>
          <t>10-20 phút</t>
        </is>
      </c>
    </row>
    <row r="17" ht="46.5" customHeight="1">
      <c r="A17" s="156" t="inlineStr">
        <is>
          <t>H14</t>
        </is>
      </c>
      <c r="B17" s="157" t="inlineStr">
        <is>
          <t>Toàn tuyến 1 căn hộ: đầu nối bẩn hoặc uốn gấp</t>
        </is>
      </c>
      <c r="C17" s="158" t="inlineStr">
        <is>
          <t>Suy hao cao, chưa mất hẳn (đầu nối bẩn, uốn gấp)</t>
        </is>
      </c>
      <c r="D17" s="159" t="inlineStr">
        <is>
          <t>Một căn hộ</t>
        </is>
      </c>
      <c r="E17" s="159" t="inlineStr">
        <is>
          <t>1</t>
        </is>
      </c>
      <c r="F17" s="157" t="inlineStr">
        <is>
          <t>ONU chập chờn, Rx khoảng -26 đến -30 dBm, lỗi FEC/BIP tăng; có lúc tự phục hồi.</t>
        </is>
      </c>
      <c r="G17" s="157" t="inlineStr">
        <is>
          <t>Đo OPM ở các điểm: fast connector, hộp BOX, cổng splitter ở tủ để tìm đoạn mất nhiều nhất. Soi end-face từng đầu nối.</t>
        </is>
      </c>
      <c r="H17" s="157" t="inlineStr">
        <is>
          <t>Vệ sinh toàn bộ đầu nối trong tuyến; nắn lại cáp chỗ uốn gấp.</t>
        </is>
      </c>
      <c r="I17" s="157" t="inlineStr">
        <is>
          <t>Thay đầu nối hoặc đoạn cáp hỏng; đo lại đạt Rx trong khoảng -8 đến -25 dBm.</t>
        </is>
      </c>
      <c r="J17" s="157" t="inlineStr">
        <is>
          <t>Vệ sinh đầu nối mỗi lần cắm rút; đo và lưu Rx chuẩn lúc lắp.</t>
        </is>
      </c>
      <c r="K17" s="163" t="inlineStr">
        <is>
          <t>P4</t>
        </is>
      </c>
      <c r="L17" s="159" t="inlineStr">
        <is>
          <t>20-60 phút</t>
        </is>
      </c>
    </row>
    <row r="18">
      <c r="A18" s="75" t="inlineStr">
        <is>
          <t>Ưu tiên: P1 = mất nhiều hộ, xử lý ngay; P2 = mất một nhóm, xử lý trong ngày; P3 = một căn hộ; P4 = suy giảm chưa mất. Thời gian là ước tính để lập kế hoạch, không phải cam kết.</t>
        </is>
      </c>
    </row>
    <row r="20">
      <c r="A20" s="164" t="inlineStr">
        <is>
          <t>BẢNG TRA NHANH THEO TRIỆU CHỨNG (nhìn danh sách ONU mất trên OLT, gom theo mã splitter)</t>
        </is>
      </c>
    </row>
    <row r="21" ht="24" customHeight="1">
      <c r="A21" s="7" t="inlineStr"/>
      <c r="B21" s="7" t="inlineStr">
        <is>
          <t>Triệu chứng trên OLT</t>
        </is>
      </c>
      <c r="C21" s="165" t="n"/>
      <c r="D21" s="7" t="inlineStr">
        <is>
          <t>Nghi ngờ đoạn</t>
        </is>
      </c>
      <c r="E21" s="165" t="n"/>
      <c r="F21" s="7" t="inlineStr">
        <is>
          <t>Mã sự cố</t>
        </is>
      </c>
      <c r="G21" s="165" t="n"/>
      <c r="H21" s="7" t="inlineStr">
        <is>
          <t>Việc đầu tiên cần đo</t>
        </is>
      </c>
      <c r="I21" s="165" t="n"/>
      <c r="J21" s="7" t="inlineStr"/>
      <c r="K21" s="7" t="inlineStr"/>
      <c r="L21" s="7" t="inlineStr"/>
    </row>
    <row r="22" ht="33" customHeight="1">
      <c r="B22" s="166" t="inlineStr">
        <is>
          <t>Chỉ 1 ONU mất / yếu, các ONU cùng splitter bình thường</t>
        </is>
      </c>
      <c r="D22" s="166" t="inlineStr">
        <is>
          <t>Cáp 1FO, fast connector, cổng splitter của căn hộ đó</t>
        </is>
      </c>
      <c r="F22" s="166" t="inlineStr">
        <is>
          <t>H11, H12, H13, H14</t>
        </is>
      </c>
      <c r="H22" s="166" t="inlineStr">
        <is>
          <t>Đo OPM tại fast connector, rồi tại cổng splitter ở tủ.</t>
        </is>
      </c>
    </row>
    <row r="23" ht="33" customHeight="1">
      <c r="B23" s="166" t="inlineStr">
        <is>
          <t>Cả nhóm ≤ 16 ONU cùng 1 splitter 1:16 (cùng tầng) mất</t>
        </is>
      </c>
      <c r="D23" s="166" t="inlineStr">
        <is>
          <t>Dây nhảy ODF-96 → ODF-48, sợi trục, splitter 1:16</t>
        </is>
      </c>
      <c r="F23" s="166" t="inlineStr">
        <is>
          <t>S4, S5, S9</t>
        </is>
      </c>
      <c r="H23" s="166" t="inlineStr">
        <is>
          <t>Đo tại cổng ra ODF-96; nếu có ánh sáng thì đo tiếp tại đầu vào splitter ở tủ.</t>
        </is>
      </c>
    </row>
    <row r="24" ht="33" customHeight="1">
      <c r="B24" s="166" t="inlineStr">
        <is>
          <t>Cả 1 tủ (14-48 hộ) mất, các tủ khác bình thường</t>
        </is>
      </c>
      <c r="D24" s="166" t="inlineStr">
        <is>
          <t>Cáp nhánh 8FO, hộp nối hub, bản thân tủ</t>
        </is>
      </c>
      <c r="F24" s="166" t="inlineStr">
        <is>
          <t>C7, C8</t>
        </is>
      </c>
      <c r="H24" s="166" t="inlineStr">
        <is>
          <t>OTDR các sợi của tủ từ ODF-48; xem hiện trường tủ.</t>
        </is>
      </c>
    </row>
    <row r="25" ht="33" customHeight="1">
      <c r="B25" s="166" t="inlineStr">
        <is>
          <t>Nhiều tủ cùng 1 cáp trục (khoảng 90-131 hộ) mất</t>
        </is>
      </c>
      <c r="D25" s="166" t="inlineStr">
        <is>
          <t>Cáp trục 24FO</t>
        </is>
      </c>
      <c r="F25" s="166" t="inlineStr">
        <is>
          <t>T6</t>
        </is>
      </c>
      <c r="H25" s="166" t="inlineStr">
        <is>
          <t>OTDR 1-2 sợi trục từ ODF-48, tìm điểm đứt.</t>
        </is>
      </c>
    </row>
    <row r="26" ht="33" customHeight="1">
      <c r="B26" s="166" t="inlineStr">
        <is>
          <t>Cả 1 PON mất (≤ 56 hộ, nhiều tủ cùng PON)</t>
        </is>
      </c>
      <c r="D26" s="166" t="inlineStr">
        <is>
          <t>SFP/cổng PON OLT, dây nhảy OLT → ODF-96, splitter 1:4</t>
        </is>
      </c>
      <c r="F26" s="166" t="inlineStr">
        <is>
          <t>P1, P2, P3</t>
        </is>
      </c>
      <c r="H26" s="166" t="inlineStr">
        <is>
          <t>Xem DDM của SFP, rồi đo tại cổng vào ODF-96, rồi tại 4 cổng ra splitter 1:4.</t>
        </is>
      </c>
    </row>
    <row r="27" ht="60" customHeight="1">
      <c r="B27" s="166" t="inlineStr">
        <is>
          <t>Cả PON mất nhưng SFP, dây nhảy và splitter 1:4 đều tốt</t>
        </is>
      </c>
      <c r="D27" s="166" t="inlineStr">
        <is>
          <t>ONU phát liên tục làm nghẽn PON (rogue ONU, nằm ngoài phạm vi tuyến quang nhưng triệu chứng giống mất PON)</t>
        </is>
      </c>
      <c r="F27" s="166" t="inlineStr">
        <is>
          <t>Cô lập</t>
        </is>
      </c>
      <c r="H27" s="166" t="inlineStr">
        <is>
          <t>Rút lần lượt từng dây nhảy cổng ra ODF-96; nhánh nào làm PON phục hồi thì tìm tiếp trong splitter đó.</t>
        </is>
      </c>
    </row>
    <row r="28" ht="33" customHeight="1">
      <c r="B28" s="166" t="inlineStr">
        <is>
          <t>Nhiều PON mất cùng lúc</t>
        </is>
      </c>
      <c r="D28" s="166" t="inlineStr">
        <is>
          <t>Card OLT, nguồn, uplink (ngoài phạm vi tuyến quang)</t>
        </is>
      </c>
      <c r="F28" s="166" t="inlineStr">
        <is>
          <t>Ngoài phạm vi</t>
        </is>
      </c>
      <c r="H28" s="166" t="inlineStr">
        <is>
          <t>Kiểm tra thiết bị OLT trước khi đi đo cáp.</t>
        </is>
      </c>
    </row>
    <row r="29" ht="33" customHeight="1">
      <c r="B29" s="166" t="inlineStr">
        <is>
          <t>Nhiều ONU Rx thấp đồng loạt nhưng chưa mất</t>
        </is>
      </c>
      <c r="D29" s="166" t="inlineStr">
        <is>
          <t>Đầu nối bẩn ở phòng máy, tăng suy hao ở tuyến chung</t>
        </is>
      </c>
      <c r="F29" s="166" t="inlineStr">
        <is>
          <t>P2, P3, S4</t>
        </is>
      </c>
      <c r="H29" s="166" t="inlineStr">
        <is>
          <t>Vệ sinh và đo từng đầu nối từ OLT xuống ODF-48.</t>
        </is>
      </c>
    </row>
    <row r="31">
      <c r="A31" s="164" t="inlineStr">
        <is>
          <t>TÀI NGUYÊN DỰ PHÒNG CÓ SẴN TRONG THIẾT KẾ (dùng để khắc phục tạm thời)</t>
        </is>
      </c>
    </row>
    <row r="32" ht="18" customHeight="1">
      <c r="A32" s="13" t="inlineStr">
        <is>
          <t>Cổng ra 1:4 dự phòng trên ODF-96 (cổng thứ 4 của PON chưa dùng)</t>
        </is>
      </c>
      <c r="D32" s="8" t="n">
        <v>14</v>
      </c>
    </row>
    <row r="33" ht="18" customHeight="1">
      <c r="A33" s="13" t="inlineStr">
        <is>
          <t>Cổng splitter 1:16 còn trống (dùng chuyển căn hộ khi hỏng cổng)</t>
        </is>
      </c>
      <c r="D33" s="8" t="n">
        <v>124</v>
      </c>
    </row>
    <row r="34" ht="18" customHeight="1">
      <c r="A34" s="13" t="inlineStr">
        <is>
          <t>Sợi dự phòng trong dải 8FO của các tủ (đổi sợi khi sợi hỏng)</t>
        </is>
      </c>
      <c r="D34" s="8" t="n">
        <v>86</v>
      </c>
    </row>
    <row r="35" ht="18" customHeight="1">
      <c r="A35" s="13" t="inlineStr">
        <is>
          <t>Sợi trục chưa cấp cho tủ nào (cáp trục có ít hơn 3 tủ)</t>
        </is>
      </c>
      <c r="D35" s="8" t="n">
        <v>8</v>
      </c>
    </row>
    <row r="36" ht="18" customHeight="1">
      <c r="A36" s="13" t="inlineStr">
        <is>
          <t>Vị trí splitter 1:16 trống trong tủ</t>
        </is>
      </c>
      <c r="D36" s="8" t="n">
        <v>19</v>
      </c>
    </row>
    <row r="38">
      <c r="A38" s="164" t="inlineStr">
        <is>
          <t>DỤNG CỤ VÀ VẬT TƯ DỰ TRỮ</t>
        </is>
      </c>
    </row>
    <row r="39" ht="19.5" customHeight="1">
      <c r="A39" s="98" t="inlineStr">
        <is>
          <t>• Máy đo công suất quang (OPM) dải 1310/1490/1550 nm</t>
        </is>
      </c>
    </row>
    <row r="40" ht="19.5" customHeight="1">
      <c r="A40" s="98" t="inlineStr">
        <is>
          <t>• Bút đo/VFL (đèn đỏ tìm điểm rò sáng)</t>
        </is>
      </c>
    </row>
    <row r="41" ht="19.5" customHeight="1">
      <c r="A41" s="98" t="inlineStr">
        <is>
          <t>• OTDR kèm dây phóng 150-500 m, hai bước sóng 1310/1550 nm</t>
        </is>
      </c>
    </row>
    <row r="42" ht="19.5" customHeight="1">
      <c r="A42" s="98" t="inlineStr">
        <is>
          <t>• Kính soi đầu nối và bút/gạc vệ sinh SC/APC</t>
        </is>
      </c>
    </row>
    <row r="43" ht="19.5" customHeight="1">
      <c r="A43" s="98" t="inlineStr">
        <is>
          <t>• Máy hàn nóng chảy, ống co, dao cắt sợi chuẩn xác, hộp/măng-xông nối</t>
        </is>
      </c>
    </row>
    <row r="44" ht="19.5" customHeight="1">
      <c r="A44" s="98" t="inlineStr">
        <is>
          <t>• Dự trữ: SFP (≥2 mỗi loại), splitter 1:4 (1-2), splitter 1:16 (2), dây nhảy SC/APC các độ dài, adapter, fast connector, pigtail, nhãn</t>
        </is>
      </c>
    </row>
    <row r="46">
      <c r="A46" s="164" t="inlineStr">
        <is>
          <t>GIÁ TRỊ THAM CHIẾU</t>
        </is>
      </c>
    </row>
    <row r="47" ht="18" customHeight="1">
      <c r="A47" s="153" t="inlineStr">
        <is>
          <t>Công suất phát OLT (class B+)</t>
        </is>
      </c>
      <c r="D47" s="13" t="inlineStr">
        <is>
          <t>+1,5 đến +5 dBm</t>
        </is>
      </c>
    </row>
    <row r="48" ht="18" customHeight="1">
      <c r="A48" s="153" t="inlineStr">
        <is>
          <t>Công suất thu ONU hợp lệ</t>
        </is>
      </c>
      <c r="D48" s="13" t="inlineStr">
        <is>
          <t>-8 đến -27 dBm (class B+; quá -8 là quá tải, dưới -27 là mất ổn định)</t>
        </is>
      </c>
    </row>
    <row r="49" ht="18" customHeight="1">
      <c r="A49" s="153" t="inlineStr">
        <is>
          <t>Mức cảnh báo vàng / đỏ (đề xuất)</t>
        </is>
      </c>
      <c r="D49" s="13" t="inlineStr">
        <is>
          <t>Vàng ≤ -25 dBm; Đỏ ≤ -27 dBm hoặc LOS</t>
        </is>
      </c>
    </row>
    <row r="50" ht="18" customHeight="1">
      <c r="A50" s="153" t="inlineStr">
        <is>
          <t>Công suất tại đầu vào splitter 1:16 ở tủ (tính toán)</t>
        </is>
      </c>
      <c r="D50" s="13" t="inlineStr">
        <is>
          <t>khoảng -5 đến -8 dBm</t>
        </is>
      </c>
    </row>
    <row r="51" ht="18" customHeight="1">
      <c r="A51" s="153" t="inlineStr">
        <is>
          <t>Công suất thu ONU (tính toán, đường xấu nhất)</t>
        </is>
      </c>
      <c r="D51" s="13" t="inlineStr">
        <is>
          <t>khoảng -19 đến -23 dBm</t>
        </is>
      </c>
    </row>
    <row r="52" ht="18" customHeight="1">
      <c r="A52" s="153" t="inlineStr">
        <is>
          <t>Chênh lệch splitter 1:4 / 1:16 (điển hình)</t>
        </is>
      </c>
      <c r="D52" s="13" t="inlineStr">
        <is>
          <t>7,3 dB / 13,8 dB</t>
        </is>
      </c>
    </row>
    <row r="53" ht="18" customHeight="1">
      <c r="A53" s="153" t="inlineStr">
        <is>
          <t>Suy hao mỗi đầu nối APC tốt</t>
        </is>
      </c>
      <c r="D53" s="13" t="inlineStr">
        <is>
          <t>≤ 0,3-0,5 dB</t>
        </is>
      </c>
    </row>
    <row r="54" ht="18" customHeight="1">
      <c r="A54" s="153" t="inlineStr">
        <is>
          <t>Lưu ý</t>
        </is>
      </c>
      <c r="D54" s="13" t="inlineStr">
        <is>
          <t>Các số tính toán chỉ để so sánh; luôn ghi số đo thực tế của từng ONU và từng sợi lúc nghiệm thu làm chuẩn.</t>
        </is>
      </c>
    </row>
    <row r="56">
      <c r="A56" s="164" t="inlineStr">
        <is>
          <t>QUY HOẠCH CỔNG TẠI TỦ: CỐ ĐỊNH CHO TỪNG CĂN HỘ HAY CẮM THEO THỨ TỰ KÍCH HOẠT?</t>
        </is>
      </c>
    </row>
    <row r="57" ht="19.5" customHeight="1">
      <c r="A57" s="167" t="inlineStr">
        <is>
          <t>KHUYẾN NGHỊ: QUY HOẠCH CỐ ĐỊNH CỔNG CHO TỪNG CĂN HỘ, đấu sẵn tất cả cáp 1FO vào đúng cổng ngay khi nghiệm thu. Khi khách đăng ký chỉ cần đăng ký ONU trên OLT, không phải ra tủ cắm lần lượt.</t>
        </is>
      </c>
    </row>
    <row r="58" ht="19.5" customHeight="1">
      <c r="A58" s="98" t="inlineStr">
        <is>
          <t>• Lý do 1: cáp 1FO từ tủ tới từng căn hộ đã đặt cố định, nên mỗi căn hộ đã gắn với một đầu cáp; quy hoạch cổng chỉ là chọn cổng cho đầu cáp đó và không phụ thuộc thứ tự khách đăng ký.</t>
        </is>
      </c>
    </row>
    <row r="59" ht="19.5" customHeight="1">
      <c r="A59" s="98" t="inlineStr">
        <is>
          <t>• Lý do 2: tra cứu và xử lý sự cố chắc chắn: từ mã căn hộ biết ngay tủ, splitter, cổng, PON (đúng bảng trong Excel/app); khi mất nhóm ONU trên OLT biết ngay nhóm đó là splitter nào, tầng nào.</t>
        </is>
      </c>
    </row>
    <row r="60" ht="19.5" customHeight="1">
      <c r="A60" s="98" t="inlineStr">
        <is>
          <t>• Lý do 3: đo công suất (Rx) và OTDR chuẩn cho toàn bộ căn hộ ngay một lần khi nghiệm thu, thay vì đo rời rạc từng lần kích hoạt; sau này chỉ cần so sánh với số chuẩn.</t>
        </is>
      </c>
    </row>
    <row r="61" ht="19.5" customHeight="1">
      <c r="A61" s="98" t="inlineStr">
        <is>
          <t>• Lý do 4: tránh sai sót do cắm lần lượt: người cắm sau không biết cổng nào dành cho căn hộ nào, dễ cắm nhầm, nhãn lệch, bảng không còn khớp thực tế. Splitter thụ động nên đấu sẵn không tốn thêm công suất và không làm giảm tải PON.</t>
        </is>
      </c>
    </row>
    <row r="62" ht="33" customHeight="1">
      <c r="A62" s="98" t="inlineStr">
        <is>
          <t>• Quy ước cổng: mỗi splitter 1:16 chỉ phục vụ 1 tầng; cổng 1,2,3... tương ứng box 01,02,03... của tầng đó (tầng có hơn 16 box chia đều cho nhiều splitter, vd tầng 3 tháp A 20 box: S1 box 01-10, S2 box 11-20). Bảng này nằm ở sheet Thuê bao (cột Splitter 1:16 và Cổng splitter).</t>
        </is>
      </c>
    </row>
    <row r="63" ht="19.5" customHeight="1">
      <c r="A63" s="98" t="inlineStr">
        <is>
          <t>• Cổng dự phòng: mỗi splitter còn trống 0-6 cổng (tổng toàn hệ thống khoảng 124 cổng). Dùng để chuyển căn hộ khi một cổng splitter bị hỏng; khi chuyển phải cập nhật bảng và ghi nhật ký.</t>
        </is>
      </c>
    </row>
    <row r="64" ht="19.5" customHeight="1">
      <c r="A64" s="98" t="inlineStr">
        <is>
          <t>• Nhãn: dán nhãn hai đầu mỗi cáp 1FO (mã căn hộ, ví dụ A-18-05 và TU-A18/S2-p3); in bảng cổng dán mặt trong cửa tủ; ghi mã căn hộ vào mô tả ONU trên OLT để cảnh báo hiển thị đúng căn hộ.</t>
        </is>
      </c>
    </row>
    <row r="65" ht="19.5" customHeight="1">
      <c r="A65" s="98" t="inlineStr">
        <is>
          <t>• Khi nào không nên đấu sẵn: chỉ khi cần tiết kiệm đầu nối/adapter chưa mua hoặc tủ chưa đủ splitter. Khi đó vẫn giữ nguyên quy hoạch cổng, chỉ cắm dần theo đúng cổng đã định (không cắm theo thứ tự đăng ký).</t>
        </is>
      </c>
    </row>
  </sheetData>
  <mergeCells count="82">
    <mergeCell ref="F29:G29"/>
    <mergeCell ref="F25:G25"/>
    <mergeCell ref="A46:L46"/>
    <mergeCell ref="B22:C22"/>
    <mergeCell ref="D48:L48"/>
    <mergeCell ref="D22:E22"/>
    <mergeCell ref="D36:E36"/>
    <mergeCell ref="A57:L57"/>
    <mergeCell ref="B21:C21"/>
    <mergeCell ref="A52:C52"/>
    <mergeCell ref="D51:L51"/>
    <mergeCell ref="A63:L63"/>
    <mergeCell ref="F23:G23"/>
    <mergeCell ref="A34:C34"/>
    <mergeCell ref="B24:C24"/>
    <mergeCell ref="A49:C49"/>
    <mergeCell ref="D24:E24"/>
    <mergeCell ref="D33:E33"/>
    <mergeCell ref="H23:I23"/>
    <mergeCell ref="B26:C26"/>
    <mergeCell ref="D26:E26"/>
    <mergeCell ref="D35:E35"/>
    <mergeCell ref="B25:C25"/>
    <mergeCell ref="D34:E34"/>
    <mergeCell ref="B27:C27"/>
    <mergeCell ref="D53:L53"/>
    <mergeCell ref="D47:L47"/>
    <mergeCell ref="H25:I25"/>
    <mergeCell ref="A32:C32"/>
    <mergeCell ref="A38:L38"/>
    <mergeCell ref="B29:C29"/>
    <mergeCell ref="A43:L43"/>
    <mergeCell ref="A31:L31"/>
    <mergeCell ref="A58:L58"/>
    <mergeCell ref="F28:G28"/>
    <mergeCell ref="A40:L40"/>
    <mergeCell ref="H28:I28"/>
    <mergeCell ref="A51:C51"/>
    <mergeCell ref="A60:L60"/>
    <mergeCell ref="D29:E29"/>
    <mergeCell ref="D23:E23"/>
    <mergeCell ref="D52:L52"/>
    <mergeCell ref="D49:L49"/>
    <mergeCell ref="A50:C50"/>
    <mergeCell ref="F21:G21"/>
    <mergeCell ref="H21:I21"/>
    <mergeCell ref="A42:L42"/>
    <mergeCell ref="A47:C47"/>
    <mergeCell ref="D27:E27"/>
    <mergeCell ref="A20:L20"/>
    <mergeCell ref="B28:C28"/>
    <mergeCell ref="D54:L54"/>
    <mergeCell ref="D28:E28"/>
    <mergeCell ref="A44:L44"/>
    <mergeCell ref="F22:G22"/>
    <mergeCell ref="H22:I22"/>
    <mergeCell ref="A59:L59"/>
    <mergeCell ref="D25:E25"/>
    <mergeCell ref="A64:L64"/>
    <mergeCell ref="A61:L61"/>
    <mergeCell ref="A54:C54"/>
    <mergeCell ref="A41:L41"/>
    <mergeCell ref="H29:I29"/>
    <mergeCell ref="A56:L56"/>
    <mergeCell ref="D21:E21"/>
    <mergeCell ref="A33:C33"/>
    <mergeCell ref="F24:G24"/>
    <mergeCell ref="A65:L65"/>
    <mergeCell ref="B23:C23"/>
    <mergeCell ref="D32:E32"/>
    <mergeCell ref="A53:C53"/>
    <mergeCell ref="A35:C35"/>
    <mergeCell ref="F26:G26"/>
    <mergeCell ref="A62:L62"/>
    <mergeCell ref="D50:L50"/>
    <mergeCell ref="F27:G27"/>
    <mergeCell ref="A39:L39"/>
    <mergeCell ref="A48:C48"/>
    <mergeCell ref="H27:I27"/>
    <mergeCell ref="A36:C36"/>
    <mergeCell ref="H24:I24"/>
    <mergeCell ref="H26:I26"/>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8E44AD"/>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46" customWidth="1" min="2" max="2"/>
    <col width="14" customWidth="1" min="3" max="3"/>
    <col width="40" customWidth="1" min="4" max="4"/>
    <col width="14" customWidth="1" min="5" max="5"/>
  </cols>
  <sheetData>
    <row r="1">
      <c r="A1" s="1" t="inlineStr">
        <is>
          <t>Quỹ công suất quang &amp; tham số chia</t>
        </is>
      </c>
    </row>
    <row r="2">
      <c r="A2" s="2" t="inlineStr">
        <is>
          <t>Ô xanh nhạt là tham số có thể sửa; các ô còn lại tự tính.</t>
        </is>
      </c>
    </row>
    <row r="3" ht="22" customHeight="1">
      <c r="B3" s="7" t="inlineStr">
        <is>
          <t>Tham số chia</t>
        </is>
      </c>
      <c r="C3" s="7" t="inlineStr">
        <is>
          <t>Giá trị</t>
        </is>
      </c>
      <c r="D3" s="7" t="inlineStr">
        <is>
          <t>Ghi chú</t>
        </is>
      </c>
    </row>
    <row r="4">
      <c r="B4" s="13" t="inlineStr">
        <is>
          <t>Tỉ lệ splitter PM (1:N)</t>
        </is>
      </c>
      <c r="C4" s="168" t="n">
        <v>4</v>
      </c>
      <c r="D4" s="13" t="inlineStr">
        <is>
          <t>Tại phòng máy</t>
        </is>
      </c>
    </row>
    <row r="5">
      <c r="B5" s="13" t="inlineStr">
        <is>
          <t>Tỉ lệ splitter tủ (1:N)</t>
        </is>
      </c>
      <c r="C5" s="168" t="n">
        <v>16</v>
      </c>
      <c r="D5" s="13" t="inlineStr">
        <is>
          <t>Tại tủ tầng</t>
        </is>
      </c>
    </row>
    <row r="6">
      <c r="B6" s="13" t="inlineStr">
        <is>
          <t>Tỉ lệ chia tổng / cổng PON</t>
        </is>
      </c>
      <c r="C6" s="9">
        <f>C4*C5</f>
        <v/>
      </c>
      <c r="D6" s="13" t="inlineStr">
        <is>
          <t>tức 1:64</t>
        </is>
      </c>
    </row>
    <row r="7">
      <c r="B7" s="13" t="inlineStr">
        <is>
          <t>Số cổng PON</t>
        </is>
      </c>
      <c r="C7" s="168" t="n">
        <v>16</v>
      </c>
      <c r="D7" s="13" t="inlineStr">
        <is>
          <t>16 splitter 1:4 ↔ 16 PON</t>
        </is>
      </c>
    </row>
    <row r="8">
      <c r="B8" s="13" t="inlineStr">
        <is>
          <t>Cổng 1:4 dùng / PON (chuẩn)</t>
        </is>
      </c>
      <c r="C8" s="168" t="n">
        <v>3</v>
      </c>
      <c r="D8" s="13" t="inlineStr">
        <is>
          <t>dùng 3; cổng thứ 4 dự phòng, dùng khi tháp cần (PON 8 và 16 hiện dùng đủ 4)</t>
        </is>
      </c>
    </row>
    <row r="9" ht="22" customHeight="1">
      <c r="B9" s="7" t="inlineStr">
        <is>
          <t>Thông số công suất (GPON Class B+ mặc định)</t>
        </is>
      </c>
      <c r="C9" s="7" t="inlineStr">
        <is>
          <t>Giá trị</t>
        </is>
      </c>
      <c r="D9" s="7" t="inlineStr">
        <is>
          <t>Ghi chú</t>
        </is>
      </c>
    </row>
    <row r="10">
      <c r="B10" s="13" t="inlineStr">
        <is>
          <t>Công suất phát OLT tối thiểu (dBm)</t>
        </is>
      </c>
      <c r="C10" s="168" t="n">
        <v>1.5</v>
      </c>
      <c r="D10" s="13" t="inlineStr">
        <is>
          <t>Class B+: +1.5 ~ +5</t>
        </is>
      </c>
    </row>
    <row r="11">
      <c r="B11" s="13" t="inlineStr">
        <is>
          <t>Độ nhạy thu ONU (dBm)</t>
        </is>
      </c>
      <c r="C11" s="168" t="n">
        <v>-28</v>
      </c>
      <c r="D11" s="13" t="inlineStr">
        <is>
          <t>Class B+: -28</t>
        </is>
      </c>
    </row>
    <row r="12">
      <c r="B12" s="13" t="inlineStr">
        <is>
          <t>Quỹ công suất (dB)</t>
        </is>
      </c>
      <c r="C12" s="9">
        <f>C10-C11</f>
        <v/>
      </c>
      <c r="D12" s="13" t="inlineStr">
        <is>
          <t>Tx - Rx</t>
        </is>
      </c>
    </row>
    <row r="13">
      <c r="B13" s="13" t="inlineStr">
        <is>
          <t>Biên dự phòng yêu cầu (dB)</t>
        </is>
      </c>
      <c r="C13" s="168" t="n">
        <v>3</v>
      </c>
      <c r="D13" s="13" t="inlineStr">
        <is>
          <t>Lão hoá, uốn cong, vệ sinh đầu nối</t>
        </is>
      </c>
    </row>
    <row r="14">
      <c r="B14" s="13" t="inlineStr">
        <is>
          <t>Suy hao sợi 1310nm (dB/km)</t>
        </is>
      </c>
      <c r="C14" s="168" t="n">
        <v>0.35</v>
      </c>
      <c r="D14" s="13" t="inlineStr"/>
    </row>
    <row r="15">
      <c r="B15" s="13" t="inlineStr">
        <is>
          <t>Chiều dài cáp trục tối đa (m)</t>
        </is>
      </c>
      <c r="C15" s="168" t="n">
        <v>150</v>
      </c>
      <c r="D15" s="13" t="inlineStr">
        <is>
          <t>PM → tầng cao nhất, ước tính</t>
        </is>
      </c>
    </row>
    <row r="16">
      <c r="B16" s="13" t="inlineStr">
        <is>
          <t>Chiều dài cáp thuê bao 1FO tối đa (m)</t>
        </is>
      </c>
      <c r="C16" s="168" t="n">
        <v>60</v>
      </c>
      <c r="D16" s="13" t="inlineStr">
        <is>
          <t>Căn hộ xa nhất → tủ</t>
        </is>
      </c>
    </row>
    <row r="19" ht="22" customHeight="1">
      <c r="B19" s="7" t="inlineStr">
        <is>
          <t>Hạng mục suy hao (đường xấu nhất)</t>
        </is>
      </c>
      <c r="C19" s="7" t="inlineStr">
        <is>
          <t>Số lượng</t>
        </is>
      </c>
      <c r="D19" s="7" t="inlineStr">
        <is>
          <t>Suy hao đơn vị (dB)</t>
        </is>
      </c>
      <c r="E19" s="7" t="inlineStr">
        <is>
          <t>Tổng (dB)</t>
        </is>
      </c>
    </row>
    <row r="20">
      <c r="B20" s="13" t="inlineStr">
        <is>
          <t>Splitter 1:4 (PM)</t>
        </is>
      </c>
      <c r="C20" s="168" t="n">
        <v>1</v>
      </c>
      <c r="D20" s="168" t="n">
        <v>7.3</v>
      </c>
      <c r="E20" s="169">
        <f>C20*D20</f>
        <v/>
      </c>
    </row>
    <row r="21">
      <c r="B21" s="13" t="inlineStr">
        <is>
          <t>Splitter 1:16 (tủ)</t>
        </is>
      </c>
      <c r="C21" s="168" t="n">
        <v>1</v>
      </c>
      <c r="D21" s="168" t="n">
        <v>13.8</v>
      </c>
      <c r="E21" s="169">
        <f>C21*D21</f>
        <v/>
      </c>
    </row>
    <row r="22">
      <c r="B22" s="13" t="inlineStr">
        <is>
          <t>Cặp đầu nối SC/APC</t>
        </is>
      </c>
      <c r="C22" s="168" t="n">
        <v>6</v>
      </c>
      <c r="D22" s="168" t="n">
        <v>0.5</v>
      </c>
      <c r="E22" s="169">
        <f>C22*D22</f>
        <v/>
      </c>
    </row>
    <row r="23">
      <c r="B23" s="13" t="inlineStr">
        <is>
          <t>Mối hàn nóng chảy</t>
        </is>
      </c>
      <c r="C23" s="168" t="n">
        <v>4</v>
      </c>
      <c r="D23" s="168" t="n">
        <v>0.1</v>
      </c>
      <c r="E23" s="169">
        <f>C23*D23</f>
        <v/>
      </c>
    </row>
    <row r="24">
      <c r="B24" s="13" t="inlineStr">
        <is>
          <t>Sợi quang (km)</t>
        </is>
      </c>
      <c r="C24" s="170">
        <f>(C15+C16)/1000</f>
        <v/>
      </c>
      <c r="D24" s="9">
        <f>C14</f>
        <v/>
      </c>
      <c r="E24" s="169">
        <f>C24*D24</f>
        <v/>
      </c>
    </row>
    <row r="25">
      <c r="B25" s="13" t="inlineStr">
        <is>
          <t>Dự phòng uốn cong / vệ sinh (dB)</t>
        </is>
      </c>
      <c r="C25" s="168" t="n">
        <v>1</v>
      </c>
      <c r="D25" s="168" t="n">
        <v>1</v>
      </c>
      <c r="E25" s="169">
        <f>C25*D25</f>
        <v/>
      </c>
    </row>
    <row r="26">
      <c r="B26" s="153" t="inlineStr">
        <is>
          <t>TỔNG SUY HAO</t>
        </is>
      </c>
      <c r="C26" s="13" t="n"/>
      <c r="D26" s="13" t="n"/>
      <c r="E26" s="171">
        <f>SUM(E20:E25)</f>
        <v/>
      </c>
    </row>
    <row r="27">
      <c r="B27" s="153" t="inlineStr">
        <is>
          <t>MARGIN CÒN LẠI (dB)</t>
        </is>
      </c>
      <c r="C27" s="13" t="n"/>
      <c r="D27" s="13" t="n"/>
      <c r="E27" s="171">
        <f>C12-E26</f>
        <v/>
      </c>
    </row>
    <row r="28">
      <c r="B28" s="153" t="inlineStr">
        <is>
          <t>KẾT LUẬN</t>
        </is>
      </c>
      <c r="C28" s="13" t="n"/>
      <c r="D28" s="13" t="n"/>
      <c r="E28" s="8">
        <f>IF(E27&gt;=C13,"ĐẠT","XEM LẠI")</f>
        <v/>
      </c>
    </row>
    <row r="30">
      <c r="B30" s="172" t="inlineStr">
        <is>
          <t>Lưu ý: nếu dùng PON Class C+ hoặc XGS-PON thì sửa Tx/Rx ở trên. Đo thực tế bằng OPM/OTDR sau khi thi công; công suất thu tại ONU nên nằm trong -8 … -27 dBm.</t>
        </is>
      </c>
    </row>
    <row r="31"/>
  </sheetData>
  <mergeCells count="1">
    <mergeCell ref="B30:E31"/>
  </mergeCells>
  <conditionalFormatting sqref="E28">
    <cfRule type="cellIs" priority="1" operator="equal" dxfId="3">
      <formula>"ĐẠT"</formula>
    </cfRule>
    <cfRule type="cellIs" priority="2" operator="equal" dxfId="0">
      <formula>"XEM LẠI"</formula>
    </cfRule>
  </conditionalFormatting>
  <pageMargins left="0.75" right="0.75" top="1" bottom="1" header="0.5" footer="0.5"/>
  <pageSetup orientation="landscape" fitToHeight="0" fitToWidth="1"/>
</worksheet>
</file>

<file path=xl/worksheets/sheet14.xml><?xml version="1.0" encoding="utf-8"?>
<worksheet xmlns="http://schemas.openxmlformats.org/spreadsheetml/2006/main">
  <sheetPr>
    <tabColor rgb="008E44AD"/>
    <outlinePr summaryBelow="1" summaryRight="1"/>
    <pageSetUpPr fitToPage="1"/>
  </sheetPr>
  <dimension ref="A1:E42"/>
  <sheetViews>
    <sheetView showGridLines="0" workbookViewId="0">
      <selection activeCell="A1" sqref="A1"/>
    </sheetView>
  </sheetViews>
  <sheetFormatPr baseColWidth="8" defaultRowHeight="15"/>
  <cols>
    <col width="3" customWidth="1" min="1" max="1"/>
    <col width="42" customWidth="1" min="2" max="2"/>
    <col width="12" customWidth="1" min="3" max="3"/>
    <col width="12" customWidth="1" min="4" max="4"/>
    <col width="38" customWidth="1" min="5" max="5"/>
  </cols>
  <sheetData>
    <row r="1">
      <c r="A1" s="1" t="inlineStr">
        <is>
          <t>Dự toán vật tư (ước tính – chỉnh tham số xanh nhạt)</t>
        </is>
      </c>
    </row>
    <row r="2">
      <c r="A2" s="2" t="inlineStr">
        <is>
          <t>Chiều dài chỉ là ước tính theo chiều cao tầng; cần đo thực tế.</t>
        </is>
      </c>
    </row>
    <row r="3" ht="22" customHeight="1">
      <c r="B3" s="7" t="inlineStr">
        <is>
          <t>Tham số</t>
        </is>
      </c>
      <c r="C3" s="7" t="inlineStr">
        <is>
          <t>Giá trị</t>
        </is>
      </c>
      <c r="D3" s="7" t="inlineStr"/>
      <c r="E3" s="7" t="inlineStr">
        <is>
          <t>Ghi chú</t>
        </is>
      </c>
    </row>
    <row r="4">
      <c r="B4" s="13" t="inlineStr">
        <is>
          <t>Chỉ số tầng Phòng Máy</t>
        </is>
      </c>
      <c r="C4" s="168" t="n">
        <v>0</v>
      </c>
      <c r="D4" s="13" t="n"/>
      <c r="E4" s="13" t="inlineStr">
        <is>
          <t>hầm B1 = 0</t>
        </is>
      </c>
    </row>
    <row r="5">
      <c r="B5" s="13" t="inlineStr">
        <is>
          <t>Chiều cao tầng (m)</t>
        </is>
      </c>
      <c r="C5" s="168" t="n">
        <v>3.3</v>
      </c>
      <c r="D5" s="13" t="n"/>
      <c r="E5" s="13" t="inlineStr"/>
    </row>
    <row r="6">
      <c r="B6" s="13" t="inlineStr">
        <is>
          <t>Đi ngang trong tầng kỹ thuật (m)</t>
        </is>
      </c>
      <c r="C6" s="168" t="n">
        <v>40</v>
      </c>
      <c r="D6" s="13" t="n"/>
      <c r="E6" s="13" t="inlineStr">
        <is>
          <t>mỗi cáp</t>
        </is>
      </c>
    </row>
    <row r="7">
      <c r="B7" s="13" t="inlineStr">
        <is>
          <t>Dự phòng chiều dài (%)</t>
        </is>
      </c>
      <c r="C7" s="173" t="n">
        <v>0.15</v>
      </c>
      <c r="D7" s="13" t="n"/>
      <c r="E7" s="13" t="inlineStr"/>
    </row>
    <row r="8">
      <c r="B8" s="13" t="inlineStr">
        <is>
          <t>Chiều dài TB cáp 1FO/căn hộ (m)</t>
        </is>
      </c>
      <c r="C8" s="168" t="n">
        <v>35</v>
      </c>
      <c r="D8" s="13" t="n"/>
      <c r="E8" s="13" t="inlineStr">
        <is>
          <t>căn hộ → tủ</t>
        </is>
      </c>
    </row>
    <row r="10" ht="22" customHeight="1">
      <c r="B10" s="7" t="inlineStr">
        <is>
          <t>Cáp trục / nhánh</t>
        </is>
      </c>
      <c r="C10" s="7" t="inlineStr">
        <is>
          <t>Loại</t>
        </is>
      </c>
      <c r="D10" s="7" t="inlineStr">
        <is>
          <t>Chiều dài (m)</t>
        </is>
      </c>
      <c r="E10" s="7" t="inlineStr">
        <is>
          <t>Ghi chú</t>
        </is>
      </c>
    </row>
    <row r="11">
      <c r="B11" s="13" t="inlineStr">
        <is>
          <t>TR-A1 (PM → tủ hub 2F)</t>
        </is>
      </c>
      <c r="C11" s="9" t="inlineStr">
        <is>
          <t>24FO</t>
        </is>
      </c>
      <c r="D11" s="9">
        <f>ROUNDUP(((2-$C$4)*$C$5+$C$6)*(1+$C$7),0)</f>
        <v/>
      </c>
      <c r="E11" s="13" t="inlineStr">
        <is>
          <t>Cáp trục chính</t>
        </is>
      </c>
    </row>
    <row r="12">
      <c r="B12" s="13" t="inlineStr">
        <is>
          <t>TR-A2 (PM → tủ hub 9F)</t>
        </is>
      </c>
      <c r="C12" s="9" t="inlineStr">
        <is>
          <t>24FO</t>
        </is>
      </c>
      <c r="D12" s="9">
        <f>ROUNDUP(((9-$C$4)*$C$5+$C$6)*(1+$C$7),0)</f>
        <v/>
      </c>
      <c r="E12" s="13" t="inlineStr">
        <is>
          <t>Cáp trục chính</t>
        </is>
      </c>
    </row>
    <row r="13">
      <c r="B13" s="13" t="inlineStr">
        <is>
          <t>TR-A3 (PM → tủ hub 18F)</t>
        </is>
      </c>
      <c r="C13" s="9" t="inlineStr">
        <is>
          <t>24FO</t>
        </is>
      </c>
      <c r="D13" s="9">
        <f>ROUNDUP(((18-$C$4)*$C$5+$C$6)*(1+$C$7),0)</f>
        <v/>
      </c>
      <c r="E13" s="13" t="inlineStr">
        <is>
          <t>Cáp trục chính</t>
        </is>
      </c>
    </row>
    <row r="14">
      <c r="B14" s="13" t="inlineStr">
        <is>
          <t>TR-B1 (PM → tủ hub 2F)</t>
        </is>
      </c>
      <c r="C14" s="9" t="inlineStr">
        <is>
          <t>24FO</t>
        </is>
      </c>
      <c r="D14" s="9">
        <f>ROUNDUP(((2-$C$4)*$C$5+$C$6)*(1+$C$7),0)</f>
        <v/>
      </c>
      <c r="E14" s="13" t="inlineStr">
        <is>
          <t>Cáp trục chính</t>
        </is>
      </c>
    </row>
    <row r="15">
      <c r="B15" s="13" t="inlineStr">
        <is>
          <t>TR-B2 (PM → tủ hub 8F)</t>
        </is>
      </c>
      <c r="C15" s="9" t="inlineStr">
        <is>
          <t>24FO</t>
        </is>
      </c>
      <c r="D15" s="9">
        <f>ROUNDUP(((8-$C$4)*$C$5+$C$6)*(1+$C$7),0)</f>
        <v/>
      </c>
      <c r="E15" s="13" t="inlineStr">
        <is>
          <t>Cáp trục chính</t>
        </is>
      </c>
    </row>
    <row r="16">
      <c r="B16" s="13" t="inlineStr">
        <is>
          <t>TR-B3 (PM → tủ hub 17F)</t>
        </is>
      </c>
      <c r="C16" s="9" t="inlineStr">
        <is>
          <t>24FO</t>
        </is>
      </c>
      <c r="D16" s="9">
        <f>ROUNDUP(((17-$C$4)*$C$5+$C$6)*(1+$C$7),0)</f>
        <v/>
      </c>
      <c r="E16" s="13" t="inlineStr">
        <is>
          <t>Cáp trục chính</t>
        </is>
      </c>
    </row>
    <row r="17">
      <c r="B17" s="13" t="inlineStr">
        <is>
          <t>TU-A7 → TU-A2</t>
        </is>
      </c>
      <c r="C17" s="9" t="inlineStr">
        <is>
          <t>8FO</t>
        </is>
      </c>
      <c r="D17" s="9">
        <f>ROUNDUP((5*$C$5+10)*(1+$C$7),0)</f>
        <v/>
      </c>
      <c r="E17" s="13" t="inlineStr">
        <is>
          <t>Cáp nhánh trong hộp kỹ thuật</t>
        </is>
      </c>
    </row>
    <row r="18">
      <c r="B18" s="13" t="inlineStr">
        <is>
          <t>TU-A5 → TU-A2</t>
        </is>
      </c>
      <c r="C18" s="9" t="inlineStr">
        <is>
          <t>8FO</t>
        </is>
      </c>
      <c r="D18" s="9">
        <f>ROUNDUP((3*$C$5+10)*(1+$C$7),0)</f>
        <v/>
      </c>
      <c r="E18" s="13" t="inlineStr">
        <is>
          <t>Cáp nhánh trong hộp kỹ thuật</t>
        </is>
      </c>
    </row>
    <row r="19">
      <c r="B19" s="13" t="inlineStr">
        <is>
          <t>TU-A15 → TU-A9</t>
        </is>
      </c>
      <c r="C19" s="9" t="inlineStr">
        <is>
          <t>8FO</t>
        </is>
      </c>
      <c r="D19" s="9">
        <f>ROUNDUP((6*$C$5+10)*(1+$C$7),0)</f>
        <v/>
      </c>
      <c r="E19" s="13" t="inlineStr">
        <is>
          <t>Cáp nhánh trong hộp kỹ thuật</t>
        </is>
      </c>
    </row>
    <row r="20">
      <c r="B20" s="13" t="inlineStr">
        <is>
          <t>TU-A12 → TU-A9</t>
        </is>
      </c>
      <c r="C20" s="9" t="inlineStr">
        <is>
          <t>8FO</t>
        </is>
      </c>
      <c r="D20" s="9">
        <f>ROUNDUP((3*$C$5+10)*(1+$C$7),0)</f>
        <v/>
      </c>
      <c r="E20" s="13" t="inlineStr">
        <is>
          <t>Cáp nhánh trong hộp kỹ thuật</t>
        </is>
      </c>
    </row>
    <row r="21">
      <c r="B21" s="13" t="inlineStr">
        <is>
          <t>TU-A23 → TU-A18</t>
        </is>
      </c>
      <c r="C21" s="9" t="inlineStr">
        <is>
          <t>8FO</t>
        </is>
      </c>
      <c r="D21" s="9">
        <f>ROUNDUP((5*$C$5+10)*(1+$C$7),0)</f>
        <v/>
      </c>
      <c r="E21" s="13" t="inlineStr">
        <is>
          <t>Cáp nhánh trong hộp kỹ thuật</t>
        </is>
      </c>
    </row>
    <row r="22">
      <c r="B22" s="13" t="inlineStr">
        <is>
          <t>TU-A21 → TU-A18</t>
        </is>
      </c>
      <c r="C22" s="9" t="inlineStr">
        <is>
          <t>8FO</t>
        </is>
      </c>
      <c r="D22" s="9">
        <f>ROUNDUP((3*$C$5+10)*(1+$C$7),0)</f>
        <v/>
      </c>
      <c r="E22" s="13" t="inlineStr">
        <is>
          <t>Cáp nhánh trong hộp kỹ thuật</t>
        </is>
      </c>
    </row>
    <row r="23">
      <c r="B23" s="13" t="inlineStr">
        <is>
          <t>TU-B5 → TU-B2</t>
        </is>
      </c>
      <c r="C23" s="9" t="inlineStr">
        <is>
          <t>8FO</t>
        </is>
      </c>
      <c r="D23" s="9">
        <f>ROUNDUP((3*$C$5+10)*(1+$C$7),0)</f>
        <v/>
      </c>
      <c r="E23" s="13" t="inlineStr">
        <is>
          <t>Cáp nhánh trong hộp kỹ thuật</t>
        </is>
      </c>
    </row>
    <row r="24">
      <c r="B24" s="13" t="inlineStr">
        <is>
          <t>TU-B14 → TU-B8</t>
        </is>
      </c>
      <c r="C24" s="9" t="inlineStr">
        <is>
          <t>8FO</t>
        </is>
      </c>
      <c r="D24" s="9">
        <f>ROUNDUP((6*$C$5+10)*(1+$C$7),0)</f>
        <v/>
      </c>
      <c r="E24" s="13" t="inlineStr">
        <is>
          <t>Cáp nhánh trong hộp kỹ thuật</t>
        </is>
      </c>
    </row>
    <row r="25">
      <c r="B25" s="13" t="inlineStr">
        <is>
          <t>TU-B11 → TU-B8</t>
        </is>
      </c>
      <c r="C25" s="9" t="inlineStr">
        <is>
          <t>8FO</t>
        </is>
      </c>
      <c r="D25" s="9">
        <f>ROUNDUP((3*$C$5+10)*(1+$C$7),0)</f>
        <v/>
      </c>
      <c r="E25" s="13" t="inlineStr">
        <is>
          <t>Cáp nhánh trong hộp kỹ thuật</t>
        </is>
      </c>
    </row>
    <row r="26">
      <c r="B26" s="13" t="inlineStr">
        <is>
          <t>TU-B23 → TU-B17</t>
        </is>
      </c>
      <c r="C26" s="9" t="inlineStr">
        <is>
          <t>8FO</t>
        </is>
      </c>
      <c r="D26" s="9">
        <f>ROUNDUP((6*$C$5+10)*(1+$C$7),0)</f>
        <v/>
      </c>
      <c r="E26" s="13" t="inlineStr">
        <is>
          <t>Cáp nhánh trong hộp kỹ thuật</t>
        </is>
      </c>
    </row>
    <row r="27">
      <c r="B27" s="13" t="inlineStr">
        <is>
          <t>TU-B20 → TU-B17</t>
        </is>
      </c>
      <c r="C27" s="9" t="inlineStr">
        <is>
          <t>8FO</t>
        </is>
      </c>
      <c r="D27" s="9">
        <f>ROUNDUP((3*$C$5+10)*(1+$C$7),0)</f>
        <v/>
      </c>
      <c r="E27" s="13" t="inlineStr">
        <is>
          <t>Cáp nhánh trong hộp kỹ thuật</t>
        </is>
      </c>
    </row>
    <row r="29" ht="22" customHeight="1">
      <c r="B29" s="7" t="inlineStr">
        <is>
          <t>Hạng mục</t>
        </is>
      </c>
      <c r="C29" s="7" t="inlineStr">
        <is>
          <t>Số lượng</t>
        </is>
      </c>
      <c r="D29" s="7" t="inlineStr">
        <is>
          <t>Đơn vị</t>
        </is>
      </c>
      <c r="E29" s="7" t="inlineStr">
        <is>
          <t>Ghi chú</t>
        </is>
      </c>
    </row>
    <row r="30">
      <c r="B30" s="13" t="inlineStr">
        <is>
          <t>Tủ phối quang (4 vị trí splitter)</t>
        </is>
      </c>
      <c r="C30" s="174">
        <f>COUNTA('Tủ phối quang'!A5:A21)</f>
        <v/>
      </c>
      <c r="D30" s="9" t="inlineStr">
        <is>
          <t>tủ</t>
        </is>
      </c>
      <c r="E30" s="13" t="inlineStr"/>
    </row>
    <row r="31">
      <c r="B31" s="13" t="inlineStr">
        <is>
          <t>Splitter 1:16 PLC (lắp ngay)</t>
        </is>
      </c>
      <c r="C31" s="174">
        <f>'Tủ phối quang'!F22</f>
        <v/>
      </c>
      <c r="D31" s="9" t="inlineStr">
        <is>
          <t>bộ</t>
        </is>
      </c>
      <c r="E31" s="13" t="inlineStr"/>
    </row>
    <row r="32">
      <c r="B32" s="13" t="inlineStr">
        <is>
          <t>Splitter 1:16 PLC (dự phòng, vị trí còn trống)</t>
        </is>
      </c>
      <c r="C32" s="174">
        <f>'Tủ phối quang'!G22</f>
        <v/>
      </c>
      <c r="D32" s="9" t="inlineStr">
        <is>
          <t>bộ</t>
        </is>
      </c>
      <c r="E32" s="13" t="inlineStr">
        <is>
          <t>tùy chọn mua sau</t>
        </is>
      </c>
    </row>
    <row r="33">
      <c r="B33" s="13" t="inlineStr">
        <is>
          <t>Splitter 1:4 PLC (PM)</t>
        </is>
      </c>
      <c r="C33" s="174" t="n">
        <v>16</v>
      </c>
      <c r="D33" s="9" t="inlineStr">
        <is>
          <t>bộ</t>
        </is>
      </c>
      <c r="E33" s="13" t="inlineStr">
        <is>
          <t>khay rack 19"</t>
        </is>
      </c>
    </row>
    <row r="34">
      <c r="B34" s="13" t="inlineStr">
        <is>
          <t>Cáp quang 24FO</t>
        </is>
      </c>
      <c r="C34" s="174">
        <f>SUMIF($C$11:$C$27,"24FO",$D$11:$D$27)</f>
        <v/>
      </c>
      <c r="D34" s="9" t="inlineStr">
        <is>
          <t>m</t>
        </is>
      </c>
      <c r="E34" s="13" t="inlineStr"/>
    </row>
    <row r="35">
      <c r="B35" s="13" t="inlineStr">
        <is>
          <t>Cáp quang 8FO</t>
        </is>
      </c>
      <c r="C35" s="174">
        <f>SUMIF($C$11:$C$27,"8FO",$D$11:$D$27)</f>
        <v/>
      </c>
      <c r="D35" s="9" t="inlineStr">
        <is>
          <t>m</t>
        </is>
      </c>
      <c r="E35" s="13" t="inlineStr"/>
    </row>
    <row r="36">
      <c r="B36" s="13" t="inlineStr">
        <is>
          <t>Cáp thuê bao 1FO (drop)</t>
        </is>
      </c>
      <c r="C36" s="174">
        <f>COUNTA('Thuê bao'!$A$2:$A$677)*$C$8</f>
        <v/>
      </c>
      <c r="D36" s="9" t="inlineStr">
        <is>
          <t>m</t>
        </is>
      </c>
      <c r="E36" s="13" t="inlineStr">
        <is>
          <t>tính theo TB / căn hộ</t>
        </is>
      </c>
    </row>
    <row r="37">
      <c r="B37" s="13" t="inlineStr">
        <is>
          <t>ODF 48FO (2 khay trái/phải × 24 coupler)</t>
        </is>
      </c>
      <c r="C37" s="174" t="n">
        <v>3</v>
      </c>
      <c r="D37" s="9" t="inlineStr">
        <is>
          <t>bộ</t>
        </is>
      </c>
      <c r="E37" s="13" t="inlineStr">
        <is>
          <t>ODF-02, ODF-08/09, ODF-17/18</t>
        </is>
      </c>
    </row>
    <row r="38">
      <c r="B38" s="13" t="inlineStr">
        <is>
          <t>Patch cord SC/APC (PM: PON↔1:4 + 1:4↔ODF)</t>
        </is>
      </c>
      <c r="C38" s="174">
        <f>16+COUNTIF('ODF-PM &amp; PON'!$D$5:$D$68,"Đã dùng")</f>
        <v/>
      </c>
      <c r="D38" s="9" t="inlineStr">
        <is>
          <t>sợi</t>
        </is>
      </c>
      <c r="E38" s="13" t="inlineStr"/>
    </row>
    <row r="39">
      <c r="B39" s="13" t="inlineStr">
        <is>
          <t>Pigtail SC/APC (đầu trục + tại tủ + thuê bao)</t>
        </is>
      </c>
      <c r="C39" s="174">
        <f>144+COUNTA('Tủ phối quang'!A5:A21)*4*2+COUNTA('Thuê bao'!$A$2:$A$677)</f>
        <v/>
      </c>
      <c r="D39" s="9" t="inlineStr">
        <is>
          <t>sợi</t>
        </is>
      </c>
      <c r="E39" s="13" t="inlineStr">
        <is>
          <t>ước tính thô</t>
        </is>
      </c>
    </row>
    <row r="40">
      <c r="B40" s="13" t="inlineStr">
        <is>
          <t>Mối hàn (ước tính)</t>
        </is>
      </c>
      <c r="C40" s="174">
        <f>C39</f>
        <v/>
      </c>
      <c r="D40" s="9" t="inlineStr">
        <is>
          <t>mối</t>
        </is>
      </c>
      <c r="E40" s="13" t="inlineStr">
        <is>
          <t>tính xấp xỉ bằng số pigtail</t>
        </is>
      </c>
    </row>
    <row r="41">
      <c r="B41" s="13" t="inlineStr">
        <is>
          <t>Nhãn cáp/tủ/cổng</t>
        </is>
      </c>
      <c r="C41" s="174" t="n">
        <v>800</v>
      </c>
      <c r="D41" s="9" t="inlineStr">
        <is>
          <t>cái</t>
        </is>
      </c>
      <c r="E41" s="13" t="inlineStr"/>
    </row>
    <row r="42">
      <c r="B42" s="13" t="inlineStr">
        <is>
          <t>ODF 96FO (2 nửa 4×12: trái = A, phải = B) ở PM</t>
        </is>
      </c>
      <c r="C42" s="174" t="n">
        <v>1</v>
      </c>
      <c r="D42" s="9" t="inlineStr">
        <is>
          <t>bộ</t>
        </is>
      </c>
      <c r="E42" s="13" t="inlineStr">
        <is>
          <t>mỗi nửa: ra cổng 1-32, vào cổng 37-44</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tabColor rgb="008C959F"/>
    <outlinePr summaryBelow="1" summaryRight="1"/>
    <pageSetUpPr fitToPage="1"/>
  </sheetPr>
  <dimension ref="A1:B23"/>
  <sheetViews>
    <sheetView showGridLines="0" workbookViewId="0">
      <selection activeCell="A1" sqref="A1"/>
    </sheetView>
  </sheetViews>
  <sheetFormatPr baseColWidth="8" defaultRowHeight="15"/>
  <cols>
    <col width="3" customWidth="1" min="1" max="1"/>
    <col width="120" customWidth="1" min="2" max="2"/>
  </cols>
  <sheetData>
    <row r="1">
      <c r="A1" s="1" t="inlineStr">
        <is>
          <t>Quy ước &amp; quy trình vận hành</t>
        </is>
      </c>
    </row>
    <row r="3">
      <c r="B3" s="175" t="inlineStr">
        <is>
          <t>QUY ƯỚC ĐẶT TÊN</t>
        </is>
      </c>
    </row>
    <row r="4" ht="30" customHeight="1">
      <c r="B4" s="98" t="inlineStr">
        <is>
          <t>Căn hộ: &lt;Tháp&gt;-&lt;Tầng&gt;-&lt;Căn&gt;  vd A-18-05.  Tủ: TU-&lt;Tháp&gt;&lt;Tầng&gt; vd TU-A18.  Splitter 1:16: TU-A18/S2.  Cáp trục: TR-A1 (3 cáp/tháp).</t>
        </is>
      </c>
    </row>
    <row r="5" ht="30" customHeight="1">
      <c r="B5" s="98" t="inlineStr">
        <is>
          <t>PM (hầm B1), tách riêng 2 tháp: OLT PON-k → dây nhảy → ODF-96FO cổng vào 36+j (nửa trái = tháp A: PON 1-8; nửa phải = tháp B: PON 9-16; j = số thứ tự PON trong tháp) ; 4 đầu ra splitter 1:4 → cổng 4j-3…4j (dùng 3, cổng thứ 4 dự phòng/dùng khi cần) → dây nhảy → ODF 48FO trục: ODF-02, ODF-08/09, ODF-17/18 (xếp chồng từ thấp lên cao). Khay TRÁI = Tháp A, PHẢI = Tháp B.</t>
        </is>
      </c>
    </row>
    <row r="6" ht="30" customHeight="1">
      <c r="B6" s="98" t="inlineStr">
        <is>
          <t>ODF-96FO chia 2 nửa 4×12, mỗi nửa đếm lại từ 1, từ dưới lên, trái qua phải (hàng 1 = cổng 1-12 … hàng 4 = cổng 37-48). Cổng vào splitter 37-44 ở hàng trên cùng, cổng ra 1-32. Nhãn dạng A-12 / B-40 (nửa-số cổng).</t>
        </is>
      </c>
    </row>
    <row r="7" ht="30" customHeight="1">
      <c r="B7" s="98" t="inlineStr">
        <is>
          <t>Khay ODF: 4 hàng × 6 cột coupler, đánh số từ DƯỚI lên và TRÁI qua; mỗi hàng = 1 ống đệm 6 sợi. Coupler k ↔ sợi k của cáp trục 24FO.  Ghi nhãn cả 2 đầu mọi sợi và mọi cổng.</t>
        </is>
      </c>
    </row>
    <row r="8" ht="30" customHeight="1">
      <c r="B8" s="98" t="inlineStr">
        <is>
          <t>Cáp 24FO = 4 ống đệm (1 xanh dương, 2 cam, 3 xanh lá, 4 nâu) × 6 sợi (xanh dương, cam, xanh lá, nâu, xám, trắng): sợi 1-6 ống 1, 7-12 ống 2, 13-18 ống 3, 19-24 ống 4.</t>
        </is>
      </c>
    </row>
    <row r="9" ht="30" customHeight="1">
      <c r="B9" s="98" t="inlineStr">
        <is>
          <t>Cáp trục TR-x1 = cụm tầng thấp (A: A2-A5-A7; B: B2-B5), TR-x2 = cụm giữa, TR-x3 = cụm cao.  Mỗi cáp 24FO đếm từ dưới lên: sợi 1-8 → tủ hub (thấp nhất), 9-16 → tủ giữa (cáp nhánh 8FO), 17-24 → tủ trên cùng. Trong mỗi tủ, splitter Sk dùng sợi thứ k trong dải của tủ.</t>
        </is>
      </c>
    </row>
    <row r="10">
      <c r="B10" s="175" t="inlineStr">
        <is>
          <t>QUY TRÌNH CẤP MỚI 1 KHÁCH</t>
        </is>
      </c>
    </row>
    <row r="11" ht="30" customHeight="1">
      <c r="B11" s="98" t="inlineStr">
        <is>
          <t>1) Tra căn hộ ở sheet "Tra cứu" → biết tủ, splitter, cổng.   2) Kéo 1FO từ BOX căn hộ về tủ, đấu vào đúng cổng splitter, dán nhãn mã căn hộ.</t>
        </is>
      </c>
    </row>
    <row r="12" ht="30" customHeight="1">
      <c r="B12" s="98" t="inlineStr">
        <is>
          <t>3) Đo công suất tại ONU (-8…-27 dBm).   4) Cập nhật Trạng thái = Hoạt động, ghi serial ONU, ngày lắp.   5) Kiểm tra % tải PON ở Tổng quan (&lt;90%).</t>
        </is>
      </c>
    </row>
    <row r="13">
      <c r="B13" s="175" t="inlineStr">
        <is>
          <t>XỬ LÝ SỰ CỐ (từ trên xuống)</t>
        </is>
      </c>
    </row>
    <row r="14" ht="30" customHeight="1">
      <c r="B14" s="98" t="inlineStr">
        <is>
          <t>• Mất 1 căn hộ: kiểm tra ONU/dây nhảy → cổng splitter tủ → cáp 1FO.</t>
        </is>
      </c>
    </row>
    <row r="15" ht="30" customHeight="1">
      <c r="B15" s="98" t="inlineStr">
        <is>
          <t>• Mất cả 1 splitter (≤16 hộ, cùng cổng PON-xx/S4-yy/z): sợi trục của splitter đó, adapter ODF PM hoặc patch cord 1:4→ODF.</t>
        </is>
      </c>
    </row>
    <row r="16" ht="30" customHeight="1">
      <c r="B16" s="98" t="inlineStr">
        <is>
          <t>• Mất cả 1 tủ (khoảng 28-42 hộ): sợi cáp nhánh 8FO / mối hàn ở hub.  Mất cả 1 cụm 3 tủ (~112-126 hộ): cáp trục 24FO TR-xx.</t>
        </is>
      </c>
    </row>
    <row r="17" ht="30" customHeight="1">
      <c r="B17" s="98" t="inlineStr">
        <is>
          <t>• Mất toàn bộ 1 PON (≤64 hộ, nhiều tủ khác nhau): SFP/cổng OLT hoặc splitter 1:4 tương ứng.</t>
        </is>
      </c>
    </row>
    <row r="18" ht="30" customHeight="1">
      <c r="B18" s="98" t="inlineStr">
        <is>
          <t>• Công cụ: OPM (đo công suất), VFL (tìm đứt/uốn), OTDR từ PM với tia 1310/1550 qua splitter thì đo từng nhánh, bắt đầu từ ODF.</t>
        </is>
      </c>
    </row>
    <row r="19">
      <c r="B19" s="175" t="inlineStr">
        <is>
          <t>THÔNG SỐ ĐÃ CHỐT &amp; GIẢ ĐỊNH (sửa trong model.py rồi chạy lại)</t>
        </is>
      </c>
    </row>
    <row r="20" ht="30" customHeight="1">
      <c r="B20" s="98" t="inlineStr">
        <is>
          <t>• Số căn/tầng = số BOX lớn nhất trên dòng của tầng đó trong bản vẽ (tầng 2: A 27, B 22; tầng 3: A 20, B 17; tầng 1: A 12, B 9; tầng 4-12: 14-15) → tổng 676 căn.  Bản vẽ: hàng box nằm NGAY TRÊN đường nét đứt ghi tên tầng.</t>
        </is>
      </c>
    </row>
    <row r="21" ht="30" customHeight="1">
      <c r="B21" s="98" t="inlineStr">
        <is>
          <t>• Thứ tự đếm: từ dưới lên (tầng, splitter, tủ, sợi).  Cổng PM cấp riêng từng tháp, theo trục TR-x1 → x3, sợi tăng dần: tháp A → PON 1-8, tháp B → PON 9-16; mỗi PON 3 cổng, 2 PON cuối dùng thêm cổng thứ 4 (PON 8 và 16) vì mỗi tháp cần 25 splitter.</t>
        </is>
      </c>
    </row>
    <row r="22" ht="30" customHeight="1">
      <c r="B22" s="98" t="inlineStr">
        <is>
          <t>• 50 splitter 1:16 = 50 cổng 1:4 (A 25 + B 25) trên 16 PON; còn 14 cổng dự phòng.  Tải PON cao nhất 56/64 hộ (PON 8 và 16).</t>
        </is>
      </c>
    </row>
    <row r="23" ht="30" customHeight="1">
      <c r="B23" s="98" t="inlineStr">
        <is>
          <t>• Mã căn hộ &lt;Tháp&gt;-&lt;Tầng&gt;-&lt;Box&gt; do mình đặt; thay bằng mã thật nếu có.   • Tầng 13 không có (12A).   • Phòng máy hầm B1.</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2026-10-15T06:10:39Z</dcterms:created>
  <dcterms:modified xmlns:dcterms="http://purl.org/dc/terms/" xmlns:xsi="http://www.w3.org/2001/XMLSchema-instance" xsi:type="dcterms:W3CDTF">2026-10-15T06:10:42Z</dcterms:modified>
</cp:coreProperties>
</file>